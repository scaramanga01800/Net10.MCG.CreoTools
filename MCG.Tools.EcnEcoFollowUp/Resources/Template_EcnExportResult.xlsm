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gramme\MCG_Tools\Data\"/>
    </mc:Choice>
  </mc:AlternateContent>
  <bookViews>
    <workbookView xWindow="0" yWindow="0" windowWidth="24975" windowHeight="7650" xr2:uid="{00000000-000D-0000-FFFF-FFFF00000000}"/>
  </bookViews>
  <sheets>
    <sheet name="MAIN" sheetId="2" r:id="rId1"/>
    <sheet name="MAIN_STAT" sheetId="6" r:id="rId2"/>
    <sheet name="ECN-ECO_DATA" sheetId="3" r:id="rId3"/>
    <sheet name="DATA" sheetId="4" state="hidden" r:id="rId4"/>
    <sheet name="STAT" sheetId="7" state="hidden" r:id="rId5"/>
  </sheets>
  <functionGroups builtInGroupCount="18"/>
  <calcPr calcId="171027"/>
</workbook>
</file>

<file path=xl/calcChain.xml><?xml version="1.0" encoding="utf-8"?>
<calcChain xmlns="http://schemas.openxmlformats.org/spreadsheetml/2006/main">
  <c r="P300" i="2" l="1"/>
  <c r="Q300" i="2"/>
  <c r="P7" i="2"/>
  <c r="Q7" i="2"/>
  <c r="P8" i="2"/>
  <c r="Q8" i="2"/>
  <c r="P9" i="2"/>
  <c r="Q9" i="2"/>
  <c r="P10" i="2"/>
  <c r="Q10" i="2"/>
  <c r="P11" i="2"/>
  <c r="Q11" i="2"/>
  <c r="P12" i="2"/>
  <c r="Q12" i="2"/>
  <c r="P13" i="2"/>
  <c r="Q13" i="2"/>
  <c r="P14" i="2"/>
  <c r="Q14" i="2"/>
  <c r="P15" i="2"/>
  <c r="Q15" i="2"/>
  <c r="P16" i="2"/>
  <c r="Q16" i="2"/>
  <c r="P17" i="2"/>
  <c r="Q17" i="2"/>
  <c r="P18" i="2"/>
  <c r="Q18" i="2"/>
  <c r="P19" i="2"/>
  <c r="Q19" i="2"/>
  <c r="P20" i="2"/>
  <c r="Q20" i="2"/>
  <c r="P21" i="2"/>
  <c r="Q21" i="2"/>
  <c r="P22" i="2"/>
  <c r="Q22" i="2"/>
  <c r="P23" i="2"/>
  <c r="Q23" i="2"/>
  <c r="P24" i="2"/>
  <c r="Q24" i="2"/>
  <c r="P25" i="2"/>
  <c r="Q25" i="2"/>
  <c r="P26" i="2"/>
  <c r="Q26" i="2"/>
  <c r="P27" i="2"/>
  <c r="Q27" i="2"/>
  <c r="P28" i="2"/>
  <c r="Q28" i="2"/>
  <c r="P29" i="2"/>
  <c r="Q29" i="2"/>
  <c r="P30" i="2"/>
  <c r="Q30" i="2"/>
  <c r="P31" i="2"/>
  <c r="Q31" i="2"/>
  <c r="P32" i="2"/>
  <c r="Q32" i="2"/>
  <c r="P33" i="2"/>
  <c r="Q33" i="2"/>
  <c r="P34" i="2"/>
  <c r="Q34" i="2"/>
  <c r="P35" i="2"/>
  <c r="Q35" i="2"/>
  <c r="P36" i="2"/>
  <c r="Q36" i="2"/>
  <c r="P37" i="2"/>
  <c r="Q37" i="2"/>
  <c r="P38" i="2"/>
  <c r="Q38" i="2"/>
  <c r="P39" i="2"/>
  <c r="Q39" i="2"/>
  <c r="P40" i="2"/>
  <c r="Q40" i="2"/>
  <c r="P41" i="2"/>
  <c r="Q41" i="2"/>
  <c r="P42" i="2"/>
  <c r="Q42" i="2"/>
  <c r="P43" i="2"/>
  <c r="Q43" i="2"/>
  <c r="P44" i="2"/>
  <c r="Q44" i="2"/>
  <c r="P45" i="2"/>
  <c r="Q45" i="2"/>
  <c r="P46" i="2"/>
  <c r="Q46" i="2"/>
  <c r="P47" i="2"/>
  <c r="Q47" i="2"/>
  <c r="P48" i="2"/>
  <c r="Q48" i="2"/>
  <c r="P49" i="2"/>
  <c r="Q49" i="2"/>
  <c r="P50" i="2"/>
  <c r="Q50" i="2"/>
  <c r="P51" i="2"/>
  <c r="Q51" i="2"/>
  <c r="P52" i="2"/>
  <c r="Q52" i="2"/>
  <c r="P53" i="2"/>
  <c r="Q53" i="2"/>
  <c r="P54" i="2"/>
  <c r="Q54" i="2"/>
  <c r="P55" i="2"/>
  <c r="Q55" i="2"/>
  <c r="P56" i="2"/>
  <c r="Q56" i="2"/>
  <c r="P57" i="2"/>
  <c r="Q57" i="2"/>
  <c r="P58" i="2"/>
  <c r="Q58" i="2"/>
  <c r="P59" i="2"/>
  <c r="Q59" i="2"/>
  <c r="P60" i="2"/>
  <c r="Q60" i="2"/>
  <c r="P61" i="2"/>
  <c r="Q61" i="2"/>
  <c r="P62" i="2"/>
  <c r="Q62" i="2"/>
  <c r="P63" i="2"/>
  <c r="Q63" i="2"/>
  <c r="P64" i="2"/>
  <c r="Q64" i="2"/>
  <c r="P65" i="2"/>
  <c r="Q65" i="2"/>
  <c r="P66" i="2"/>
  <c r="Q66" i="2"/>
  <c r="P67" i="2"/>
  <c r="Q67" i="2"/>
  <c r="P68" i="2"/>
  <c r="Q68" i="2"/>
  <c r="P69" i="2"/>
  <c r="Q69" i="2"/>
  <c r="P70" i="2"/>
  <c r="Q70" i="2"/>
  <c r="P71" i="2"/>
  <c r="Q71" i="2"/>
  <c r="P72" i="2"/>
  <c r="Q72" i="2"/>
  <c r="P73" i="2"/>
  <c r="Q73" i="2"/>
  <c r="P74" i="2"/>
  <c r="Q74" i="2"/>
  <c r="P75" i="2"/>
  <c r="Q75" i="2"/>
  <c r="P76" i="2"/>
  <c r="Q76" i="2"/>
  <c r="P77" i="2"/>
  <c r="Q77" i="2"/>
  <c r="P78" i="2"/>
  <c r="Q78" i="2"/>
  <c r="P79" i="2"/>
  <c r="Q79" i="2"/>
  <c r="P80" i="2"/>
  <c r="Q80" i="2"/>
  <c r="P81" i="2"/>
  <c r="Q81" i="2"/>
  <c r="P82" i="2"/>
  <c r="Q82" i="2"/>
  <c r="P83" i="2"/>
  <c r="Q83" i="2"/>
  <c r="P84" i="2"/>
  <c r="Q84" i="2"/>
  <c r="P85" i="2"/>
  <c r="Q85" i="2"/>
  <c r="P86" i="2"/>
  <c r="Q86" i="2"/>
  <c r="P87" i="2"/>
  <c r="Q87" i="2"/>
  <c r="P88" i="2"/>
  <c r="Q88" i="2"/>
  <c r="P89" i="2"/>
  <c r="Q89" i="2"/>
  <c r="P90" i="2"/>
  <c r="Q90" i="2"/>
  <c r="P91" i="2"/>
  <c r="Q91" i="2"/>
  <c r="P92" i="2"/>
  <c r="Q92" i="2"/>
  <c r="P93" i="2"/>
  <c r="Q93" i="2"/>
  <c r="P94" i="2"/>
  <c r="Q94" i="2"/>
  <c r="P95" i="2"/>
  <c r="Q95" i="2"/>
  <c r="P96" i="2"/>
  <c r="Q96" i="2"/>
  <c r="P97" i="2"/>
  <c r="Q97" i="2"/>
  <c r="P98" i="2"/>
  <c r="Q98" i="2"/>
  <c r="P99" i="2"/>
  <c r="Q99" i="2"/>
  <c r="P100" i="2"/>
  <c r="Q100" i="2"/>
  <c r="P101" i="2"/>
  <c r="Q101" i="2"/>
  <c r="P102" i="2"/>
  <c r="Q102" i="2"/>
  <c r="P103" i="2"/>
  <c r="Q103" i="2"/>
  <c r="P104" i="2"/>
  <c r="Q104" i="2"/>
  <c r="P105" i="2"/>
  <c r="Q105" i="2"/>
  <c r="P106" i="2"/>
  <c r="Q106" i="2"/>
  <c r="P107" i="2"/>
  <c r="Q107" i="2"/>
  <c r="P108" i="2"/>
  <c r="Q108" i="2"/>
  <c r="P109" i="2"/>
  <c r="Q109" i="2"/>
  <c r="P110" i="2"/>
  <c r="Q110" i="2"/>
  <c r="P111" i="2"/>
  <c r="Q111" i="2"/>
  <c r="P112" i="2"/>
  <c r="Q112" i="2"/>
  <c r="P113" i="2"/>
  <c r="Q113" i="2"/>
  <c r="P114" i="2"/>
  <c r="Q114" i="2"/>
  <c r="P115" i="2"/>
  <c r="Q115" i="2"/>
  <c r="P116" i="2"/>
  <c r="Q116" i="2"/>
  <c r="P117" i="2"/>
  <c r="Q117" i="2"/>
  <c r="P118" i="2"/>
  <c r="Q118" i="2"/>
  <c r="P119" i="2"/>
  <c r="Q119" i="2"/>
  <c r="P120" i="2"/>
  <c r="Q120" i="2"/>
  <c r="P121" i="2"/>
  <c r="Q121" i="2"/>
  <c r="P122" i="2"/>
  <c r="Q122" i="2"/>
  <c r="P123" i="2"/>
  <c r="Q123" i="2"/>
  <c r="P124" i="2"/>
  <c r="Q124" i="2"/>
  <c r="P125" i="2"/>
  <c r="Q125" i="2"/>
  <c r="P126" i="2"/>
  <c r="Q126" i="2"/>
  <c r="P127" i="2"/>
  <c r="Q127" i="2"/>
  <c r="P128" i="2"/>
  <c r="Q128" i="2"/>
  <c r="P129" i="2"/>
  <c r="Q129" i="2"/>
  <c r="P130" i="2"/>
  <c r="Q130" i="2"/>
  <c r="P131" i="2"/>
  <c r="Q131" i="2"/>
  <c r="P132" i="2"/>
  <c r="Q132" i="2"/>
  <c r="P133" i="2"/>
  <c r="Q133" i="2"/>
  <c r="P134" i="2"/>
  <c r="Q134" i="2"/>
  <c r="P135" i="2"/>
  <c r="Q135" i="2"/>
  <c r="P136" i="2"/>
  <c r="Q136" i="2"/>
  <c r="P137" i="2"/>
  <c r="Q137" i="2"/>
  <c r="P138" i="2"/>
  <c r="Q138" i="2"/>
  <c r="P139" i="2"/>
  <c r="Q139" i="2"/>
  <c r="P140" i="2"/>
  <c r="Q140" i="2"/>
  <c r="P141" i="2"/>
  <c r="Q141" i="2"/>
  <c r="P142" i="2"/>
  <c r="Q142" i="2"/>
  <c r="P143" i="2"/>
  <c r="Q143" i="2"/>
  <c r="P144" i="2"/>
  <c r="Q144" i="2"/>
  <c r="P145" i="2"/>
  <c r="Q145" i="2"/>
  <c r="P146" i="2"/>
  <c r="Q146" i="2"/>
  <c r="P147" i="2"/>
  <c r="Q147" i="2"/>
  <c r="P148" i="2"/>
  <c r="Q148" i="2"/>
  <c r="P149" i="2"/>
  <c r="Q149" i="2"/>
  <c r="P150" i="2"/>
  <c r="Q150" i="2"/>
  <c r="P151" i="2"/>
  <c r="Q151" i="2"/>
  <c r="P152" i="2"/>
  <c r="Q152" i="2"/>
  <c r="P153" i="2"/>
  <c r="Q153" i="2"/>
  <c r="P154" i="2"/>
  <c r="Q154" i="2"/>
  <c r="P155" i="2"/>
  <c r="Q155" i="2"/>
  <c r="P156" i="2"/>
  <c r="Q156" i="2"/>
  <c r="P157" i="2"/>
  <c r="Q157" i="2"/>
  <c r="P158" i="2"/>
  <c r="Q158" i="2"/>
  <c r="P159" i="2"/>
  <c r="Q159" i="2"/>
  <c r="P160" i="2"/>
  <c r="Q160" i="2"/>
  <c r="P161" i="2"/>
  <c r="Q161" i="2"/>
  <c r="P162" i="2"/>
  <c r="Q162" i="2"/>
  <c r="P163" i="2"/>
  <c r="Q163" i="2"/>
  <c r="P164" i="2"/>
  <c r="Q164" i="2"/>
  <c r="P165" i="2"/>
  <c r="Q165" i="2"/>
  <c r="P166" i="2"/>
  <c r="Q166" i="2"/>
  <c r="P167" i="2"/>
  <c r="Q167" i="2"/>
  <c r="P168" i="2"/>
  <c r="Q168" i="2"/>
  <c r="P169" i="2"/>
  <c r="Q169" i="2"/>
  <c r="P170" i="2"/>
  <c r="Q170" i="2"/>
  <c r="P171" i="2"/>
  <c r="Q171" i="2"/>
  <c r="P172" i="2"/>
  <c r="Q172" i="2"/>
  <c r="P173" i="2"/>
  <c r="Q173" i="2"/>
  <c r="P174" i="2"/>
  <c r="Q174" i="2"/>
  <c r="P175" i="2"/>
  <c r="Q175" i="2"/>
  <c r="P176" i="2"/>
  <c r="Q176" i="2"/>
  <c r="P177" i="2"/>
  <c r="Q177" i="2"/>
  <c r="P178" i="2"/>
  <c r="Q178" i="2"/>
  <c r="P179" i="2"/>
  <c r="Q179" i="2"/>
  <c r="P180" i="2"/>
  <c r="Q180" i="2"/>
  <c r="P181" i="2"/>
  <c r="Q181" i="2"/>
  <c r="P182" i="2"/>
  <c r="Q182" i="2"/>
  <c r="P183" i="2"/>
  <c r="Q183" i="2"/>
  <c r="P184" i="2"/>
  <c r="Q184" i="2"/>
  <c r="P185" i="2"/>
  <c r="Q185" i="2"/>
  <c r="P186" i="2"/>
  <c r="Q186" i="2"/>
  <c r="P187" i="2"/>
  <c r="Q187" i="2"/>
  <c r="P188" i="2"/>
  <c r="Q188" i="2"/>
  <c r="P189" i="2"/>
  <c r="Q189" i="2"/>
  <c r="P190" i="2"/>
  <c r="Q190" i="2"/>
  <c r="P191" i="2"/>
  <c r="Q191" i="2"/>
  <c r="P192" i="2"/>
  <c r="Q192" i="2"/>
  <c r="P193" i="2"/>
  <c r="Q193" i="2"/>
  <c r="P194" i="2"/>
  <c r="Q194" i="2"/>
  <c r="P195" i="2"/>
  <c r="Q195" i="2"/>
  <c r="P196" i="2"/>
  <c r="Q196" i="2"/>
  <c r="P197" i="2"/>
  <c r="Q197" i="2"/>
  <c r="P198" i="2"/>
  <c r="Q198" i="2"/>
  <c r="P199" i="2"/>
  <c r="Q199" i="2"/>
  <c r="P200" i="2"/>
  <c r="Q200" i="2"/>
  <c r="P201" i="2"/>
  <c r="Q201" i="2"/>
  <c r="P202" i="2"/>
  <c r="Q202" i="2"/>
  <c r="P203" i="2"/>
  <c r="Q203" i="2"/>
  <c r="P204" i="2"/>
  <c r="Q204" i="2"/>
  <c r="P205" i="2"/>
  <c r="Q205" i="2"/>
  <c r="P206" i="2"/>
  <c r="Q206" i="2"/>
  <c r="P207" i="2"/>
  <c r="Q207" i="2"/>
  <c r="P208" i="2"/>
  <c r="Q208" i="2"/>
  <c r="P209" i="2"/>
  <c r="Q209" i="2"/>
  <c r="P210" i="2"/>
  <c r="Q210" i="2"/>
  <c r="P211" i="2"/>
  <c r="Q211" i="2"/>
  <c r="P212" i="2"/>
  <c r="Q212" i="2"/>
  <c r="P213" i="2"/>
  <c r="Q213" i="2"/>
  <c r="P214" i="2"/>
  <c r="Q214" i="2"/>
  <c r="P215" i="2"/>
  <c r="Q215" i="2"/>
  <c r="P216" i="2"/>
  <c r="Q216" i="2"/>
  <c r="P217" i="2"/>
  <c r="Q217" i="2"/>
  <c r="P218" i="2"/>
  <c r="Q218" i="2"/>
  <c r="P219" i="2"/>
  <c r="Q219" i="2"/>
  <c r="P220" i="2"/>
  <c r="Q220" i="2"/>
  <c r="P221" i="2"/>
  <c r="Q221" i="2"/>
  <c r="P222" i="2"/>
  <c r="Q222" i="2"/>
  <c r="P223" i="2"/>
  <c r="Q223" i="2"/>
  <c r="P224" i="2"/>
  <c r="Q224" i="2"/>
  <c r="P225" i="2"/>
  <c r="Q225" i="2"/>
  <c r="P226" i="2"/>
  <c r="Q226" i="2"/>
  <c r="P227" i="2"/>
  <c r="Q227" i="2"/>
  <c r="P228" i="2"/>
  <c r="Q228" i="2"/>
  <c r="P229" i="2"/>
  <c r="Q229" i="2"/>
  <c r="P230" i="2"/>
  <c r="Q230" i="2"/>
  <c r="P231" i="2"/>
  <c r="Q231" i="2"/>
  <c r="P232" i="2"/>
  <c r="Q232" i="2"/>
  <c r="P233" i="2"/>
  <c r="Q233" i="2"/>
  <c r="P234" i="2"/>
  <c r="Q234" i="2"/>
  <c r="P235" i="2"/>
  <c r="Q235" i="2"/>
  <c r="P236" i="2"/>
  <c r="Q236" i="2"/>
  <c r="P237" i="2"/>
  <c r="Q237" i="2"/>
  <c r="P238" i="2"/>
  <c r="Q238" i="2"/>
  <c r="P239" i="2"/>
  <c r="Q239" i="2"/>
  <c r="P240" i="2"/>
  <c r="Q240" i="2"/>
  <c r="P241" i="2"/>
  <c r="Q241" i="2"/>
  <c r="P242" i="2"/>
  <c r="Q242" i="2"/>
  <c r="P243" i="2"/>
  <c r="Q243" i="2"/>
  <c r="P244" i="2"/>
  <c r="Q244" i="2"/>
  <c r="P245" i="2"/>
  <c r="Q245" i="2"/>
  <c r="P246" i="2"/>
  <c r="Q246" i="2"/>
  <c r="P247" i="2"/>
  <c r="Q247" i="2"/>
  <c r="P248" i="2"/>
  <c r="Q248" i="2"/>
  <c r="P249" i="2"/>
  <c r="Q249" i="2"/>
  <c r="P250" i="2"/>
  <c r="Q250" i="2"/>
  <c r="P251" i="2"/>
  <c r="Q251" i="2"/>
  <c r="P252" i="2"/>
  <c r="Q252" i="2"/>
  <c r="P253" i="2"/>
  <c r="Q253" i="2"/>
  <c r="P254" i="2"/>
  <c r="Q254" i="2"/>
  <c r="P255" i="2"/>
  <c r="Q255" i="2"/>
  <c r="P256" i="2"/>
  <c r="Q256" i="2"/>
  <c r="P257" i="2"/>
  <c r="Q257" i="2"/>
  <c r="P258" i="2"/>
  <c r="Q258" i="2"/>
  <c r="P259" i="2"/>
  <c r="Q259" i="2"/>
  <c r="P260" i="2"/>
  <c r="Q260" i="2"/>
  <c r="P261" i="2"/>
  <c r="Q261" i="2"/>
  <c r="P262" i="2"/>
  <c r="Q262" i="2"/>
  <c r="P263" i="2"/>
  <c r="Q263" i="2"/>
  <c r="P264" i="2"/>
  <c r="Q264" i="2"/>
  <c r="P265" i="2"/>
  <c r="Q265" i="2"/>
  <c r="P266" i="2"/>
  <c r="Q266" i="2"/>
  <c r="P267" i="2"/>
  <c r="Q267" i="2"/>
  <c r="P268" i="2"/>
  <c r="Q268" i="2"/>
  <c r="P269" i="2"/>
  <c r="Q269" i="2"/>
  <c r="P270" i="2"/>
  <c r="Q270" i="2"/>
  <c r="P271" i="2"/>
  <c r="Q271" i="2"/>
  <c r="P272" i="2"/>
  <c r="Q272" i="2"/>
  <c r="P273" i="2"/>
  <c r="Q273" i="2"/>
  <c r="P274" i="2"/>
  <c r="Q274" i="2"/>
  <c r="P275" i="2"/>
  <c r="Q275" i="2"/>
  <c r="P276" i="2"/>
  <c r="Q276" i="2"/>
  <c r="P277" i="2"/>
  <c r="Q277" i="2"/>
  <c r="P278" i="2"/>
  <c r="Q278" i="2"/>
  <c r="P279" i="2"/>
  <c r="Q279" i="2"/>
  <c r="P280" i="2"/>
  <c r="Q280" i="2"/>
  <c r="P281" i="2"/>
  <c r="Q281" i="2"/>
  <c r="P282" i="2"/>
  <c r="Q282" i="2"/>
  <c r="P283" i="2"/>
  <c r="Q283" i="2"/>
  <c r="P284" i="2"/>
  <c r="Q284" i="2"/>
  <c r="P285" i="2"/>
  <c r="Q285" i="2"/>
  <c r="P286" i="2"/>
  <c r="Q286" i="2"/>
  <c r="P287" i="2"/>
  <c r="Q287" i="2"/>
  <c r="P288" i="2"/>
  <c r="Q288" i="2"/>
  <c r="P289" i="2"/>
  <c r="Q289" i="2"/>
  <c r="P290" i="2"/>
  <c r="Q290" i="2"/>
  <c r="P291" i="2"/>
  <c r="Q291" i="2"/>
  <c r="P292" i="2"/>
  <c r="Q292" i="2"/>
  <c r="P293" i="2"/>
  <c r="Q293" i="2"/>
  <c r="P294" i="2"/>
  <c r="Q294" i="2"/>
  <c r="P295" i="2"/>
  <c r="Q295" i="2"/>
  <c r="P296" i="2"/>
  <c r="Q296" i="2"/>
  <c r="P297" i="2"/>
  <c r="Q297" i="2"/>
  <c r="P298" i="2"/>
  <c r="Q298" i="2"/>
  <c r="P299" i="2"/>
  <c r="Q299" i="2"/>
  <c r="Q6" i="2"/>
  <c r="P6" i="2"/>
  <c r="M7" i="2" l="1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6" i="2"/>
  <c r="K6" i="2"/>
  <c r="H5" i="2" l="1"/>
  <c r="F5" i="2"/>
  <c r="E5" i="2"/>
  <c r="D5" i="2"/>
  <c r="C5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6" i="2"/>
  <c r="I6" i="2"/>
  <c r="I7" i="2"/>
  <c r="I8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9" i="2"/>
  <c r="H9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72" i="2"/>
  <c r="H73" i="2"/>
  <c r="H74" i="2"/>
  <c r="H75" i="2"/>
  <c r="H76" i="2"/>
  <c r="H77" i="2"/>
  <c r="H78" i="2"/>
  <c r="H79" i="2"/>
  <c r="H80" i="2"/>
  <c r="H81" i="2"/>
  <c r="H82" i="2"/>
  <c r="H83" i="2"/>
  <c r="H84" i="2"/>
  <c r="H85" i="2"/>
  <c r="H86" i="2"/>
  <c r="H87" i="2"/>
  <c r="H88" i="2"/>
  <c r="H89" i="2"/>
  <c r="H90" i="2"/>
  <c r="H91" i="2"/>
  <c r="H92" i="2"/>
  <c r="H93" i="2"/>
  <c r="H94" i="2"/>
  <c r="H95" i="2"/>
  <c r="H96" i="2"/>
  <c r="H97" i="2"/>
  <c r="H98" i="2"/>
  <c r="H99" i="2"/>
  <c r="H100" i="2"/>
  <c r="H101" i="2"/>
  <c r="H102" i="2"/>
  <c r="H103" i="2"/>
  <c r="H104" i="2"/>
  <c r="H105" i="2"/>
  <c r="H106" i="2"/>
  <c r="H107" i="2"/>
  <c r="H108" i="2"/>
  <c r="H109" i="2"/>
  <c r="H110" i="2"/>
  <c r="H111" i="2"/>
  <c r="H112" i="2"/>
  <c r="H113" i="2"/>
  <c r="H114" i="2"/>
  <c r="H115" i="2"/>
  <c r="H116" i="2"/>
  <c r="H117" i="2"/>
  <c r="H118" i="2"/>
  <c r="H119" i="2"/>
  <c r="H120" i="2"/>
  <c r="H121" i="2"/>
  <c r="H122" i="2"/>
  <c r="H123" i="2"/>
  <c r="H124" i="2"/>
  <c r="H125" i="2"/>
  <c r="H126" i="2"/>
  <c r="H127" i="2"/>
  <c r="H128" i="2"/>
  <c r="H129" i="2"/>
  <c r="H130" i="2"/>
  <c r="H131" i="2"/>
  <c r="H132" i="2"/>
  <c r="H133" i="2"/>
  <c r="H134" i="2"/>
  <c r="H135" i="2"/>
  <c r="H136" i="2"/>
  <c r="H137" i="2"/>
  <c r="H138" i="2"/>
  <c r="H139" i="2"/>
  <c r="H140" i="2"/>
  <c r="H141" i="2"/>
  <c r="H142" i="2"/>
  <c r="H143" i="2"/>
  <c r="H144" i="2"/>
  <c r="H145" i="2"/>
  <c r="H146" i="2"/>
  <c r="H147" i="2"/>
  <c r="H148" i="2"/>
  <c r="H149" i="2"/>
  <c r="H150" i="2"/>
  <c r="H151" i="2"/>
  <c r="H152" i="2"/>
  <c r="H153" i="2"/>
  <c r="H154" i="2"/>
  <c r="H155" i="2"/>
  <c r="H156" i="2"/>
  <c r="H157" i="2"/>
  <c r="H158" i="2"/>
  <c r="H159" i="2"/>
  <c r="H160" i="2"/>
  <c r="H161" i="2"/>
  <c r="H162" i="2"/>
  <c r="H163" i="2"/>
  <c r="H164" i="2"/>
  <c r="H165" i="2"/>
  <c r="H166" i="2"/>
  <c r="H167" i="2"/>
  <c r="H168" i="2"/>
  <c r="H169" i="2"/>
  <c r="H170" i="2"/>
  <c r="H171" i="2"/>
  <c r="H172" i="2"/>
  <c r="H173" i="2"/>
  <c r="H174" i="2"/>
  <c r="H175" i="2"/>
  <c r="H176" i="2"/>
  <c r="H177" i="2"/>
  <c r="H178" i="2"/>
  <c r="H179" i="2"/>
  <c r="H180" i="2"/>
  <c r="H181" i="2"/>
  <c r="H182" i="2"/>
  <c r="H183" i="2"/>
  <c r="H184" i="2"/>
  <c r="H185" i="2"/>
  <c r="H186" i="2"/>
  <c r="H187" i="2"/>
  <c r="H188" i="2"/>
  <c r="H189" i="2"/>
  <c r="H190" i="2"/>
  <c r="H191" i="2"/>
  <c r="H192" i="2"/>
  <c r="H193" i="2"/>
  <c r="H194" i="2"/>
  <c r="H195" i="2"/>
  <c r="H196" i="2"/>
  <c r="H197" i="2"/>
  <c r="H198" i="2"/>
  <c r="H199" i="2"/>
  <c r="H200" i="2"/>
  <c r="H201" i="2"/>
  <c r="H202" i="2"/>
  <c r="H203" i="2"/>
  <c r="H204" i="2"/>
  <c r="H205" i="2"/>
  <c r="H206" i="2"/>
  <c r="H207" i="2"/>
  <c r="H208" i="2"/>
  <c r="H209" i="2"/>
  <c r="H210" i="2"/>
  <c r="H211" i="2"/>
  <c r="H212" i="2"/>
  <c r="H213" i="2"/>
  <c r="H214" i="2"/>
  <c r="H215" i="2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6" i="2"/>
  <c r="H237" i="2"/>
  <c r="H238" i="2"/>
  <c r="H239" i="2"/>
  <c r="H240" i="2"/>
  <c r="H241" i="2"/>
  <c r="H242" i="2"/>
  <c r="H243" i="2"/>
  <c r="H244" i="2"/>
  <c r="H245" i="2"/>
  <c r="H246" i="2"/>
  <c r="H247" i="2"/>
  <c r="H248" i="2"/>
  <c r="H249" i="2"/>
  <c r="H250" i="2"/>
  <c r="H251" i="2"/>
  <c r="H252" i="2"/>
  <c r="H253" i="2"/>
  <c r="H254" i="2"/>
  <c r="H255" i="2"/>
  <c r="H256" i="2"/>
  <c r="H257" i="2"/>
  <c r="H258" i="2"/>
  <c r="H259" i="2"/>
  <c r="H260" i="2"/>
  <c r="H261" i="2"/>
  <c r="H262" i="2"/>
  <c r="H263" i="2"/>
  <c r="H264" i="2"/>
  <c r="H265" i="2"/>
  <c r="H266" i="2"/>
  <c r="H267" i="2"/>
  <c r="H268" i="2"/>
  <c r="H269" i="2"/>
  <c r="H270" i="2"/>
  <c r="H271" i="2"/>
  <c r="H272" i="2"/>
  <c r="H273" i="2"/>
  <c r="H274" i="2"/>
  <c r="H275" i="2"/>
  <c r="H276" i="2"/>
  <c r="H277" i="2"/>
  <c r="H278" i="2"/>
  <c r="H279" i="2"/>
  <c r="H280" i="2"/>
  <c r="H281" i="2"/>
  <c r="H282" i="2"/>
  <c r="H283" i="2"/>
  <c r="H284" i="2"/>
  <c r="H285" i="2"/>
  <c r="H286" i="2"/>
  <c r="H287" i="2"/>
  <c r="H288" i="2"/>
  <c r="H289" i="2"/>
  <c r="H290" i="2"/>
  <c r="H291" i="2"/>
  <c r="H292" i="2"/>
  <c r="H293" i="2"/>
  <c r="H294" i="2"/>
  <c r="H295" i="2"/>
  <c r="H296" i="2"/>
  <c r="H297" i="2"/>
  <c r="H298" i="2"/>
  <c r="H299" i="2"/>
  <c r="H300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B3" i="7" l="1"/>
  <c r="C3" i="7"/>
  <c r="D3" i="7"/>
  <c r="E3" i="7"/>
  <c r="F3" i="7"/>
  <c r="G3" i="7"/>
  <c r="H3" i="7"/>
  <c r="I3" i="7"/>
  <c r="J3" i="7"/>
  <c r="K3" i="7"/>
  <c r="L3" i="7"/>
  <c r="M3" i="7"/>
  <c r="N3" i="7"/>
  <c r="O3" i="7"/>
  <c r="P3" i="7"/>
  <c r="B4" i="7"/>
  <c r="C4" i="7"/>
  <c r="D4" i="7"/>
  <c r="E4" i="7"/>
  <c r="F4" i="7"/>
  <c r="G4" i="7"/>
  <c r="H4" i="7"/>
  <c r="I4" i="7"/>
  <c r="J4" i="7"/>
  <c r="K4" i="7"/>
  <c r="L4" i="7"/>
  <c r="M4" i="7"/>
  <c r="N4" i="7"/>
  <c r="O4" i="7"/>
  <c r="P4" i="7"/>
  <c r="B5" i="7"/>
  <c r="C5" i="7"/>
  <c r="D5" i="7"/>
  <c r="E5" i="7"/>
  <c r="F5" i="7"/>
  <c r="G5" i="7"/>
  <c r="H5" i="7"/>
  <c r="I5" i="7"/>
  <c r="J5" i="7"/>
  <c r="K5" i="7"/>
  <c r="L5" i="7"/>
  <c r="M5" i="7"/>
  <c r="N5" i="7"/>
  <c r="O5" i="7"/>
  <c r="P5" i="7"/>
  <c r="B6" i="7"/>
  <c r="C6" i="7"/>
  <c r="D6" i="7"/>
  <c r="E6" i="7"/>
  <c r="F6" i="7"/>
  <c r="G6" i="7"/>
  <c r="H6" i="7"/>
  <c r="I6" i="7"/>
  <c r="J6" i="7"/>
  <c r="K6" i="7"/>
  <c r="L6" i="7"/>
  <c r="M6" i="7"/>
  <c r="N6" i="7"/>
  <c r="O6" i="7"/>
  <c r="P6" i="7"/>
  <c r="B7" i="7"/>
  <c r="C7" i="7"/>
  <c r="D7" i="7"/>
  <c r="E7" i="7"/>
  <c r="F7" i="7"/>
  <c r="G7" i="7"/>
  <c r="H7" i="7"/>
  <c r="I7" i="7"/>
  <c r="J7" i="7"/>
  <c r="K7" i="7"/>
  <c r="L7" i="7"/>
  <c r="M7" i="7"/>
  <c r="N7" i="7"/>
  <c r="O7" i="7"/>
  <c r="P7" i="7"/>
  <c r="B8" i="7"/>
  <c r="C8" i="7"/>
  <c r="D8" i="7"/>
  <c r="E8" i="7"/>
  <c r="F8" i="7"/>
  <c r="G8" i="7"/>
  <c r="H8" i="7"/>
  <c r="I8" i="7"/>
  <c r="J8" i="7"/>
  <c r="K8" i="7"/>
  <c r="L8" i="7"/>
  <c r="M8" i="7"/>
  <c r="N8" i="7"/>
  <c r="O8" i="7"/>
  <c r="U8" i="7" s="1"/>
  <c r="P8" i="7"/>
  <c r="B9" i="7"/>
  <c r="C9" i="7"/>
  <c r="D9" i="7"/>
  <c r="E9" i="7"/>
  <c r="F9" i="7"/>
  <c r="G9" i="7"/>
  <c r="H9" i="7"/>
  <c r="I9" i="7"/>
  <c r="J9" i="7"/>
  <c r="K9" i="7"/>
  <c r="L9" i="7"/>
  <c r="M9" i="7"/>
  <c r="N9" i="7"/>
  <c r="O9" i="7"/>
  <c r="P9" i="7"/>
  <c r="B10" i="7"/>
  <c r="C10" i="7"/>
  <c r="D10" i="7"/>
  <c r="E10" i="7"/>
  <c r="F10" i="7"/>
  <c r="G10" i="7"/>
  <c r="H10" i="7"/>
  <c r="I10" i="7"/>
  <c r="J10" i="7"/>
  <c r="K10" i="7"/>
  <c r="L10" i="7"/>
  <c r="M10" i="7"/>
  <c r="N10" i="7"/>
  <c r="O10" i="7"/>
  <c r="P10" i="7"/>
  <c r="B11" i="7"/>
  <c r="C11" i="7"/>
  <c r="D11" i="7"/>
  <c r="E11" i="7"/>
  <c r="F11" i="7"/>
  <c r="G11" i="7"/>
  <c r="H11" i="7"/>
  <c r="I11" i="7"/>
  <c r="J11" i="7"/>
  <c r="K11" i="7"/>
  <c r="L11" i="7"/>
  <c r="M11" i="7"/>
  <c r="N11" i="7"/>
  <c r="O11" i="7"/>
  <c r="P11" i="7"/>
  <c r="B12" i="7"/>
  <c r="C12" i="7"/>
  <c r="D12" i="7"/>
  <c r="E12" i="7"/>
  <c r="F12" i="7"/>
  <c r="G12" i="7"/>
  <c r="H12" i="7"/>
  <c r="I12" i="7"/>
  <c r="J12" i="7"/>
  <c r="K12" i="7"/>
  <c r="L12" i="7"/>
  <c r="M12" i="7"/>
  <c r="N12" i="7"/>
  <c r="O12" i="7"/>
  <c r="U12" i="7" s="1"/>
  <c r="P12" i="7"/>
  <c r="B13" i="7"/>
  <c r="C13" i="7"/>
  <c r="D13" i="7"/>
  <c r="E13" i="7"/>
  <c r="F13" i="7"/>
  <c r="G13" i="7"/>
  <c r="H13" i="7"/>
  <c r="I13" i="7"/>
  <c r="J13" i="7"/>
  <c r="K13" i="7"/>
  <c r="L13" i="7"/>
  <c r="M13" i="7"/>
  <c r="N13" i="7"/>
  <c r="O13" i="7"/>
  <c r="P13" i="7"/>
  <c r="B14" i="7"/>
  <c r="C14" i="7"/>
  <c r="D14" i="7"/>
  <c r="E14" i="7"/>
  <c r="F14" i="7"/>
  <c r="G14" i="7"/>
  <c r="H14" i="7"/>
  <c r="I14" i="7"/>
  <c r="J14" i="7"/>
  <c r="K14" i="7"/>
  <c r="L14" i="7"/>
  <c r="M14" i="7"/>
  <c r="N14" i="7"/>
  <c r="O14" i="7"/>
  <c r="P14" i="7"/>
  <c r="B15" i="7"/>
  <c r="C15" i="7"/>
  <c r="D15" i="7"/>
  <c r="E15" i="7"/>
  <c r="F15" i="7"/>
  <c r="G15" i="7"/>
  <c r="H15" i="7"/>
  <c r="I15" i="7"/>
  <c r="J15" i="7"/>
  <c r="K15" i="7"/>
  <c r="L15" i="7"/>
  <c r="M15" i="7"/>
  <c r="N15" i="7"/>
  <c r="O15" i="7"/>
  <c r="P15" i="7"/>
  <c r="B16" i="7"/>
  <c r="C16" i="7"/>
  <c r="D16" i="7"/>
  <c r="E16" i="7"/>
  <c r="F16" i="7"/>
  <c r="G16" i="7"/>
  <c r="H16" i="7"/>
  <c r="I16" i="7"/>
  <c r="J16" i="7"/>
  <c r="K16" i="7"/>
  <c r="L16" i="7"/>
  <c r="M16" i="7"/>
  <c r="N16" i="7"/>
  <c r="O16" i="7"/>
  <c r="P16" i="7"/>
  <c r="B17" i="7"/>
  <c r="C17" i="7"/>
  <c r="D17" i="7"/>
  <c r="E17" i="7"/>
  <c r="F17" i="7"/>
  <c r="G17" i="7"/>
  <c r="H17" i="7"/>
  <c r="I17" i="7"/>
  <c r="J17" i="7"/>
  <c r="K17" i="7"/>
  <c r="L17" i="7"/>
  <c r="M17" i="7"/>
  <c r="N17" i="7"/>
  <c r="O17" i="7"/>
  <c r="P17" i="7"/>
  <c r="B18" i="7"/>
  <c r="C18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B19" i="7"/>
  <c r="C19" i="7"/>
  <c r="D19" i="7"/>
  <c r="E19" i="7"/>
  <c r="F19" i="7"/>
  <c r="G19" i="7"/>
  <c r="H19" i="7"/>
  <c r="I19" i="7"/>
  <c r="J19" i="7"/>
  <c r="K19" i="7"/>
  <c r="L19" i="7"/>
  <c r="M19" i="7"/>
  <c r="N19" i="7"/>
  <c r="O19" i="7"/>
  <c r="P19" i="7"/>
  <c r="B20" i="7"/>
  <c r="C20" i="7"/>
  <c r="D20" i="7"/>
  <c r="E20" i="7"/>
  <c r="F20" i="7"/>
  <c r="G20" i="7"/>
  <c r="H20" i="7"/>
  <c r="I20" i="7"/>
  <c r="J20" i="7"/>
  <c r="K20" i="7"/>
  <c r="L20" i="7"/>
  <c r="M20" i="7"/>
  <c r="N20" i="7"/>
  <c r="O20" i="7"/>
  <c r="U20" i="7" s="1"/>
  <c r="P20" i="7"/>
  <c r="B21" i="7"/>
  <c r="C21" i="7"/>
  <c r="D21" i="7"/>
  <c r="E21" i="7"/>
  <c r="F21" i="7"/>
  <c r="G21" i="7"/>
  <c r="H21" i="7"/>
  <c r="I21" i="7"/>
  <c r="J21" i="7"/>
  <c r="K21" i="7"/>
  <c r="L21" i="7"/>
  <c r="M21" i="7"/>
  <c r="N21" i="7"/>
  <c r="O21" i="7"/>
  <c r="P21" i="7"/>
  <c r="B22" i="7"/>
  <c r="C22" i="7"/>
  <c r="D22" i="7"/>
  <c r="E22" i="7"/>
  <c r="F22" i="7"/>
  <c r="G22" i="7"/>
  <c r="H22" i="7"/>
  <c r="I22" i="7"/>
  <c r="J22" i="7"/>
  <c r="K22" i="7"/>
  <c r="L22" i="7"/>
  <c r="M22" i="7"/>
  <c r="N22" i="7"/>
  <c r="O22" i="7"/>
  <c r="P22" i="7"/>
  <c r="B23" i="7"/>
  <c r="C23" i="7"/>
  <c r="D23" i="7"/>
  <c r="E23" i="7"/>
  <c r="F23" i="7"/>
  <c r="G23" i="7"/>
  <c r="H23" i="7"/>
  <c r="I23" i="7"/>
  <c r="J23" i="7"/>
  <c r="K23" i="7"/>
  <c r="L23" i="7"/>
  <c r="M23" i="7"/>
  <c r="N23" i="7"/>
  <c r="O23" i="7"/>
  <c r="P23" i="7"/>
  <c r="B24" i="7"/>
  <c r="C24" i="7"/>
  <c r="D24" i="7"/>
  <c r="E24" i="7"/>
  <c r="F24" i="7"/>
  <c r="G24" i="7"/>
  <c r="H24" i="7"/>
  <c r="I24" i="7"/>
  <c r="J24" i="7"/>
  <c r="K24" i="7"/>
  <c r="L24" i="7"/>
  <c r="M24" i="7"/>
  <c r="N24" i="7"/>
  <c r="O24" i="7"/>
  <c r="U24" i="7" s="1"/>
  <c r="P24" i="7"/>
  <c r="B25" i="7"/>
  <c r="C25" i="7"/>
  <c r="D25" i="7"/>
  <c r="E25" i="7"/>
  <c r="F25" i="7"/>
  <c r="G25" i="7"/>
  <c r="H25" i="7"/>
  <c r="I25" i="7"/>
  <c r="J25" i="7"/>
  <c r="K25" i="7"/>
  <c r="L25" i="7"/>
  <c r="M25" i="7"/>
  <c r="N25" i="7"/>
  <c r="O25" i="7"/>
  <c r="P25" i="7"/>
  <c r="B26" i="7"/>
  <c r="C26" i="7"/>
  <c r="D26" i="7"/>
  <c r="E26" i="7"/>
  <c r="F26" i="7"/>
  <c r="G26" i="7"/>
  <c r="H26" i="7"/>
  <c r="I26" i="7"/>
  <c r="J26" i="7"/>
  <c r="K26" i="7"/>
  <c r="L26" i="7"/>
  <c r="M26" i="7"/>
  <c r="N26" i="7"/>
  <c r="O26" i="7"/>
  <c r="P26" i="7"/>
  <c r="B27" i="7"/>
  <c r="C27" i="7"/>
  <c r="D27" i="7"/>
  <c r="E27" i="7"/>
  <c r="F27" i="7"/>
  <c r="G27" i="7"/>
  <c r="H27" i="7"/>
  <c r="I27" i="7"/>
  <c r="J27" i="7"/>
  <c r="K27" i="7"/>
  <c r="L27" i="7"/>
  <c r="M27" i="7"/>
  <c r="N27" i="7"/>
  <c r="O27" i="7"/>
  <c r="P27" i="7"/>
  <c r="B28" i="7"/>
  <c r="C28" i="7"/>
  <c r="D28" i="7"/>
  <c r="E28" i="7"/>
  <c r="F28" i="7"/>
  <c r="G28" i="7"/>
  <c r="H28" i="7"/>
  <c r="I28" i="7"/>
  <c r="J28" i="7"/>
  <c r="K28" i="7"/>
  <c r="L28" i="7"/>
  <c r="M28" i="7"/>
  <c r="N28" i="7"/>
  <c r="O28" i="7"/>
  <c r="P28" i="7"/>
  <c r="B29" i="7"/>
  <c r="C29" i="7"/>
  <c r="D29" i="7"/>
  <c r="E29" i="7"/>
  <c r="F29" i="7"/>
  <c r="G29" i="7"/>
  <c r="H29" i="7"/>
  <c r="I29" i="7"/>
  <c r="J29" i="7"/>
  <c r="K29" i="7"/>
  <c r="L29" i="7"/>
  <c r="M29" i="7"/>
  <c r="N29" i="7"/>
  <c r="O29" i="7"/>
  <c r="P29" i="7"/>
  <c r="B30" i="7"/>
  <c r="C30" i="7"/>
  <c r="D30" i="7"/>
  <c r="E30" i="7"/>
  <c r="F30" i="7"/>
  <c r="G30" i="7"/>
  <c r="H30" i="7"/>
  <c r="I30" i="7"/>
  <c r="J30" i="7"/>
  <c r="K30" i="7"/>
  <c r="L30" i="7"/>
  <c r="M30" i="7"/>
  <c r="N30" i="7"/>
  <c r="O30" i="7"/>
  <c r="P30" i="7"/>
  <c r="B31" i="7"/>
  <c r="C31" i="7"/>
  <c r="D31" i="7"/>
  <c r="E31" i="7"/>
  <c r="F31" i="7"/>
  <c r="G31" i="7"/>
  <c r="H31" i="7"/>
  <c r="I31" i="7"/>
  <c r="J31" i="7"/>
  <c r="K31" i="7"/>
  <c r="L31" i="7"/>
  <c r="M31" i="7"/>
  <c r="N31" i="7"/>
  <c r="O31" i="7"/>
  <c r="P31" i="7"/>
  <c r="B32" i="7"/>
  <c r="C32" i="7"/>
  <c r="D32" i="7"/>
  <c r="E32" i="7"/>
  <c r="F32" i="7"/>
  <c r="G32" i="7"/>
  <c r="H32" i="7"/>
  <c r="I32" i="7"/>
  <c r="J32" i="7"/>
  <c r="K32" i="7"/>
  <c r="L32" i="7"/>
  <c r="M32" i="7"/>
  <c r="N32" i="7"/>
  <c r="O32" i="7"/>
  <c r="U32" i="7" s="1"/>
  <c r="P32" i="7"/>
  <c r="B33" i="7"/>
  <c r="C33" i="7"/>
  <c r="D33" i="7"/>
  <c r="E33" i="7"/>
  <c r="F33" i="7"/>
  <c r="G33" i="7"/>
  <c r="H33" i="7"/>
  <c r="I33" i="7"/>
  <c r="J33" i="7"/>
  <c r="K33" i="7"/>
  <c r="L33" i="7"/>
  <c r="M33" i="7"/>
  <c r="N33" i="7"/>
  <c r="O33" i="7"/>
  <c r="P33" i="7"/>
  <c r="B34" i="7"/>
  <c r="C34" i="7"/>
  <c r="D34" i="7"/>
  <c r="E34" i="7"/>
  <c r="F34" i="7"/>
  <c r="G34" i="7"/>
  <c r="H34" i="7"/>
  <c r="I34" i="7"/>
  <c r="J34" i="7"/>
  <c r="K34" i="7"/>
  <c r="L34" i="7"/>
  <c r="M34" i="7"/>
  <c r="N34" i="7"/>
  <c r="O34" i="7"/>
  <c r="U34" i="7" s="1"/>
  <c r="P34" i="7"/>
  <c r="B35" i="7"/>
  <c r="C35" i="7"/>
  <c r="D35" i="7"/>
  <c r="E35" i="7"/>
  <c r="F35" i="7"/>
  <c r="G35" i="7"/>
  <c r="H35" i="7"/>
  <c r="I35" i="7"/>
  <c r="J35" i="7"/>
  <c r="K35" i="7"/>
  <c r="L35" i="7"/>
  <c r="M35" i="7"/>
  <c r="N35" i="7"/>
  <c r="O35" i="7"/>
  <c r="P35" i="7"/>
  <c r="B36" i="7"/>
  <c r="C36" i="7"/>
  <c r="D36" i="7"/>
  <c r="E36" i="7"/>
  <c r="F36" i="7"/>
  <c r="G36" i="7"/>
  <c r="H36" i="7"/>
  <c r="I36" i="7"/>
  <c r="J36" i="7"/>
  <c r="K36" i="7"/>
  <c r="L36" i="7"/>
  <c r="M36" i="7"/>
  <c r="N36" i="7"/>
  <c r="O36" i="7"/>
  <c r="U36" i="7" s="1"/>
  <c r="P36" i="7"/>
  <c r="B37" i="7"/>
  <c r="C37" i="7"/>
  <c r="D37" i="7"/>
  <c r="E37" i="7"/>
  <c r="F37" i="7"/>
  <c r="G37" i="7"/>
  <c r="H37" i="7"/>
  <c r="I37" i="7"/>
  <c r="J37" i="7"/>
  <c r="K37" i="7"/>
  <c r="L37" i="7"/>
  <c r="M37" i="7"/>
  <c r="N37" i="7"/>
  <c r="O37" i="7"/>
  <c r="P37" i="7"/>
  <c r="B38" i="7"/>
  <c r="C38" i="7"/>
  <c r="D38" i="7"/>
  <c r="E38" i="7"/>
  <c r="F38" i="7"/>
  <c r="G38" i="7"/>
  <c r="H38" i="7"/>
  <c r="I38" i="7"/>
  <c r="J38" i="7"/>
  <c r="K38" i="7"/>
  <c r="L38" i="7"/>
  <c r="M38" i="7"/>
  <c r="N38" i="7"/>
  <c r="O38" i="7"/>
  <c r="U38" i="7" s="1"/>
  <c r="P38" i="7"/>
  <c r="B39" i="7"/>
  <c r="C39" i="7"/>
  <c r="D39" i="7"/>
  <c r="E39" i="7"/>
  <c r="F39" i="7"/>
  <c r="G39" i="7"/>
  <c r="H39" i="7"/>
  <c r="I39" i="7"/>
  <c r="J39" i="7"/>
  <c r="K39" i="7"/>
  <c r="L39" i="7"/>
  <c r="M39" i="7"/>
  <c r="N39" i="7"/>
  <c r="O39" i="7"/>
  <c r="P39" i="7"/>
  <c r="B40" i="7"/>
  <c r="C40" i="7"/>
  <c r="D40" i="7"/>
  <c r="E40" i="7"/>
  <c r="F40" i="7"/>
  <c r="G40" i="7"/>
  <c r="H40" i="7"/>
  <c r="I40" i="7"/>
  <c r="J40" i="7"/>
  <c r="K40" i="7"/>
  <c r="L40" i="7"/>
  <c r="M40" i="7"/>
  <c r="N40" i="7"/>
  <c r="O40" i="7"/>
  <c r="P40" i="7"/>
  <c r="B41" i="7"/>
  <c r="C41" i="7"/>
  <c r="D41" i="7"/>
  <c r="E41" i="7"/>
  <c r="F41" i="7"/>
  <c r="G41" i="7"/>
  <c r="H41" i="7"/>
  <c r="I41" i="7"/>
  <c r="J41" i="7"/>
  <c r="K41" i="7"/>
  <c r="L41" i="7"/>
  <c r="M41" i="7"/>
  <c r="N41" i="7"/>
  <c r="O41" i="7"/>
  <c r="P41" i="7"/>
  <c r="B42" i="7"/>
  <c r="C42" i="7"/>
  <c r="D42" i="7"/>
  <c r="E42" i="7"/>
  <c r="F42" i="7"/>
  <c r="G42" i="7"/>
  <c r="H42" i="7"/>
  <c r="I42" i="7"/>
  <c r="J42" i="7"/>
  <c r="K42" i="7"/>
  <c r="L42" i="7"/>
  <c r="M42" i="7"/>
  <c r="N42" i="7"/>
  <c r="O42" i="7"/>
  <c r="P42" i="7"/>
  <c r="B43" i="7"/>
  <c r="C43" i="7"/>
  <c r="D43" i="7"/>
  <c r="E43" i="7"/>
  <c r="F43" i="7"/>
  <c r="G43" i="7"/>
  <c r="H43" i="7"/>
  <c r="I43" i="7"/>
  <c r="J43" i="7"/>
  <c r="K43" i="7"/>
  <c r="L43" i="7"/>
  <c r="M43" i="7"/>
  <c r="N43" i="7"/>
  <c r="O43" i="7"/>
  <c r="P43" i="7"/>
  <c r="B44" i="7"/>
  <c r="C44" i="7"/>
  <c r="D44" i="7"/>
  <c r="E44" i="7"/>
  <c r="F44" i="7"/>
  <c r="G44" i="7"/>
  <c r="H44" i="7"/>
  <c r="I44" i="7"/>
  <c r="J44" i="7"/>
  <c r="K44" i="7"/>
  <c r="L44" i="7"/>
  <c r="M44" i="7"/>
  <c r="N44" i="7"/>
  <c r="O44" i="7"/>
  <c r="P44" i="7"/>
  <c r="B45" i="7"/>
  <c r="C45" i="7"/>
  <c r="D45" i="7"/>
  <c r="E45" i="7"/>
  <c r="F45" i="7"/>
  <c r="G45" i="7"/>
  <c r="H45" i="7"/>
  <c r="I45" i="7"/>
  <c r="J45" i="7"/>
  <c r="K45" i="7"/>
  <c r="L45" i="7"/>
  <c r="M45" i="7"/>
  <c r="N45" i="7"/>
  <c r="O45" i="7"/>
  <c r="P45" i="7"/>
  <c r="B46" i="7"/>
  <c r="C46" i="7"/>
  <c r="D46" i="7"/>
  <c r="E46" i="7"/>
  <c r="F46" i="7"/>
  <c r="G46" i="7"/>
  <c r="H46" i="7"/>
  <c r="I46" i="7"/>
  <c r="J46" i="7"/>
  <c r="K46" i="7"/>
  <c r="L46" i="7"/>
  <c r="M46" i="7"/>
  <c r="N46" i="7"/>
  <c r="O46" i="7"/>
  <c r="U46" i="7" s="1"/>
  <c r="P46" i="7"/>
  <c r="B47" i="7"/>
  <c r="C47" i="7"/>
  <c r="D47" i="7"/>
  <c r="E47" i="7"/>
  <c r="F47" i="7"/>
  <c r="G47" i="7"/>
  <c r="H47" i="7"/>
  <c r="I47" i="7"/>
  <c r="J47" i="7"/>
  <c r="K47" i="7"/>
  <c r="L47" i="7"/>
  <c r="M47" i="7"/>
  <c r="N47" i="7"/>
  <c r="O47" i="7"/>
  <c r="P47" i="7"/>
  <c r="B48" i="7"/>
  <c r="C48" i="7"/>
  <c r="D48" i="7"/>
  <c r="E48" i="7"/>
  <c r="F48" i="7"/>
  <c r="G48" i="7"/>
  <c r="H48" i="7"/>
  <c r="I48" i="7"/>
  <c r="J48" i="7"/>
  <c r="K48" i="7"/>
  <c r="L48" i="7"/>
  <c r="M48" i="7"/>
  <c r="N48" i="7"/>
  <c r="O48" i="7"/>
  <c r="U48" i="7" s="1"/>
  <c r="P48" i="7"/>
  <c r="B49" i="7"/>
  <c r="C49" i="7"/>
  <c r="D49" i="7"/>
  <c r="E49" i="7"/>
  <c r="F49" i="7"/>
  <c r="G49" i="7"/>
  <c r="H49" i="7"/>
  <c r="I49" i="7"/>
  <c r="J49" i="7"/>
  <c r="K49" i="7"/>
  <c r="L49" i="7"/>
  <c r="M49" i="7"/>
  <c r="N49" i="7"/>
  <c r="O49" i="7"/>
  <c r="P49" i="7"/>
  <c r="B50" i="7"/>
  <c r="C50" i="7"/>
  <c r="D50" i="7"/>
  <c r="E50" i="7"/>
  <c r="F50" i="7"/>
  <c r="G50" i="7"/>
  <c r="H50" i="7"/>
  <c r="I50" i="7"/>
  <c r="J50" i="7"/>
  <c r="K50" i="7"/>
  <c r="L50" i="7"/>
  <c r="M50" i="7"/>
  <c r="N50" i="7"/>
  <c r="O50" i="7"/>
  <c r="P50" i="7"/>
  <c r="B51" i="7"/>
  <c r="C51" i="7"/>
  <c r="D51" i="7"/>
  <c r="E51" i="7"/>
  <c r="F51" i="7"/>
  <c r="G51" i="7"/>
  <c r="H51" i="7"/>
  <c r="I51" i="7"/>
  <c r="J51" i="7"/>
  <c r="K51" i="7"/>
  <c r="L51" i="7"/>
  <c r="M51" i="7"/>
  <c r="N51" i="7"/>
  <c r="O51" i="7"/>
  <c r="P51" i="7"/>
  <c r="B52" i="7"/>
  <c r="C52" i="7"/>
  <c r="D52" i="7"/>
  <c r="E52" i="7"/>
  <c r="F52" i="7"/>
  <c r="G52" i="7"/>
  <c r="H52" i="7"/>
  <c r="I52" i="7"/>
  <c r="J52" i="7"/>
  <c r="K52" i="7"/>
  <c r="L52" i="7"/>
  <c r="M52" i="7"/>
  <c r="N52" i="7"/>
  <c r="O52" i="7"/>
  <c r="P52" i="7"/>
  <c r="B53" i="7"/>
  <c r="C53" i="7"/>
  <c r="D53" i="7"/>
  <c r="E53" i="7"/>
  <c r="F53" i="7"/>
  <c r="G53" i="7"/>
  <c r="H53" i="7"/>
  <c r="I53" i="7"/>
  <c r="J53" i="7"/>
  <c r="K53" i="7"/>
  <c r="L53" i="7"/>
  <c r="M53" i="7"/>
  <c r="N53" i="7"/>
  <c r="O53" i="7"/>
  <c r="P53" i="7"/>
  <c r="B54" i="7"/>
  <c r="C54" i="7"/>
  <c r="D54" i="7"/>
  <c r="E54" i="7"/>
  <c r="F54" i="7"/>
  <c r="G54" i="7"/>
  <c r="H54" i="7"/>
  <c r="I54" i="7"/>
  <c r="J54" i="7"/>
  <c r="K54" i="7"/>
  <c r="L54" i="7"/>
  <c r="M54" i="7"/>
  <c r="N54" i="7"/>
  <c r="O54" i="7"/>
  <c r="P54" i="7"/>
  <c r="B55" i="7"/>
  <c r="C55" i="7"/>
  <c r="D55" i="7"/>
  <c r="E55" i="7"/>
  <c r="F55" i="7"/>
  <c r="G55" i="7"/>
  <c r="H55" i="7"/>
  <c r="I55" i="7"/>
  <c r="J55" i="7"/>
  <c r="K55" i="7"/>
  <c r="L55" i="7"/>
  <c r="M55" i="7"/>
  <c r="N55" i="7"/>
  <c r="O55" i="7"/>
  <c r="P55" i="7"/>
  <c r="B56" i="7"/>
  <c r="C56" i="7"/>
  <c r="D56" i="7"/>
  <c r="E56" i="7"/>
  <c r="F56" i="7"/>
  <c r="G56" i="7"/>
  <c r="H56" i="7"/>
  <c r="I56" i="7"/>
  <c r="J56" i="7"/>
  <c r="K56" i="7"/>
  <c r="L56" i="7"/>
  <c r="M56" i="7"/>
  <c r="N56" i="7"/>
  <c r="O56" i="7"/>
  <c r="U56" i="7" s="1"/>
  <c r="P56" i="7"/>
  <c r="B57" i="7"/>
  <c r="C57" i="7"/>
  <c r="D57" i="7"/>
  <c r="E57" i="7"/>
  <c r="F57" i="7"/>
  <c r="G57" i="7"/>
  <c r="H57" i="7"/>
  <c r="I57" i="7"/>
  <c r="J57" i="7"/>
  <c r="K57" i="7"/>
  <c r="L57" i="7"/>
  <c r="M57" i="7"/>
  <c r="N57" i="7"/>
  <c r="O57" i="7"/>
  <c r="P57" i="7"/>
  <c r="B58" i="7"/>
  <c r="C58" i="7"/>
  <c r="D58" i="7"/>
  <c r="E58" i="7"/>
  <c r="F58" i="7"/>
  <c r="G58" i="7"/>
  <c r="H58" i="7"/>
  <c r="I58" i="7"/>
  <c r="J58" i="7"/>
  <c r="K58" i="7"/>
  <c r="L58" i="7"/>
  <c r="M58" i="7"/>
  <c r="N58" i="7"/>
  <c r="O58" i="7"/>
  <c r="P58" i="7"/>
  <c r="B59" i="7"/>
  <c r="C59" i="7"/>
  <c r="D59" i="7"/>
  <c r="E59" i="7"/>
  <c r="F59" i="7"/>
  <c r="G59" i="7"/>
  <c r="H59" i="7"/>
  <c r="I59" i="7"/>
  <c r="J59" i="7"/>
  <c r="K59" i="7"/>
  <c r="L59" i="7"/>
  <c r="M59" i="7"/>
  <c r="N59" i="7"/>
  <c r="O59" i="7"/>
  <c r="P59" i="7"/>
  <c r="B60" i="7"/>
  <c r="C60" i="7"/>
  <c r="D60" i="7"/>
  <c r="E60" i="7"/>
  <c r="F60" i="7"/>
  <c r="G60" i="7"/>
  <c r="H60" i="7"/>
  <c r="I60" i="7"/>
  <c r="J60" i="7"/>
  <c r="K60" i="7"/>
  <c r="L60" i="7"/>
  <c r="M60" i="7"/>
  <c r="N60" i="7"/>
  <c r="O60" i="7"/>
  <c r="P60" i="7"/>
  <c r="B61" i="7"/>
  <c r="C61" i="7"/>
  <c r="D61" i="7"/>
  <c r="E61" i="7"/>
  <c r="F61" i="7"/>
  <c r="G61" i="7"/>
  <c r="H61" i="7"/>
  <c r="I61" i="7"/>
  <c r="J61" i="7"/>
  <c r="K61" i="7"/>
  <c r="L61" i="7"/>
  <c r="M61" i="7"/>
  <c r="N61" i="7"/>
  <c r="O61" i="7"/>
  <c r="P61" i="7"/>
  <c r="B62" i="7"/>
  <c r="C62" i="7"/>
  <c r="D62" i="7"/>
  <c r="E62" i="7"/>
  <c r="F62" i="7"/>
  <c r="G62" i="7"/>
  <c r="H62" i="7"/>
  <c r="I62" i="7"/>
  <c r="J62" i="7"/>
  <c r="K62" i="7"/>
  <c r="L62" i="7"/>
  <c r="M62" i="7"/>
  <c r="N62" i="7"/>
  <c r="O62" i="7"/>
  <c r="P62" i="7"/>
  <c r="B63" i="7"/>
  <c r="C63" i="7"/>
  <c r="D63" i="7"/>
  <c r="E63" i="7"/>
  <c r="F63" i="7"/>
  <c r="G63" i="7"/>
  <c r="H63" i="7"/>
  <c r="I63" i="7"/>
  <c r="J63" i="7"/>
  <c r="K63" i="7"/>
  <c r="L63" i="7"/>
  <c r="M63" i="7"/>
  <c r="N63" i="7"/>
  <c r="O63" i="7"/>
  <c r="P63" i="7"/>
  <c r="B64" i="7"/>
  <c r="C64" i="7"/>
  <c r="D64" i="7"/>
  <c r="E64" i="7"/>
  <c r="F64" i="7"/>
  <c r="G64" i="7"/>
  <c r="H64" i="7"/>
  <c r="I64" i="7"/>
  <c r="J64" i="7"/>
  <c r="K64" i="7"/>
  <c r="L64" i="7"/>
  <c r="M64" i="7"/>
  <c r="N64" i="7"/>
  <c r="O64" i="7"/>
  <c r="U64" i="7" s="1"/>
  <c r="P64" i="7"/>
  <c r="B65" i="7"/>
  <c r="C65" i="7"/>
  <c r="D65" i="7"/>
  <c r="E65" i="7"/>
  <c r="F65" i="7"/>
  <c r="G65" i="7"/>
  <c r="H65" i="7"/>
  <c r="I65" i="7"/>
  <c r="J65" i="7"/>
  <c r="K65" i="7"/>
  <c r="L65" i="7"/>
  <c r="M65" i="7"/>
  <c r="N65" i="7"/>
  <c r="O65" i="7"/>
  <c r="P65" i="7"/>
  <c r="B66" i="7"/>
  <c r="C66" i="7"/>
  <c r="D66" i="7"/>
  <c r="E66" i="7"/>
  <c r="F66" i="7"/>
  <c r="G66" i="7"/>
  <c r="H66" i="7"/>
  <c r="I66" i="7"/>
  <c r="J66" i="7"/>
  <c r="K66" i="7"/>
  <c r="L66" i="7"/>
  <c r="M66" i="7"/>
  <c r="N66" i="7"/>
  <c r="O66" i="7"/>
  <c r="U66" i="7" s="1"/>
  <c r="P66" i="7"/>
  <c r="B67" i="7"/>
  <c r="C67" i="7"/>
  <c r="D67" i="7"/>
  <c r="E67" i="7"/>
  <c r="F67" i="7"/>
  <c r="G67" i="7"/>
  <c r="H67" i="7"/>
  <c r="I67" i="7"/>
  <c r="J67" i="7"/>
  <c r="K67" i="7"/>
  <c r="L67" i="7"/>
  <c r="M67" i="7"/>
  <c r="N67" i="7"/>
  <c r="O67" i="7"/>
  <c r="P67" i="7"/>
  <c r="B68" i="7"/>
  <c r="C68" i="7"/>
  <c r="D68" i="7"/>
  <c r="E68" i="7"/>
  <c r="F68" i="7"/>
  <c r="G68" i="7"/>
  <c r="H68" i="7"/>
  <c r="I68" i="7"/>
  <c r="J68" i="7"/>
  <c r="K68" i="7"/>
  <c r="L68" i="7"/>
  <c r="M68" i="7"/>
  <c r="N68" i="7"/>
  <c r="O68" i="7"/>
  <c r="P68" i="7"/>
  <c r="B69" i="7"/>
  <c r="C69" i="7"/>
  <c r="D69" i="7"/>
  <c r="E69" i="7"/>
  <c r="F69" i="7"/>
  <c r="G69" i="7"/>
  <c r="H69" i="7"/>
  <c r="I69" i="7"/>
  <c r="J69" i="7"/>
  <c r="K69" i="7"/>
  <c r="L69" i="7"/>
  <c r="M69" i="7"/>
  <c r="N69" i="7"/>
  <c r="O69" i="7"/>
  <c r="P69" i="7"/>
  <c r="B70" i="7"/>
  <c r="C70" i="7"/>
  <c r="D70" i="7"/>
  <c r="E70" i="7"/>
  <c r="F70" i="7"/>
  <c r="G70" i="7"/>
  <c r="H70" i="7"/>
  <c r="I70" i="7"/>
  <c r="J70" i="7"/>
  <c r="K70" i="7"/>
  <c r="L70" i="7"/>
  <c r="M70" i="7"/>
  <c r="N70" i="7"/>
  <c r="O70" i="7"/>
  <c r="P70" i="7"/>
  <c r="B71" i="7"/>
  <c r="C71" i="7"/>
  <c r="D71" i="7"/>
  <c r="E71" i="7"/>
  <c r="F71" i="7"/>
  <c r="G71" i="7"/>
  <c r="H71" i="7"/>
  <c r="I71" i="7"/>
  <c r="J71" i="7"/>
  <c r="K71" i="7"/>
  <c r="L71" i="7"/>
  <c r="M71" i="7"/>
  <c r="N71" i="7"/>
  <c r="O71" i="7"/>
  <c r="U71" i="7" s="1"/>
  <c r="P71" i="7"/>
  <c r="B72" i="7"/>
  <c r="C72" i="7"/>
  <c r="D72" i="7"/>
  <c r="E72" i="7"/>
  <c r="F72" i="7"/>
  <c r="G72" i="7"/>
  <c r="H72" i="7"/>
  <c r="I72" i="7"/>
  <c r="J72" i="7"/>
  <c r="K72" i="7"/>
  <c r="L72" i="7"/>
  <c r="M72" i="7"/>
  <c r="N72" i="7"/>
  <c r="O72" i="7"/>
  <c r="U72" i="7" s="1"/>
  <c r="P72" i="7"/>
  <c r="B73" i="7"/>
  <c r="C73" i="7"/>
  <c r="D73" i="7"/>
  <c r="E73" i="7"/>
  <c r="F73" i="7"/>
  <c r="G73" i="7"/>
  <c r="H73" i="7"/>
  <c r="I73" i="7"/>
  <c r="J73" i="7"/>
  <c r="K73" i="7"/>
  <c r="L73" i="7"/>
  <c r="M73" i="7"/>
  <c r="N73" i="7"/>
  <c r="O73" i="7"/>
  <c r="P73" i="7"/>
  <c r="B74" i="7"/>
  <c r="C74" i="7"/>
  <c r="D74" i="7"/>
  <c r="E74" i="7"/>
  <c r="F74" i="7"/>
  <c r="G74" i="7"/>
  <c r="H74" i="7"/>
  <c r="I74" i="7"/>
  <c r="J74" i="7"/>
  <c r="K74" i="7"/>
  <c r="L74" i="7"/>
  <c r="M74" i="7"/>
  <c r="N74" i="7"/>
  <c r="O74" i="7"/>
  <c r="P74" i="7"/>
  <c r="B75" i="7"/>
  <c r="C75" i="7"/>
  <c r="D75" i="7"/>
  <c r="E75" i="7"/>
  <c r="F75" i="7"/>
  <c r="G75" i="7"/>
  <c r="H75" i="7"/>
  <c r="I75" i="7"/>
  <c r="J75" i="7"/>
  <c r="K75" i="7"/>
  <c r="L75" i="7"/>
  <c r="M75" i="7"/>
  <c r="N75" i="7"/>
  <c r="O75" i="7"/>
  <c r="P75" i="7"/>
  <c r="B76" i="7"/>
  <c r="C76" i="7"/>
  <c r="D76" i="7"/>
  <c r="E76" i="7"/>
  <c r="F76" i="7"/>
  <c r="G76" i="7"/>
  <c r="H76" i="7"/>
  <c r="I76" i="7"/>
  <c r="J76" i="7"/>
  <c r="K76" i="7"/>
  <c r="L76" i="7"/>
  <c r="M76" i="7"/>
  <c r="N76" i="7"/>
  <c r="O76" i="7"/>
  <c r="P76" i="7"/>
  <c r="B77" i="7"/>
  <c r="C77" i="7"/>
  <c r="D77" i="7"/>
  <c r="E77" i="7"/>
  <c r="F77" i="7"/>
  <c r="G77" i="7"/>
  <c r="H77" i="7"/>
  <c r="I77" i="7"/>
  <c r="J77" i="7"/>
  <c r="K77" i="7"/>
  <c r="L77" i="7"/>
  <c r="M77" i="7"/>
  <c r="N77" i="7"/>
  <c r="O77" i="7"/>
  <c r="U77" i="7" s="1"/>
  <c r="P77" i="7"/>
  <c r="B78" i="7"/>
  <c r="C78" i="7"/>
  <c r="D78" i="7"/>
  <c r="E78" i="7"/>
  <c r="F78" i="7"/>
  <c r="G78" i="7"/>
  <c r="H78" i="7"/>
  <c r="I78" i="7"/>
  <c r="J78" i="7"/>
  <c r="K78" i="7"/>
  <c r="L78" i="7"/>
  <c r="M78" i="7"/>
  <c r="N78" i="7"/>
  <c r="O78" i="7"/>
  <c r="P78" i="7"/>
  <c r="B79" i="7"/>
  <c r="C79" i="7"/>
  <c r="D79" i="7"/>
  <c r="E79" i="7"/>
  <c r="F79" i="7"/>
  <c r="G79" i="7"/>
  <c r="H79" i="7"/>
  <c r="I79" i="7"/>
  <c r="J79" i="7"/>
  <c r="K79" i="7"/>
  <c r="L79" i="7"/>
  <c r="M79" i="7"/>
  <c r="N79" i="7"/>
  <c r="O79" i="7"/>
  <c r="U79" i="7" s="1"/>
  <c r="P79" i="7"/>
  <c r="B80" i="7"/>
  <c r="C80" i="7"/>
  <c r="D80" i="7"/>
  <c r="E80" i="7"/>
  <c r="F80" i="7"/>
  <c r="G80" i="7"/>
  <c r="H80" i="7"/>
  <c r="I80" i="7"/>
  <c r="J80" i="7"/>
  <c r="K80" i="7"/>
  <c r="L80" i="7"/>
  <c r="M80" i="7"/>
  <c r="N80" i="7"/>
  <c r="O80" i="7"/>
  <c r="P80" i="7"/>
  <c r="B81" i="7"/>
  <c r="C81" i="7"/>
  <c r="D81" i="7"/>
  <c r="E81" i="7"/>
  <c r="F81" i="7"/>
  <c r="G81" i="7"/>
  <c r="H81" i="7"/>
  <c r="I81" i="7"/>
  <c r="J81" i="7"/>
  <c r="K81" i="7"/>
  <c r="L81" i="7"/>
  <c r="M81" i="7"/>
  <c r="N81" i="7"/>
  <c r="O81" i="7"/>
  <c r="U81" i="7" s="1"/>
  <c r="P81" i="7"/>
  <c r="B82" i="7"/>
  <c r="C82" i="7"/>
  <c r="D82" i="7"/>
  <c r="E82" i="7"/>
  <c r="F82" i="7"/>
  <c r="G82" i="7"/>
  <c r="H82" i="7"/>
  <c r="I82" i="7"/>
  <c r="J82" i="7"/>
  <c r="K82" i="7"/>
  <c r="L82" i="7"/>
  <c r="M82" i="7"/>
  <c r="N82" i="7"/>
  <c r="O82" i="7"/>
  <c r="P82" i="7"/>
  <c r="B83" i="7"/>
  <c r="C83" i="7"/>
  <c r="D83" i="7"/>
  <c r="E83" i="7"/>
  <c r="F83" i="7"/>
  <c r="G83" i="7"/>
  <c r="H83" i="7"/>
  <c r="I83" i="7"/>
  <c r="J83" i="7"/>
  <c r="K83" i="7"/>
  <c r="L83" i="7"/>
  <c r="M83" i="7"/>
  <c r="N83" i="7"/>
  <c r="O83" i="7"/>
  <c r="P83" i="7"/>
  <c r="B84" i="7"/>
  <c r="C84" i="7"/>
  <c r="D84" i="7"/>
  <c r="E84" i="7"/>
  <c r="F84" i="7"/>
  <c r="G84" i="7"/>
  <c r="H84" i="7"/>
  <c r="I84" i="7"/>
  <c r="J84" i="7"/>
  <c r="K84" i="7"/>
  <c r="L84" i="7"/>
  <c r="M84" i="7"/>
  <c r="N84" i="7"/>
  <c r="O84" i="7"/>
  <c r="U84" i="7" s="1"/>
  <c r="P84" i="7"/>
  <c r="B85" i="7"/>
  <c r="C85" i="7"/>
  <c r="D85" i="7"/>
  <c r="E85" i="7"/>
  <c r="F85" i="7"/>
  <c r="G85" i="7"/>
  <c r="H85" i="7"/>
  <c r="I85" i="7"/>
  <c r="J85" i="7"/>
  <c r="K85" i="7"/>
  <c r="L85" i="7"/>
  <c r="M85" i="7"/>
  <c r="N85" i="7"/>
  <c r="O85" i="7"/>
  <c r="U85" i="7" s="1"/>
  <c r="P85" i="7"/>
  <c r="B86" i="7"/>
  <c r="C86" i="7"/>
  <c r="D86" i="7"/>
  <c r="E86" i="7"/>
  <c r="F86" i="7"/>
  <c r="G86" i="7"/>
  <c r="H86" i="7"/>
  <c r="I86" i="7"/>
  <c r="J86" i="7"/>
  <c r="K86" i="7"/>
  <c r="L86" i="7"/>
  <c r="M86" i="7"/>
  <c r="N86" i="7"/>
  <c r="O86" i="7"/>
  <c r="P86" i="7"/>
  <c r="B87" i="7"/>
  <c r="C87" i="7"/>
  <c r="D87" i="7"/>
  <c r="E87" i="7"/>
  <c r="F87" i="7"/>
  <c r="G87" i="7"/>
  <c r="H87" i="7"/>
  <c r="I87" i="7"/>
  <c r="J87" i="7"/>
  <c r="K87" i="7"/>
  <c r="L87" i="7"/>
  <c r="M87" i="7"/>
  <c r="N87" i="7"/>
  <c r="O87" i="7"/>
  <c r="U87" i="7" s="1"/>
  <c r="P87" i="7"/>
  <c r="B88" i="7"/>
  <c r="C88" i="7"/>
  <c r="D88" i="7"/>
  <c r="E88" i="7"/>
  <c r="F88" i="7"/>
  <c r="G88" i="7"/>
  <c r="H88" i="7"/>
  <c r="I88" i="7"/>
  <c r="J88" i="7"/>
  <c r="K88" i="7"/>
  <c r="L88" i="7"/>
  <c r="M88" i="7"/>
  <c r="N88" i="7"/>
  <c r="O88" i="7"/>
  <c r="P88" i="7"/>
  <c r="B89" i="7"/>
  <c r="C89" i="7"/>
  <c r="D89" i="7"/>
  <c r="E89" i="7"/>
  <c r="F89" i="7"/>
  <c r="G89" i="7"/>
  <c r="H89" i="7"/>
  <c r="I89" i="7"/>
  <c r="J89" i="7"/>
  <c r="K89" i="7"/>
  <c r="L89" i="7"/>
  <c r="M89" i="7"/>
  <c r="N89" i="7"/>
  <c r="O89" i="7"/>
  <c r="U89" i="7" s="1"/>
  <c r="P89" i="7"/>
  <c r="B90" i="7"/>
  <c r="C90" i="7"/>
  <c r="D90" i="7"/>
  <c r="E90" i="7"/>
  <c r="F90" i="7"/>
  <c r="G90" i="7"/>
  <c r="H90" i="7"/>
  <c r="I90" i="7"/>
  <c r="J90" i="7"/>
  <c r="K90" i="7"/>
  <c r="L90" i="7"/>
  <c r="M90" i="7"/>
  <c r="N90" i="7"/>
  <c r="O90" i="7"/>
  <c r="P90" i="7"/>
  <c r="B91" i="7"/>
  <c r="C91" i="7"/>
  <c r="D91" i="7"/>
  <c r="E91" i="7"/>
  <c r="F91" i="7"/>
  <c r="G91" i="7"/>
  <c r="H91" i="7"/>
  <c r="I91" i="7"/>
  <c r="J91" i="7"/>
  <c r="K91" i="7"/>
  <c r="L91" i="7"/>
  <c r="M91" i="7"/>
  <c r="N91" i="7"/>
  <c r="O91" i="7"/>
  <c r="P91" i="7"/>
  <c r="B92" i="7"/>
  <c r="C92" i="7"/>
  <c r="D92" i="7"/>
  <c r="E92" i="7"/>
  <c r="F92" i="7"/>
  <c r="G92" i="7"/>
  <c r="H92" i="7"/>
  <c r="I92" i="7"/>
  <c r="J92" i="7"/>
  <c r="K92" i="7"/>
  <c r="L92" i="7"/>
  <c r="M92" i="7"/>
  <c r="N92" i="7"/>
  <c r="O92" i="7"/>
  <c r="P92" i="7"/>
  <c r="B93" i="7"/>
  <c r="C93" i="7"/>
  <c r="D93" i="7"/>
  <c r="E93" i="7"/>
  <c r="F93" i="7"/>
  <c r="G93" i="7"/>
  <c r="H93" i="7"/>
  <c r="I93" i="7"/>
  <c r="J93" i="7"/>
  <c r="K93" i="7"/>
  <c r="L93" i="7"/>
  <c r="M93" i="7"/>
  <c r="N93" i="7"/>
  <c r="O93" i="7"/>
  <c r="P93" i="7"/>
  <c r="B94" i="7"/>
  <c r="C94" i="7"/>
  <c r="D94" i="7"/>
  <c r="E94" i="7"/>
  <c r="F94" i="7"/>
  <c r="G94" i="7"/>
  <c r="H94" i="7"/>
  <c r="I94" i="7"/>
  <c r="J94" i="7"/>
  <c r="K94" i="7"/>
  <c r="L94" i="7"/>
  <c r="M94" i="7"/>
  <c r="N94" i="7"/>
  <c r="O94" i="7"/>
  <c r="P94" i="7"/>
  <c r="B95" i="7"/>
  <c r="C95" i="7"/>
  <c r="D95" i="7"/>
  <c r="E95" i="7"/>
  <c r="F95" i="7"/>
  <c r="G95" i="7"/>
  <c r="H95" i="7"/>
  <c r="I95" i="7"/>
  <c r="J95" i="7"/>
  <c r="K95" i="7"/>
  <c r="L95" i="7"/>
  <c r="M95" i="7"/>
  <c r="N95" i="7"/>
  <c r="O95" i="7"/>
  <c r="U95" i="7" s="1"/>
  <c r="P95" i="7"/>
  <c r="B96" i="7"/>
  <c r="C96" i="7"/>
  <c r="D96" i="7"/>
  <c r="E96" i="7"/>
  <c r="F96" i="7"/>
  <c r="G96" i="7"/>
  <c r="H96" i="7"/>
  <c r="I96" i="7"/>
  <c r="J96" i="7"/>
  <c r="K96" i="7"/>
  <c r="L96" i="7"/>
  <c r="M96" i="7"/>
  <c r="N96" i="7"/>
  <c r="O96" i="7"/>
  <c r="P96" i="7"/>
  <c r="B97" i="7"/>
  <c r="C97" i="7"/>
  <c r="D97" i="7"/>
  <c r="E97" i="7"/>
  <c r="F97" i="7"/>
  <c r="G97" i="7"/>
  <c r="H97" i="7"/>
  <c r="I97" i="7"/>
  <c r="J97" i="7"/>
  <c r="K97" i="7"/>
  <c r="L97" i="7"/>
  <c r="M97" i="7"/>
  <c r="N97" i="7"/>
  <c r="O97" i="7"/>
  <c r="P97" i="7"/>
  <c r="B98" i="7"/>
  <c r="C98" i="7"/>
  <c r="D98" i="7"/>
  <c r="E98" i="7"/>
  <c r="F98" i="7"/>
  <c r="G98" i="7"/>
  <c r="H98" i="7"/>
  <c r="I98" i="7"/>
  <c r="J98" i="7"/>
  <c r="K98" i="7"/>
  <c r="L98" i="7"/>
  <c r="M98" i="7"/>
  <c r="N98" i="7"/>
  <c r="O98" i="7"/>
  <c r="P98" i="7"/>
  <c r="B99" i="7"/>
  <c r="C99" i="7"/>
  <c r="D99" i="7"/>
  <c r="E99" i="7"/>
  <c r="F99" i="7"/>
  <c r="G99" i="7"/>
  <c r="H99" i="7"/>
  <c r="I99" i="7"/>
  <c r="J99" i="7"/>
  <c r="K99" i="7"/>
  <c r="L99" i="7"/>
  <c r="M99" i="7"/>
  <c r="N99" i="7"/>
  <c r="O99" i="7"/>
  <c r="P99" i="7"/>
  <c r="B100" i="7"/>
  <c r="C100" i="7"/>
  <c r="D100" i="7"/>
  <c r="E100" i="7"/>
  <c r="F100" i="7"/>
  <c r="G100" i="7"/>
  <c r="H100" i="7"/>
  <c r="I100" i="7"/>
  <c r="J100" i="7"/>
  <c r="K100" i="7"/>
  <c r="L100" i="7"/>
  <c r="M100" i="7"/>
  <c r="N100" i="7"/>
  <c r="O100" i="7"/>
  <c r="P100" i="7"/>
  <c r="B101" i="7"/>
  <c r="C101" i="7"/>
  <c r="D101" i="7"/>
  <c r="E101" i="7"/>
  <c r="F101" i="7"/>
  <c r="G101" i="7"/>
  <c r="H101" i="7"/>
  <c r="I101" i="7"/>
  <c r="J101" i="7"/>
  <c r="K101" i="7"/>
  <c r="L101" i="7"/>
  <c r="M101" i="7"/>
  <c r="N101" i="7"/>
  <c r="O101" i="7"/>
  <c r="P101" i="7"/>
  <c r="B102" i="7"/>
  <c r="C102" i="7"/>
  <c r="D102" i="7"/>
  <c r="E102" i="7"/>
  <c r="F102" i="7"/>
  <c r="G102" i="7"/>
  <c r="H102" i="7"/>
  <c r="I102" i="7"/>
  <c r="J102" i="7"/>
  <c r="K102" i="7"/>
  <c r="L102" i="7"/>
  <c r="M102" i="7"/>
  <c r="N102" i="7"/>
  <c r="O102" i="7"/>
  <c r="P102" i="7"/>
  <c r="B103" i="7"/>
  <c r="C103" i="7"/>
  <c r="D103" i="7"/>
  <c r="E103" i="7"/>
  <c r="F103" i="7"/>
  <c r="G103" i="7"/>
  <c r="H103" i="7"/>
  <c r="I103" i="7"/>
  <c r="J103" i="7"/>
  <c r="K103" i="7"/>
  <c r="L103" i="7"/>
  <c r="M103" i="7"/>
  <c r="N103" i="7"/>
  <c r="O103" i="7"/>
  <c r="P103" i="7"/>
  <c r="B104" i="7"/>
  <c r="C104" i="7"/>
  <c r="D104" i="7"/>
  <c r="E104" i="7"/>
  <c r="F104" i="7"/>
  <c r="G104" i="7"/>
  <c r="H104" i="7"/>
  <c r="I104" i="7"/>
  <c r="J104" i="7"/>
  <c r="K104" i="7"/>
  <c r="L104" i="7"/>
  <c r="M104" i="7"/>
  <c r="N104" i="7"/>
  <c r="O104" i="7"/>
  <c r="P104" i="7"/>
  <c r="B105" i="7"/>
  <c r="C105" i="7"/>
  <c r="D105" i="7"/>
  <c r="E105" i="7"/>
  <c r="F105" i="7"/>
  <c r="G105" i="7"/>
  <c r="H105" i="7"/>
  <c r="I105" i="7"/>
  <c r="J105" i="7"/>
  <c r="K105" i="7"/>
  <c r="L105" i="7"/>
  <c r="M105" i="7"/>
  <c r="N105" i="7"/>
  <c r="O105" i="7"/>
  <c r="P105" i="7"/>
  <c r="B106" i="7"/>
  <c r="C106" i="7"/>
  <c r="D106" i="7"/>
  <c r="E106" i="7"/>
  <c r="F106" i="7"/>
  <c r="G106" i="7"/>
  <c r="H106" i="7"/>
  <c r="I106" i="7"/>
  <c r="J106" i="7"/>
  <c r="K106" i="7"/>
  <c r="L106" i="7"/>
  <c r="M106" i="7"/>
  <c r="N106" i="7"/>
  <c r="O106" i="7"/>
  <c r="P106" i="7"/>
  <c r="B107" i="7"/>
  <c r="C107" i="7"/>
  <c r="D107" i="7"/>
  <c r="E107" i="7"/>
  <c r="F107" i="7"/>
  <c r="G107" i="7"/>
  <c r="H107" i="7"/>
  <c r="I107" i="7"/>
  <c r="J107" i="7"/>
  <c r="K107" i="7"/>
  <c r="L107" i="7"/>
  <c r="M107" i="7"/>
  <c r="N107" i="7"/>
  <c r="O107" i="7"/>
  <c r="U107" i="7" s="1"/>
  <c r="P107" i="7"/>
  <c r="B108" i="7"/>
  <c r="C108" i="7"/>
  <c r="D108" i="7"/>
  <c r="E108" i="7"/>
  <c r="F108" i="7"/>
  <c r="G108" i="7"/>
  <c r="H108" i="7"/>
  <c r="I108" i="7"/>
  <c r="J108" i="7"/>
  <c r="K108" i="7"/>
  <c r="L108" i="7"/>
  <c r="M108" i="7"/>
  <c r="N108" i="7"/>
  <c r="O108" i="7"/>
  <c r="P108" i="7"/>
  <c r="B109" i="7"/>
  <c r="C109" i="7"/>
  <c r="D109" i="7"/>
  <c r="E109" i="7"/>
  <c r="F109" i="7"/>
  <c r="G109" i="7"/>
  <c r="H109" i="7"/>
  <c r="I109" i="7"/>
  <c r="J109" i="7"/>
  <c r="K109" i="7"/>
  <c r="L109" i="7"/>
  <c r="M109" i="7"/>
  <c r="N109" i="7"/>
  <c r="O109" i="7"/>
  <c r="P109" i="7"/>
  <c r="B110" i="7"/>
  <c r="C110" i="7"/>
  <c r="D110" i="7"/>
  <c r="E110" i="7"/>
  <c r="F110" i="7"/>
  <c r="G110" i="7"/>
  <c r="H110" i="7"/>
  <c r="I110" i="7"/>
  <c r="J110" i="7"/>
  <c r="K110" i="7"/>
  <c r="L110" i="7"/>
  <c r="M110" i="7"/>
  <c r="N110" i="7"/>
  <c r="O110" i="7"/>
  <c r="P110" i="7"/>
  <c r="B111" i="7"/>
  <c r="C111" i="7"/>
  <c r="D111" i="7"/>
  <c r="E111" i="7"/>
  <c r="F111" i="7"/>
  <c r="G111" i="7"/>
  <c r="H111" i="7"/>
  <c r="I111" i="7"/>
  <c r="J111" i="7"/>
  <c r="K111" i="7"/>
  <c r="L111" i="7"/>
  <c r="M111" i="7"/>
  <c r="N111" i="7"/>
  <c r="O111" i="7"/>
  <c r="U111" i="7" s="1"/>
  <c r="P111" i="7"/>
  <c r="B112" i="7"/>
  <c r="C112" i="7"/>
  <c r="D112" i="7"/>
  <c r="E112" i="7"/>
  <c r="F112" i="7"/>
  <c r="G112" i="7"/>
  <c r="H112" i="7"/>
  <c r="I112" i="7"/>
  <c r="J112" i="7"/>
  <c r="K112" i="7"/>
  <c r="L112" i="7"/>
  <c r="M112" i="7"/>
  <c r="N112" i="7"/>
  <c r="O112" i="7"/>
  <c r="P112" i="7"/>
  <c r="B113" i="7"/>
  <c r="C113" i="7"/>
  <c r="D113" i="7"/>
  <c r="E113" i="7"/>
  <c r="F113" i="7"/>
  <c r="G113" i="7"/>
  <c r="H113" i="7"/>
  <c r="I113" i="7"/>
  <c r="J113" i="7"/>
  <c r="K113" i="7"/>
  <c r="L113" i="7"/>
  <c r="M113" i="7"/>
  <c r="N113" i="7"/>
  <c r="O113" i="7"/>
  <c r="P113" i="7"/>
  <c r="B114" i="7"/>
  <c r="C114" i="7"/>
  <c r="D114" i="7"/>
  <c r="E114" i="7"/>
  <c r="F114" i="7"/>
  <c r="G114" i="7"/>
  <c r="H114" i="7"/>
  <c r="I114" i="7"/>
  <c r="J114" i="7"/>
  <c r="K114" i="7"/>
  <c r="L114" i="7"/>
  <c r="M114" i="7"/>
  <c r="N114" i="7"/>
  <c r="O114" i="7"/>
  <c r="P114" i="7"/>
  <c r="B115" i="7"/>
  <c r="C115" i="7"/>
  <c r="D115" i="7"/>
  <c r="E115" i="7"/>
  <c r="F115" i="7"/>
  <c r="G115" i="7"/>
  <c r="H115" i="7"/>
  <c r="I115" i="7"/>
  <c r="J115" i="7"/>
  <c r="K115" i="7"/>
  <c r="L115" i="7"/>
  <c r="M115" i="7"/>
  <c r="N115" i="7"/>
  <c r="O115" i="7"/>
  <c r="U115" i="7" s="1"/>
  <c r="P115" i="7"/>
  <c r="B116" i="7"/>
  <c r="C116" i="7"/>
  <c r="D116" i="7"/>
  <c r="E116" i="7"/>
  <c r="F116" i="7"/>
  <c r="G116" i="7"/>
  <c r="H116" i="7"/>
  <c r="I116" i="7"/>
  <c r="J116" i="7"/>
  <c r="K116" i="7"/>
  <c r="L116" i="7"/>
  <c r="M116" i="7"/>
  <c r="N116" i="7"/>
  <c r="O116" i="7"/>
  <c r="P116" i="7"/>
  <c r="B117" i="7"/>
  <c r="C117" i="7"/>
  <c r="D117" i="7"/>
  <c r="E117" i="7"/>
  <c r="F117" i="7"/>
  <c r="G117" i="7"/>
  <c r="H117" i="7"/>
  <c r="I117" i="7"/>
  <c r="J117" i="7"/>
  <c r="K117" i="7"/>
  <c r="L117" i="7"/>
  <c r="M117" i="7"/>
  <c r="N117" i="7"/>
  <c r="O117" i="7"/>
  <c r="P117" i="7"/>
  <c r="B118" i="7"/>
  <c r="C118" i="7"/>
  <c r="D118" i="7"/>
  <c r="E118" i="7"/>
  <c r="F118" i="7"/>
  <c r="G118" i="7"/>
  <c r="H118" i="7"/>
  <c r="I118" i="7"/>
  <c r="J118" i="7"/>
  <c r="K118" i="7"/>
  <c r="L118" i="7"/>
  <c r="M118" i="7"/>
  <c r="N118" i="7"/>
  <c r="O118" i="7"/>
  <c r="P118" i="7"/>
  <c r="B119" i="7"/>
  <c r="C119" i="7"/>
  <c r="D119" i="7"/>
  <c r="E119" i="7"/>
  <c r="F119" i="7"/>
  <c r="G119" i="7"/>
  <c r="H119" i="7"/>
  <c r="I119" i="7"/>
  <c r="J119" i="7"/>
  <c r="K119" i="7"/>
  <c r="L119" i="7"/>
  <c r="M119" i="7"/>
  <c r="N119" i="7"/>
  <c r="O119" i="7"/>
  <c r="U119" i="7" s="1"/>
  <c r="P119" i="7"/>
  <c r="B120" i="7"/>
  <c r="C120" i="7"/>
  <c r="D120" i="7"/>
  <c r="E120" i="7"/>
  <c r="F120" i="7"/>
  <c r="G120" i="7"/>
  <c r="H120" i="7"/>
  <c r="I120" i="7"/>
  <c r="J120" i="7"/>
  <c r="K120" i="7"/>
  <c r="L120" i="7"/>
  <c r="M120" i="7"/>
  <c r="N120" i="7"/>
  <c r="O120" i="7"/>
  <c r="P120" i="7"/>
  <c r="B121" i="7"/>
  <c r="C121" i="7"/>
  <c r="D121" i="7"/>
  <c r="E121" i="7"/>
  <c r="F121" i="7"/>
  <c r="G121" i="7"/>
  <c r="H121" i="7"/>
  <c r="I121" i="7"/>
  <c r="J121" i="7"/>
  <c r="K121" i="7"/>
  <c r="L121" i="7"/>
  <c r="M121" i="7"/>
  <c r="N121" i="7"/>
  <c r="O121" i="7"/>
  <c r="U121" i="7" s="1"/>
  <c r="P121" i="7"/>
  <c r="B122" i="7"/>
  <c r="C122" i="7"/>
  <c r="D122" i="7"/>
  <c r="E122" i="7"/>
  <c r="F122" i="7"/>
  <c r="G122" i="7"/>
  <c r="H122" i="7"/>
  <c r="I122" i="7"/>
  <c r="J122" i="7"/>
  <c r="K122" i="7"/>
  <c r="L122" i="7"/>
  <c r="M122" i="7"/>
  <c r="N122" i="7"/>
  <c r="O122" i="7"/>
  <c r="P122" i="7"/>
  <c r="B123" i="7"/>
  <c r="C123" i="7"/>
  <c r="D123" i="7"/>
  <c r="E123" i="7"/>
  <c r="F123" i="7"/>
  <c r="G123" i="7"/>
  <c r="H123" i="7"/>
  <c r="I123" i="7"/>
  <c r="J123" i="7"/>
  <c r="K123" i="7"/>
  <c r="L123" i="7"/>
  <c r="M123" i="7"/>
  <c r="N123" i="7"/>
  <c r="O123" i="7"/>
  <c r="P123" i="7"/>
  <c r="B124" i="7"/>
  <c r="C124" i="7"/>
  <c r="D124" i="7"/>
  <c r="E124" i="7"/>
  <c r="F124" i="7"/>
  <c r="G124" i="7"/>
  <c r="H124" i="7"/>
  <c r="I124" i="7"/>
  <c r="J124" i="7"/>
  <c r="K124" i="7"/>
  <c r="L124" i="7"/>
  <c r="M124" i="7"/>
  <c r="N124" i="7"/>
  <c r="O124" i="7"/>
  <c r="P124" i="7"/>
  <c r="B125" i="7"/>
  <c r="C125" i="7"/>
  <c r="D125" i="7"/>
  <c r="E125" i="7"/>
  <c r="F125" i="7"/>
  <c r="G125" i="7"/>
  <c r="H125" i="7"/>
  <c r="I125" i="7"/>
  <c r="J125" i="7"/>
  <c r="K125" i="7"/>
  <c r="L125" i="7"/>
  <c r="M125" i="7"/>
  <c r="N125" i="7"/>
  <c r="O125" i="7"/>
  <c r="U125" i="7" s="1"/>
  <c r="P125" i="7"/>
  <c r="B126" i="7"/>
  <c r="C126" i="7"/>
  <c r="D126" i="7"/>
  <c r="E126" i="7"/>
  <c r="F126" i="7"/>
  <c r="G126" i="7"/>
  <c r="H126" i="7"/>
  <c r="I126" i="7"/>
  <c r="J126" i="7"/>
  <c r="K126" i="7"/>
  <c r="L126" i="7"/>
  <c r="M126" i="7"/>
  <c r="N126" i="7"/>
  <c r="O126" i="7"/>
  <c r="P126" i="7"/>
  <c r="B127" i="7"/>
  <c r="C127" i="7"/>
  <c r="D127" i="7"/>
  <c r="E127" i="7"/>
  <c r="F127" i="7"/>
  <c r="G127" i="7"/>
  <c r="H127" i="7"/>
  <c r="I127" i="7"/>
  <c r="J127" i="7"/>
  <c r="K127" i="7"/>
  <c r="L127" i="7"/>
  <c r="M127" i="7"/>
  <c r="N127" i="7"/>
  <c r="O127" i="7"/>
  <c r="P127" i="7"/>
  <c r="B128" i="7"/>
  <c r="C128" i="7"/>
  <c r="D128" i="7"/>
  <c r="E128" i="7"/>
  <c r="F128" i="7"/>
  <c r="G128" i="7"/>
  <c r="H128" i="7"/>
  <c r="I128" i="7"/>
  <c r="J128" i="7"/>
  <c r="K128" i="7"/>
  <c r="L128" i="7"/>
  <c r="M128" i="7"/>
  <c r="N128" i="7"/>
  <c r="O128" i="7"/>
  <c r="P128" i="7"/>
  <c r="B129" i="7"/>
  <c r="C129" i="7"/>
  <c r="D129" i="7"/>
  <c r="E129" i="7"/>
  <c r="F129" i="7"/>
  <c r="G129" i="7"/>
  <c r="H129" i="7"/>
  <c r="I129" i="7"/>
  <c r="J129" i="7"/>
  <c r="K129" i="7"/>
  <c r="L129" i="7"/>
  <c r="M129" i="7"/>
  <c r="N129" i="7"/>
  <c r="O129" i="7"/>
  <c r="P129" i="7"/>
  <c r="B130" i="7"/>
  <c r="C130" i="7"/>
  <c r="D130" i="7"/>
  <c r="E130" i="7"/>
  <c r="F130" i="7"/>
  <c r="G130" i="7"/>
  <c r="H130" i="7"/>
  <c r="I130" i="7"/>
  <c r="J130" i="7"/>
  <c r="K130" i="7"/>
  <c r="L130" i="7"/>
  <c r="M130" i="7"/>
  <c r="N130" i="7"/>
  <c r="O130" i="7"/>
  <c r="P130" i="7"/>
  <c r="B131" i="7"/>
  <c r="C131" i="7"/>
  <c r="D131" i="7"/>
  <c r="E131" i="7"/>
  <c r="F131" i="7"/>
  <c r="G131" i="7"/>
  <c r="H131" i="7"/>
  <c r="I131" i="7"/>
  <c r="J131" i="7"/>
  <c r="K131" i="7"/>
  <c r="L131" i="7"/>
  <c r="M131" i="7"/>
  <c r="N131" i="7"/>
  <c r="O131" i="7"/>
  <c r="U131" i="7" s="1"/>
  <c r="P131" i="7"/>
  <c r="B132" i="7"/>
  <c r="C132" i="7"/>
  <c r="D132" i="7"/>
  <c r="E132" i="7"/>
  <c r="F132" i="7"/>
  <c r="G132" i="7"/>
  <c r="H132" i="7"/>
  <c r="I132" i="7"/>
  <c r="J132" i="7"/>
  <c r="K132" i="7"/>
  <c r="L132" i="7"/>
  <c r="M132" i="7"/>
  <c r="N132" i="7"/>
  <c r="O132" i="7"/>
  <c r="P132" i="7"/>
  <c r="B133" i="7"/>
  <c r="C133" i="7"/>
  <c r="D133" i="7"/>
  <c r="E133" i="7"/>
  <c r="F133" i="7"/>
  <c r="G133" i="7"/>
  <c r="H133" i="7"/>
  <c r="I133" i="7"/>
  <c r="J133" i="7"/>
  <c r="K133" i="7"/>
  <c r="L133" i="7"/>
  <c r="M133" i="7"/>
  <c r="N133" i="7"/>
  <c r="O133" i="7"/>
  <c r="P133" i="7"/>
  <c r="B134" i="7"/>
  <c r="C134" i="7"/>
  <c r="D134" i="7"/>
  <c r="E134" i="7"/>
  <c r="F134" i="7"/>
  <c r="G134" i="7"/>
  <c r="H134" i="7"/>
  <c r="I134" i="7"/>
  <c r="J134" i="7"/>
  <c r="K134" i="7"/>
  <c r="L134" i="7"/>
  <c r="M134" i="7"/>
  <c r="N134" i="7"/>
  <c r="O134" i="7"/>
  <c r="P134" i="7"/>
  <c r="B135" i="7"/>
  <c r="C135" i="7"/>
  <c r="D135" i="7"/>
  <c r="E135" i="7"/>
  <c r="F135" i="7"/>
  <c r="G135" i="7"/>
  <c r="H135" i="7"/>
  <c r="I135" i="7"/>
  <c r="J135" i="7"/>
  <c r="K135" i="7"/>
  <c r="L135" i="7"/>
  <c r="M135" i="7"/>
  <c r="N135" i="7"/>
  <c r="O135" i="7"/>
  <c r="P135" i="7"/>
  <c r="B136" i="7"/>
  <c r="C136" i="7"/>
  <c r="D136" i="7"/>
  <c r="E136" i="7"/>
  <c r="F136" i="7"/>
  <c r="G136" i="7"/>
  <c r="H136" i="7"/>
  <c r="I136" i="7"/>
  <c r="J136" i="7"/>
  <c r="K136" i="7"/>
  <c r="L136" i="7"/>
  <c r="M136" i="7"/>
  <c r="N136" i="7"/>
  <c r="O136" i="7"/>
  <c r="P136" i="7"/>
  <c r="B137" i="7"/>
  <c r="C137" i="7"/>
  <c r="D137" i="7"/>
  <c r="E137" i="7"/>
  <c r="F137" i="7"/>
  <c r="G137" i="7"/>
  <c r="H137" i="7"/>
  <c r="I137" i="7"/>
  <c r="J137" i="7"/>
  <c r="K137" i="7"/>
  <c r="L137" i="7"/>
  <c r="M137" i="7"/>
  <c r="N137" i="7"/>
  <c r="O137" i="7"/>
  <c r="P137" i="7"/>
  <c r="B138" i="7"/>
  <c r="C138" i="7"/>
  <c r="D138" i="7"/>
  <c r="E138" i="7"/>
  <c r="F138" i="7"/>
  <c r="G138" i="7"/>
  <c r="H138" i="7"/>
  <c r="I138" i="7"/>
  <c r="J138" i="7"/>
  <c r="K138" i="7"/>
  <c r="L138" i="7"/>
  <c r="M138" i="7"/>
  <c r="N138" i="7"/>
  <c r="O138" i="7"/>
  <c r="P138" i="7"/>
  <c r="B139" i="7"/>
  <c r="C139" i="7"/>
  <c r="D139" i="7"/>
  <c r="E139" i="7"/>
  <c r="F139" i="7"/>
  <c r="G139" i="7"/>
  <c r="H139" i="7"/>
  <c r="I139" i="7"/>
  <c r="J139" i="7"/>
  <c r="K139" i="7"/>
  <c r="L139" i="7"/>
  <c r="M139" i="7"/>
  <c r="N139" i="7"/>
  <c r="O139" i="7"/>
  <c r="P139" i="7"/>
  <c r="B140" i="7"/>
  <c r="C140" i="7"/>
  <c r="D140" i="7"/>
  <c r="E140" i="7"/>
  <c r="F140" i="7"/>
  <c r="G140" i="7"/>
  <c r="H140" i="7"/>
  <c r="I140" i="7"/>
  <c r="J140" i="7"/>
  <c r="K140" i="7"/>
  <c r="L140" i="7"/>
  <c r="M140" i="7"/>
  <c r="N140" i="7"/>
  <c r="O140" i="7"/>
  <c r="P140" i="7"/>
  <c r="B141" i="7"/>
  <c r="C141" i="7"/>
  <c r="D141" i="7"/>
  <c r="E141" i="7"/>
  <c r="F141" i="7"/>
  <c r="G141" i="7"/>
  <c r="H141" i="7"/>
  <c r="I141" i="7"/>
  <c r="J141" i="7"/>
  <c r="K141" i="7"/>
  <c r="L141" i="7"/>
  <c r="M141" i="7"/>
  <c r="N141" i="7"/>
  <c r="O141" i="7"/>
  <c r="P141" i="7"/>
  <c r="B142" i="7"/>
  <c r="C142" i="7"/>
  <c r="D142" i="7"/>
  <c r="E142" i="7"/>
  <c r="F142" i="7"/>
  <c r="G142" i="7"/>
  <c r="H142" i="7"/>
  <c r="I142" i="7"/>
  <c r="J142" i="7"/>
  <c r="K142" i="7"/>
  <c r="L142" i="7"/>
  <c r="M142" i="7"/>
  <c r="N142" i="7"/>
  <c r="O142" i="7"/>
  <c r="P142" i="7"/>
  <c r="B143" i="7"/>
  <c r="C143" i="7"/>
  <c r="D143" i="7"/>
  <c r="E143" i="7"/>
  <c r="F143" i="7"/>
  <c r="G143" i="7"/>
  <c r="H143" i="7"/>
  <c r="I143" i="7"/>
  <c r="J143" i="7"/>
  <c r="K143" i="7"/>
  <c r="L143" i="7"/>
  <c r="M143" i="7"/>
  <c r="N143" i="7"/>
  <c r="O143" i="7"/>
  <c r="U143" i="7" s="1"/>
  <c r="P143" i="7"/>
  <c r="B144" i="7"/>
  <c r="C144" i="7"/>
  <c r="D144" i="7"/>
  <c r="E144" i="7"/>
  <c r="F144" i="7"/>
  <c r="G144" i="7"/>
  <c r="H144" i="7"/>
  <c r="I144" i="7"/>
  <c r="J144" i="7"/>
  <c r="K144" i="7"/>
  <c r="L144" i="7"/>
  <c r="M144" i="7"/>
  <c r="N144" i="7"/>
  <c r="O144" i="7"/>
  <c r="P144" i="7"/>
  <c r="B145" i="7"/>
  <c r="C145" i="7"/>
  <c r="D145" i="7"/>
  <c r="E145" i="7"/>
  <c r="F145" i="7"/>
  <c r="G145" i="7"/>
  <c r="H145" i="7"/>
  <c r="I145" i="7"/>
  <c r="J145" i="7"/>
  <c r="K145" i="7"/>
  <c r="L145" i="7"/>
  <c r="M145" i="7"/>
  <c r="N145" i="7"/>
  <c r="O145" i="7"/>
  <c r="P145" i="7"/>
  <c r="B146" i="7"/>
  <c r="C146" i="7"/>
  <c r="D146" i="7"/>
  <c r="E146" i="7"/>
  <c r="F146" i="7"/>
  <c r="G146" i="7"/>
  <c r="H146" i="7"/>
  <c r="I146" i="7"/>
  <c r="J146" i="7"/>
  <c r="K146" i="7"/>
  <c r="L146" i="7"/>
  <c r="M146" i="7"/>
  <c r="N146" i="7"/>
  <c r="O146" i="7"/>
  <c r="P146" i="7"/>
  <c r="B147" i="7"/>
  <c r="C147" i="7"/>
  <c r="D147" i="7"/>
  <c r="E147" i="7"/>
  <c r="F147" i="7"/>
  <c r="G147" i="7"/>
  <c r="H147" i="7"/>
  <c r="I147" i="7"/>
  <c r="J147" i="7"/>
  <c r="K147" i="7"/>
  <c r="L147" i="7"/>
  <c r="M147" i="7"/>
  <c r="N147" i="7"/>
  <c r="O147" i="7"/>
  <c r="P147" i="7"/>
  <c r="B148" i="7"/>
  <c r="C148" i="7"/>
  <c r="D148" i="7"/>
  <c r="E148" i="7"/>
  <c r="F148" i="7"/>
  <c r="G148" i="7"/>
  <c r="H148" i="7"/>
  <c r="I148" i="7"/>
  <c r="J148" i="7"/>
  <c r="K148" i="7"/>
  <c r="L148" i="7"/>
  <c r="M148" i="7"/>
  <c r="N148" i="7"/>
  <c r="O148" i="7"/>
  <c r="P148" i="7"/>
  <c r="B149" i="7"/>
  <c r="C149" i="7"/>
  <c r="D149" i="7"/>
  <c r="E149" i="7"/>
  <c r="F149" i="7"/>
  <c r="G149" i="7"/>
  <c r="H149" i="7"/>
  <c r="I149" i="7"/>
  <c r="J149" i="7"/>
  <c r="K149" i="7"/>
  <c r="L149" i="7"/>
  <c r="M149" i="7"/>
  <c r="N149" i="7"/>
  <c r="O149" i="7"/>
  <c r="P149" i="7"/>
  <c r="B150" i="7"/>
  <c r="C150" i="7"/>
  <c r="D150" i="7"/>
  <c r="E150" i="7"/>
  <c r="F150" i="7"/>
  <c r="G150" i="7"/>
  <c r="H150" i="7"/>
  <c r="I150" i="7"/>
  <c r="J150" i="7"/>
  <c r="K150" i="7"/>
  <c r="L150" i="7"/>
  <c r="M150" i="7"/>
  <c r="N150" i="7"/>
  <c r="O150" i="7"/>
  <c r="P150" i="7"/>
  <c r="B151" i="7"/>
  <c r="C151" i="7"/>
  <c r="D151" i="7"/>
  <c r="E151" i="7"/>
  <c r="F151" i="7"/>
  <c r="G151" i="7"/>
  <c r="H151" i="7"/>
  <c r="I151" i="7"/>
  <c r="J151" i="7"/>
  <c r="K151" i="7"/>
  <c r="L151" i="7"/>
  <c r="M151" i="7"/>
  <c r="N151" i="7"/>
  <c r="O151" i="7"/>
  <c r="U151" i="7" s="1"/>
  <c r="P151" i="7"/>
  <c r="B152" i="7"/>
  <c r="C152" i="7"/>
  <c r="D152" i="7"/>
  <c r="E152" i="7"/>
  <c r="F152" i="7"/>
  <c r="G152" i="7"/>
  <c r="H152" i="7"/>
  <c r="I152" i="7"/>
  <c r="J152" i="7"/>
  <c r="K152" i="7"/>
  <c r="L152" i="7"/>
  <c r="M152" i="7"/>
  <c r="N152" i="7"/>
  <c r="O152" i="7"/>
  <c r="P152" i="7"/>
  <c r="B153" i="7"/>
  <c r="C153" i="7"/>
  <c r="D153" i="7"/>
  <c r="E153" i="7"/>
  <c r="F153" i="7"/>
  <c r="G153" i="7"/>
  <c r="H153" i="7"/>
  <c r="I153" i="7"/>
  <c r="J153" i="7"/>
  <c r="K153" i="7"/>
  <c r="L153" i="7"/>
  <c r="M153" i="7"/>
  <c r="N153" i="7"/>
  <c r="O153" i="7"/>
  <c r="U153" i="7" s="1"/>
  <c r="P153" i="7"/>
  <c r="B154" i="7"/>
  <c r="C154" i="7"/>
  <c r="D154" i="7"/>
  <c r="E154" i="7"/>
  <c r="F154" i="7"/>
  <c r="G154" i="7"/>
  <c r="H154" i="7"/>
  <c r="I154" i="7"/>
  <c r="J154" i="7"/>
  <c r="K154" i="7"/>
  <c r="L154" i="7"/>
  <c r="M154" i="7"/>
  <c r="N154" i="7"/>
  <c r="O154" i="7"/>
  <c r="P154" i="7"/>
  <c r="B155" i="7"/>
  <c r="C155" i="7"/>
  <c r="D155" i="7"/>
  <c r="E155" i="7"/>
  <c r="F155" i="7"/>
  <c r="G155" i="7"/>
  <c r="H155" i="7"/>
  <c r="I155" i="7"/>
  <c r="J155" i="7"/>
  <c r="K155" i="7"/>
  <c r="L155" i="7"/>
  <c r="M155" i="7"/>
  <c r="N155" i="7"/>
  <c r="O155" i="7"/>
  <c r="P155" i="7"/>
  <c r="B156" i="7"/>
  <c r="C156" i="7"/>
  <c r="D156" i="7"/>
  <c r="E156" i="7"/>
  <c r="F156" i="7"/>
  <c r="G156" i="7"/>
  <c r="H156" i="7"/>
  <c r="I156" i="7"/>
  <c r="J156" i="7"/>
  <c r="K156" i="7"/>
  <c r="L156" i="7"/>
  <c r="M156" i="7"/>
  <c r="N156" i="7"/>
  <c r="O156" i="7"/>
  <c r="P156" i="7"/>
  <c r="B157" i="7"/>
  <c r="C157" i="7"/>
  <c r="D157" i="7"/>
  <c r="E157" i="7"/>
  <c r="F157" i="7"/>
  <c r="G157" i="7"/>
  <c r="H157" i="7"/>
  <c r="I157" i="7"/>
  <c r="J157" i="7"/>
  <c r="K157" i="7"/>
  <c r="L157" i="7"/>
  <c r="M157" i="7"/>
  <c r="N157" i="7"/>
  <c r="O157" i="7"/>
  <c r="P157" i="7"/>
  <c r="B158" i="7"/>
  <c r="C158" i="7"/>
  <c r="D158" i="7"/>
  <c r="E158" i="7"/>
  <c r="F158" i="7"/>
  <c r="G158" i="7"/>
  <c r="H158" i="7"/>
  <c r="I158" i="7"/>
  <c r="J158" i="7"/>
  <c r="K158" i="7"/>
  <c r="L158" i="7"/>
  <c r="M158" i="7"/>
  <c r="N158" i="7"/>
  <c r="O158" i="7"/>
  <c r="P158" i="7"/>
  <c r="B159" i="7"/>
  <c r="C159" i="7"/>
  <c r="D159" i="7"/>
  <c r="E159" i="7"/>
  <c r="F159" i="7"/>
  <c r="G159" i="7"/>
  <c r="H159" i="7"/>
  <c r="I159" i="7"/>
  <c r="J159" i="7"/>
  <c r="K159" i="7"/>
  <c r="L159" i="7"/>
  <c r="M159" i="7"/>
  <c r="N159" i="7"/>
  <c r="O159" i="7"/>
  <c r="U159" i="7" s="1"/>
  <c r="P159" i="7"/>
  <c r="B160" i="7"/>
  <c r="C160" i="7"/>
  <c r="D160" i="7"/>
  <c r="E160" i="7"/>
  <c r="F160" i="7"/>
  <c r="G160" i="7"/>
  <c r="H160" i="7"/>
  <c r="I160" i="7"/>
  <c r="J160" i="7"/>
  <c r="K160" i="7"/>
  <c r="L160" i="7"/>
  <c r="M160" i="7"/>
  <c r="N160" i="7"/>
  <c r="O160" i="7"/>
  <c r="P160" i="7"/>
  <c r="B161" i="7"/>
  <c r="C161" i="7"/>
  <c r="D161" i="7"/>
  <c r="E161" i="7"/>
  <c r="F161" i="7"/>
  <c r="G161" i="7"/>
  <c r="H161" i="7"/>
  <c r="I161" i="7"/>
  <c r="J161" i="7"/>
  <c r="K161" i="7"/>
  <c r="L161" i="7"/>
  <c r="M161" i="7"/>
  <c r="N161" i="7"/>
  <c r="O161" i="7"/>
  <c r="P161" i="7"/>
  <c r="B162" i="7"/>
  <c r="C162" i="7"/>
  <c r="D162" i="7"/>
  <c r="E162" i="7"/>
  <c r="F162" i="7"/>
  <c r="G162" i="7"/>
  <c r="H162" i="7"/>
  <c r="I162" i="7"/>
  <c r="J162" i="7"/>
  <c r="K162" i="7"/>
  <c r="L162" i="7"/>
  <c r="M162" i="7"/>
  <c r="N162" i="7"/>
  <c r="O162" i="7"/>
  <c r="P162" i="7"/>
  <c r="B163" i="7"/>
  <c r="C163" i="7"/>
  <c r="D163" i="7"/>
  <c r="E163" i="7"/>
  <c r="F163" i="7"/>
  <c r="G163" i="7"/>
  <c r="H163" i="7"/>
  <c r="I163" i="7"/>
  <c r="J163" i="7"/>
  <c r="K163" i="7"/>
  <c r="L163" i="7"/>
  <c r="M163" i="7"/>
  <c r="N163" i="7"/>
  <c r="O163" i="7"/>
  <c r="P163" i="7"/>
  <c r="B164" i="7"/>
  <c r="C164" i="7"/>
  <c r="D164" i="7"/>
  <c r="E164" i="7"/>
  <c r="F164" i="7"/>
  <c r="G164" i="7"/>
  <c r="H164" i="7"/>
  <c r="I164" i="7"/>
  <c r="J164" i="7"/>
  <c r="K164" i="7"/>
  <c r="L164" i="7"/>
  <c r="M164" i="7"/>
  <c r="N164" i="7"/>
  <c r="O164" i="7"/>
  <c r="P164" i="7"/>
  <c r="B165" i="7"/>
  <c r="C165" i="7"/>
  <c r="D165" i="7"/>
  <c r="E165" i="7"/>
  <c r="F165" i="7"/>
  <c r="G165" i="7"/>
  <c r="H165" i="7"/>
  <c r="I165" i="7"/>
  <c r="J165" i="7"/>
  <c r="K165" i="7"/>
  <c r="L165" i="7"/>
  <c r="M165" i="7"/>
  <c r="N165" i="7"/>
  <c r="O165" i="7"/>
  <c r="P165" i="7"/>
  <c r="B166" i="7"/>
  <c r="C166" i="7"/>
  <c r="D166" i="7"/>
  <c r="E166" i="7"/>
  <c r="F166" i="7"/>
  <c r="G166" i="7"/>
  <c r="H166" i="7"/>
  <c r="I166" i="7"/>
  <c r="J166" i="7"/>
  <c r="K166" i="7"/>
  <c r="L166" i="7"/>
  <c r="M166" i="7"/>
  <c r="N166" i="7"/>
  <c r="O166" i="7"/>
  <c r="P166" i="7"/>
  <c r="B167" i="7"/>
  <c r="C167" i="7"/>
  <c r="D167" i="7"/>
  <c r="E167" i="7"/>
  <c r="F167" i="7"/>
  <c r="G167" i="7"/>
  <c r="H167" i="7"/>
  <c r="I167" i="7"/>
  <c r="J167" i="7"/>
  <c r="K167" i="7"/>
  <c r="L167" i="7"/>
  <c r="M167" i="7"/>
  <c r="N167" i="7"/>
  <c r="O167" i="7"/>
  <c r="P167" i="7"/>
  <c r="B168" i="7"/>
  <c r="C168" i="7"/>
  <c r="D168" i="7"/>
  <c r="E168" i="7"/>
  <c r="F168" i="7"/>
  <c r="G168" i="7"/>
  <c r="H168" i="7"/>
  <c r="I168" i="7"/>
  <c r="J168" i="7"/>
  <c r="K168" i="7"/>
  <c r="L168" i="7"/>
  <c r="M168" i="7"/>
  <c r="N168" i="7"/>
  <c r="O168" i="7"/>
  <c r="P168" i="7"/>
  <c r="B169" i="7"/>
  <c r="C169" i="7"/>
  <c r="D169" i="7"/>
  <c r="E169" i="7"/>
  <c r="F169" i="7"/>
  <c r="G169" i="7"/>
  <c r="H169" i="7"/>
  <c r="I169" i="7"/>
  <c r="J169" i="7"/>
  <c r="K169" i="7"/>
  <c r="L169" i="7"/>
  <c r="M169" i="7"/>
  <c r="N169" i="7"/>
  <c r="O169" i="7"/>
  <c r="P169" i="7"/>
  <c r="B170" i="7"/>
  <c r="C170" i="7"/>
  <c r="D170" i="7"/>
  <c r="E170" i="7"/>
  <c r="F170" i="7"/>
  <c r="G170" i="7"/>
  <c r="H170" i="7"/>
  <c r="I170" i="7"/>
  <c r="J170" i="7"/>
  <c r="K170" i="7"/>
  <c r="L170" i="7"/>
  <c r="M170" i="7"/>
  <c r="N170" i="7"/>
  <c r="O170" i="7"/>
  <c r="P170" i="7"/>
  <c r="B171" i="7"/>
  <c r="C171" i="7"/>
  <c r="D171" i="7"/>
  <c r="E171" i="7"/>
  <c r="F171" i="7"/>
  <c r="G171" i="7"/>
  <c r="H171" i="7"/>
  <c r="I171" i="7"/>
  <c r="J171" i="7"/>
  <c r="K171" i="7"/>
  <c r="L171" i="7"/>
  <c r="M171" i="7"/>
  <c r="N171" i="7"/>
  <c r="O171" i="7"/>
  <c r="U171" i="7" s="1"/>
  <c r="P171" i="7"/>
  <c r="B172" i="7"/>
  <c r="C172" i="7"/>
  <c r="D172" i="7"/>
  <c r="E172" i="7"/>
  <c r="F172" i="7"/>
  <c r="G172" i="7"/>
  <c r="H172" i="7"/>
  <c r="I172" i="7"/>
  <c r="J172" i="7"/>
  <c r="K172" i="7"/>
  <c r="L172" i="7"/>
  <c r="M172" i="7"/>
  <c r="N172" i="7"/>
  <c r="O172" i="7"/>
  <c r="P172" i="7"/>
  <c r="B173" i="7"/>
  <c r="C173" i="7"/>
  <c r="D173" i="7"/>
  <c r="E173" i="7"/>
  <c r="F173" i="7"/>
  <c r="G173" i="7"/>
  <c r="H173" i="7"/>
  <c r="I173" i="7"/>
  <c r="J173" i="7"/>
  <c r="K173" i="7"/>
  <c r="L173" i="7"/>
  <c r="M173" i="7"/>
  <c r="N173" i="7"/>
  <c r="O173" i="7"/>
  <c r="P173" i="7"/>
  <c r="B174" i="7"/>
  <c r="C174" i="7"/>
  <c r="D174" i="7"/>
  <c r="E174" i="7"/>
  <c r="F174" i="7"/>
  <c r="G174" i="7"/>
  <c r="H174" i="7"/>
  <c r="I174" i="7"/>
  <c r="J174" i="7"/>
  <c r="K174" i="7"/>
  <c r="L174" i="7"/>
  <c r="M174" i="7"/>
  <c r="N174" i="7"/>
  <c r="O174" i="7"/>
  <c r="P174" i="7"/>
  <c r="B175" i="7"/>
  <c r="C175" i="7"/>
  <c r="D175" i="7"/>
  <c r="E175" i="7"/>
  <c r="F175" i="7"/>
  <c r="G175" i="7"/>
  <c r="H175" i="7"/>
  <c r="I175" i="7"/>
  <c r="J175" i="7"/>
  <c r="K175" i="7"/>
  <c r="L175" i="7"/>
  <c r="M175" i="7"/>
  <c r="N175" i="7"/>
  <c r="O175" i="7"/>
  <c r="U175" i="7" s="1"/>
  <c r="P175" i="7"/>
  <c r="B176" i="7"/>
  <c r="C176" i="7"/>
  <c r="D176" i="7"/>
  <c r="E176" i="7"/>
  <c r="F176" i="7"/>
  <c r="G176" i="7"/>
  <c r="H176" i="7"/>
  <c r="I176" i="7"/>
  <c r="J176" i="7"/>
  <c r="K176" i="7"/>
  <c r="L176" i="7"/>
  <c r="M176" i="7"/>
  <c r="N176" i="7"/>
  <c r="O176" i="7"/>
  <c r="P176" i="7"/>
  <c r="B177" i="7"/>
  <c r="C177" i="7"/>
  <c r="D177" i="7"/>
  <c r="E177" i="7"/>
  <c r="F177" i="7"/>
  <c r="G177" i="7"/>
  <c r="H177" i="7"/>
  <c r="I177" i="7"/>
  <c r="J177" i="7"/>
  <c r="K177" i="7"/>
  <c r="L177" i="7"/>
  <c r="M177" i="7"/>
  <c r="N177" i="7"/>
  <c r="O177" i="7"/>
  <c r="P177" i="7"/>
  <c r="B178" i="7"/>
  <c r="C178" i="7"/>
  <c r="D178" i="7"/>
  <c r="E178" i="7"/>
  <c r="F178" i="7"/>
  <c r="G178" i="7"/>
  <c r="H178" i="7"/>
  <c r="I178" i="7"/>
  <c r="J178" i="7"/>
  <c r="K178" i="7"/>
  <c r="L178" i="7"/>
  <c r="M178" i="7"/>
  <c r="N178" i="7"/>
  <c r="O178" i="7"/>
  <c r="P178" i="7"/>
  <c r="B179" i="7"/>
  <c r="C179" i="7"/>
  <c r="D179" i="7"/>
  <c r="E179" i="7"/>
  <c r="F179" i="7"/>
  <c r="G179" i="7"/>
  <c r="H179" i="7"/>
  <c r="I179" i="7"/>
  <c r="J179" i="7"/>
  <c r="K179" i="7"/>
  <c r="L179" i="7"/>
  <c r="M179" i="7"/>
  <c r="N179" i="7"/>
  <c r="O179" i="7"/>
  <c r="P179" i="7"/>
  <c r="B180" i="7"/>
  <c r="C180" i="7"/>
  <c r="D180" i="7"/>
  <c r="E180" i="7"/>
  <c r="F180" i="7"/>
  <c r="G180" i="7"/>
  <c r="H180" i="7"/>
  <c r="I180" i="7"/>
  <c r="J180" i="7"/>
  <c r="K180" i="7"/>
  <c r="L180" i="7"/>
  <c r="M180" i="7"/>
  <c r="N180" i="7"/>
  <c r="O180" i="7"/>
  <c r="P180" i="7"/>
  <c r="B181" i="7"/>
  <c r="C181" i="7"/>
  <c r="D181" i="7"/>
  <c r="E181" i="7"/>
  <c r="F181" i="7"/>
  <c r="G181" i="7"/>
  <c r="H181" i="7"/>
  <c r="I181" i="7"/>
  <c r="J181" i="7"/>
  <c r="K181" i="7"/>
  <c r="L181" i="7"/>
  <c r="M181" i="7"/>
  <c r="N181" i="7"/>
  <c r="O181" i="7"/>
  <c r="U181" i="7" s="1"/>
  <c r="P181" i="7"/>
  <c r="B182" i="7"/>
  <c r="C182" i="7"/>
  <c r="D182" i="7"/>
  <c r="E182" i="7"/>
  <c r="F182" i="7"/>
  <c r="G182" i="7"/>
  <c r="H182" i="7"/>
  <c r="I182" i="7"/>
  <c r="J182" i="7"/>
  <c r="K182" i="7"/>
  <c r="L182" i="7"/>
  <c r="M182" i="7"/>
  <c r="N182" i="7"/>
  <c r="O182" i="7"/>
  <c r="P182" i="7"/>
  <c r="B183" i="7"/>
  <c r="C183" i="7"/>
  <c r="D183" i="7"/>
  <c r="E183" i="7"/>
  <c r="F183" i="7"/>
  <c r="G183" i="7"/>
  <c r="H183" i="7"/>
  <c r="I183" i="7"/>
  <c r="J183" i="7"/>
  <c r="K183" i="7"/>
  <c r="L183" i="7"/>
  <c r="M183" i="7"/>
  <c r="N183" i="7"/>
  <c r="O183" i="7"/>
  <c r="U183" i="7" s="1"/>
  <c r="P183" i="7"/>
  <c r="B184" i="7"/>
  <c r="C184" i="7"/>
  <c r="D184" i="7"/>
  <c r="E184" i="7"/>
  <c r="F184" i="7"/>
  <c r="G184" i="7"/>
  <c r="H184" i="7"/>
  <c r="I184" i="7"/>
  <c r="J184" i="7"/>
  <c r="K184" i="7"/>
  <c r="L184" i="7"/>
  <c r="M184" i="7"/>
  <c r="N184" i="7"/>
  <c r="O184" i="7"/>
  <c r="P184" i="7"/>
  <c r="B185" i="7"/>
  <c r="C185" i="7"/>
  <c r="D185" i="7"/>
  <c r="E185" i="7"/>
  <c r="F185" i="7"/>
  <c r="G185" i="7"/>
  <c r="H185" i="7"/>
  <c r="I185" i="7"/>
  <c r="J185" i="7"/>
  <c r="K185" i="7"/>
  <c r="L185" i="7"/>
  <c r="M185" i="7"/>
  <c r="N185" i="7"/>
  <c r="O185" i="7"/>
  <c r="P185" i="7"/>
  <c r="B186" i="7"/>
  <c r="C186" i="7"/>
  <c r="D186" i="7"/>
  <c r="E186" i="7"/>
  <c r="F186" i="7"/>
  <c r="G186" i="7"/>
  <c r="H186" i="7"/>
  <c r="I186" i="7"/>
  <c r="J186" i="7"/>
  <c r="K186" i="7"/>
  <c r="L186" i="7"/>
  <c r="M186" i="7"/>
  <c r="N186" i="7"/>
  <c r="O186" i="7"/>
  <c r="P186" i="7"/>
  <c r="B187" i="7"/>
  <c r="C187" i="7"/>
  <c r="D187" i="7"/>
  <c r="E187" i="7"/>
  <c r="F187" i="7"/>
  <c r="G187" i="7"/>
  <c r="H187" i="7"/>
  <c r="I187" i="7"/>
  <c r="J187" i="7"/>
  <c r="K187" i="7"/>
  <c r="L187" i="7"/>
  <c r="M187" i="7"/>
  <c r="N187" i="7"/>
  <c r="O187" i="7"/>
  <c r="P187" i="7"/>
  <c r="B188" i="7"/>
  <c r="C188" i="7"/>
  <c r="D188" i="7"/>
  <c r="E188" i="7"/>
  <c r="F188" i="7"/>
  <c r="G188" i="7"/>
  <c r="H188" i="7"/>
  <c r="I188" i="7"/>
  <c r="J188" i="7"/>
  <c r="K188" i="7"/>
  <c r="L188" i="7"/>
  <c r="M188" i="7"/>
  <c r="N188" i="7"/>
  <c r="O188" i="7"/>
  <c r="U188" i="7" s="1"/>
  <c r="P188" i="7"/>
  <c r="B189" i="7"/>
  <c r="C189" i="7"/>
  <c r="D189" i="7"/>
  <c r="E189" i="7"/>
  <c r="F189" i="7"/>
  <c r="G189" i="7"/>
  <c r="H189" i="7"/>
  <c r="I189" i="7"/>
  <c r="J189" i="7"/>
  <c r="K189" i="7"/>
  <c r="L189" i="7"/>
  <c r="M189" i="7"/>
  <c r="N189" i="7"/>
  <c r="O189" i="7"/>
  <c r="P189" i="7"/>
  <c r="B190" i="7"/>
  <c r="C190" i="7"/>
  <c r="D190" i="7"/>
  <c r="E190" i="7"/>
  <c r="F190" i="7"/>
  <c r="G190" i="7"/>
  <c r="H190" i="7"/>
  <c r="I190" i="7"/>
  <c r="J190" i="7"/>
  <c r="K190" i="7"/>
  <c r="L190" i="7"/>
  <c r="M190" i="7"/>
  <c r="N190" i="7"/>
  <c r="O190" i="7"/>
  <c r="U190" i="7" s="1"/>
  <c r="P190" i="7"/>
  <c r="B191" i="7"/>
  <c r="C191" i="7"/>
  <c r="D191" i="7"/>
  <c r="E191" i="7"/>
  <c r="F191" i="7"/>
  <c r="G191" i="7"/>
  <c r="H191" i="7"/>
  <c r="I191" i="7"/>
  <c r="J191" i="7"/>
  <c r="K191" i="7"/>
  <c r="L191" i="7"/>
  <c r="M191" i="7"/>
  <c r="N191" i="7"/>
  <c r="O191" i="7"/>
  <c r="P191" i="7"/>
  <c r="B192" i="7"/>
  <c r="C192" i="7"/>
  <c r="D192" i="7"/>
  <c r="E192" i="7"/>
  <c r="F192" i="7"/>
  <c r="G192" i="7"/>
  <c r="H192" i="7"/>
  <c r="I192" i="7"/>
  <c r="J192" i="7"/>
  <c r="K192" i="7"/>
  <c r="L192" i="7"/>
  <c r="M192" i="7"/>
  <c r="N192" i="7"/>
  <c r="O192" i="7"/>
  <c r="U192" i="7" s="1"/>
  <c r="P192" i="7"/>
  <c r="B193" i="7"/>
  <c r="C193" i="7"/>
  <c r="D193" i="7"/>
  <c r="E193" i="7"/>
  <c r="F193" i="7"/>
  <c r="G193" i="7"/>
  <c r="H193" i="7"/>
  <c r="I193" i="7"/>
  <c r="J193" i="7"/>
  <c r="K193" i="7"/>
  <c r="L193" i="7"/>
  <c r="M193" i="7"/>
  <c r="N193" i="7"/>
  <c r="O193" i="7"/>
  <c r="P193" i="7"/>
  <c r="B194" i="7"/>
  <c r="C194" i="7"/>
  <c r="D194" i="7"/>
  <c r="E194" i="7"/>
  <c r="F194" i="7"/>
  <c r="G194" i="7"/>
  <c r="H194" i="7"/>
  <c r="I194" i="7"/>
  <c r="J194" i="7"/>
  <c r="K194" i="7"/>
  <c r="L194" i="7"/>
  <c r="M194" i="7"/>
  <c r="N194" i="7"/>
  <c r="O194" i="7"/>
  <c r="P194" i="7"/>
  <c r="B195" i="7"/>
  <c r="C195" i="7"/>
  <c r="D195" i="7"/>
  <c r="E195" i="7"/>
  <c r="F195" i="7"/>
  <c r="G195" i="7"/>
  <c r="H195" i="7"/>
  <c r="I195" i="7"/>
  <c r="J195" i="7"/>
  <c r="K195" i="7"/>
  <c r="L195" i="7"/>
  <c r="M195" i="7"/>
  <c r="N195" i="7"/>
  <c r="O195" i="7"/>
  <c r="U195" i="7" s="1"/>
  <c r="P195" i="7"/>
  <c r="B196" i="7"/>
  <c r="C196" i="7"/>
  <c r="D196" i="7"/>
  <c r="E196" i="7"/>
  <c r="F196" i="7"/>
  <c r="G196" i="7"/>
  <c r="H196" i="7"/>
  <c r="I196" i="7"/>
  <c r="J196" i="7"/>
  <c r="K196" i="7"/>
  <c r="L196" i="7"/>
  <c r="M196" i="7"/>
  <c r="N196" i="7"/>
  <c r="O196" i="7"/>
  <c r="U196" i="7" s="1"/>
  <c r="P196" i="7"/>
  <c r="B197" i="7"/>
  <c r="C197" i="7"/>
  <c r="D197" i="7"/>
  <c r="E197" i="7"/>
  <c r="F197" i="7"/>
  <c r="G197" i="7"/>
  <c r="H197" i="7"/>
  <c r="I197" i="7"/>
  <c r="J197" i="7"/>
  <c r="K197" i="7"/>
  <c r="L197" i="7"/>
  <c r="M197" i="7"/>
  <c r="N197" i="7"/>
  <c r="O197" i="7"/>
  <c r="P197" i="7"/>
  <c r="B198" i="7"/>
  <c r="C198" i="7"/>
  <c r="D198" i="7"/>
  <c r="E198" i="7"/>
  <c r="F198" i="7"/>
  <c r="G198" i="7"/>
  <c r="H198" i="7"/>
  <c r="I198" i="7"/>
  <c r="J198" i="7"/>
  <c r="K198" i="7"/>
  <c r="L198" i="7"/>
  <c r="M198" i="7"/>
  <c r="N198" i="7"/>
  <c r="O198" i="7"/>
  <c r="U198" i="7" s="1"/>
  <c r="P198" i="7"/>
  <c r="B199" i="7"/>
  <c r="C199" i="7"/>
  <c r="D199" i="7"/>
  <c r="E199" i="7"/>
  <c r="F199" i="7"/>
  <c r="G199" i="7"/>
  <c r="H199" i="7"/>
  <c r="I199" i="7"/>
  <c r="J199" i="7"/>
  <c r="K199" i="7"/>
  <c r="L199" i="7"/>
  <c r="M199" i="7"/>
  <c r="N199" i="7"/>
  <c r="O199" i="7"/>
  <c r="U199" i="7" s="1"/>
  <c r="P199" i="7"/>
  <c r="B200" i="7"/>
  <c r="C200" i="7"/>
  <c r="D200" i="7"/>
  <c r="E200" i="7"/>
  <c r="F200" i="7"/>
  <c r="G200" i="7"/>
  <c r="H200" i="7"/>
  <c r="I200" i="7"/>
  <c r="J200" i="7"/>
  <c r="K200" i="7"/>
  <c r="L200" i="7"/>
  <c r="M200" i="7"/>
  <c r="N200" i="7"/>
  <c r="O200" i="7"/>
  <c r="U200" i="7" s="1"/>
  <c r="P200" i="7"/>
  <c r="B201" i="7"/>
  <c r="C201" i="7"/>
  <c r="D201" i="7"/>
  <c r="E201" i="7"/>
  <c r="F201" i="7"/>
  <c r="G201" i="7"/>
  <c r="H201" i="7"/>
  <c r="I201" i="7"/>
  <c r="J201" i="7"/>
  <c r="K201" i="7"/>
  <c r="L201" i="7"/>
  <c r="M201" i="7"/>
  <c r="N201" i="7"/>
  <c r="O201" i="7"/>
  <c r="U201" i="7" s="1"/>
  <c r="P201" i="7"/>
  <c r="B202" i="7"/>
  <c r="C202" i="7"/>
  <c r="D202" i="7"/>
  <c r="E202" i="7"/>
  <c r="F202" i="7"/>
  <c r="G202" i="7"/>
  <c r="H202" i="7"/>
  <c r="I202" i="7"/>
  <c r="J202" i="7"/>
  <c r="K202" i="7"/>
  <c r="L202" i="7"/>
  <c r="M202" i="7"/>
  <c r="N202" i="7"/>
  <c r="O202" i="7"/>
  <c r="P202" i="7"/>
  <c r="B203" i="7"/>
  <c r="C203" i="7"/>
  <c r="D203" i="7"/>
  <c r="E203" i="7"/>
  <c r="F203" i="7"/>
  <c r="G203" i="7"/>
  <c r="H203" i="7"/>
  <c r="I203" i="7"/>
  <c r="J203" i="7"/>
  <c r="K203" i="7"/>
  <c r="L203" i="7"/>
  <c r="M203" i="7"/>
  <c r="N203" i="7"/>
  <c r="O203" i="7"/>
  <c r="U203" i="7" s="1"/>
  <c r="P203" i="7"/>
  <c r="B204" i="7"/>
  <c r="C204" i="7"/>
  <c r="D204" i="7"/>
  <c r="E204" i="7"/>
  <c r="F204" i="7"/>
  <c r="G204" i="7"/>
  <c r="H204" i="7"/>
  <c r="I204" i="7"/>
  <c r="J204" i="7"/>
  <c r="K204" i="7"/>
  <c r="L204" i="7"/>
  <c r="M204" i="7"/>
  <c r="N204" i="7"/>
  <c r="O204" i="7"/>
  <c r="U204" i="7" s="1"/>
  <c r="P204" i="7"/>
  <c r="B205" i="7"/>
  <c r="C205" i="7"/>
  <c r="D205" i="7"/>
  <c r="E205" i="7"/>
  <c r="F205" i="7"/>
  <c r="G205" i="7"/>
  <c r="H205" i="7"/>
  <c r="I205" i="7"/>
  <c r="J205" i="7"/>
  <c r="K205" i="7"/>
  <c r="L205" i="7"/>
  <c r="M205" i="7"/>
  <c r="N205" i="7"/>
  <c r="O205" i="7"/>
  <c r="P205" i="7"/>
  <c r="B206" i="7"/>
  <c r="C206" i="7"/>
  <c r="D206" i="7"/>
  <c r="E206" i="7"/>
  <c r="F206" i="7"/>
  <c r="G206" i="7"/>
  <c r="H206" i="7"/>
  <c r="I206" i="7"/>
  <c r="J206" i="7"/>
  <c r="K206" i="7"/>
  <c r="L206" i="7"/>
  <c r="M206" i="7"/>
  <c r="N206" i="7"/>
  <c r="O206" i="7"/>
  <c r="U206" i="7" s="1"/>
  <c r="P206" i="7"/>
  <c r="B207" i="7"/>
  <c r="C207" i="7"/>
  <c r="D207" i="7"/>
  <c r="E207" i="7"/>
  <c r="F207" i="7"/>
  <c r="G207" i="7"/>
  <c r="H207" i="7"/>
  <c r="I207" i="7"/>
  <c r="J207" i="7"/>
  <c r="K207" i="7"/>
  <c r="L207" i="7"/>
  <c r="M207" i="7"/>
  <c r="N207" i="7"/>
  <c r="O207" i="7"/>
  <c r="P207" i="7"/>
  <c r="B208" i="7"/>
  <c r="C208" i="7"/>
  <c r="D208" i="7"/>
  <c r="E208" i="7"/>
  <c r="F208" i="7"/>
  <c r="G208" i="7"/>
  <c r="H208" i="7"/>
  <c r="I208" i="7"/>
  <c r="J208" i="7"/>
  <c r="K208" i="7"/>
  <c r="L208" i="7"/>
  <c r="M208" i="7"/>
  <c r="N208" i="7"/>
  <c r="O208" i="7"/>
  <c r="U208" i="7" s="1"/>
  <c r="P208" i="7"/>
  <c r="B209" i="7"/>
  <c r="C209" i="7"/>
  <c r="D209" i="7"/>
  <c r="E209" i="7"/>
  <c r="F209" i="7"/>
  <c r="G209" i="7"/>
  <c r="H209" i="7"/>
  <c r="I209" i="7"/>
  <c r="J209" i="7"/>
  <c r="K209" i="7"/>
  <c r="L209" i="7"/>
  <c r="M209" i="7"/>
  <c r="N209" i="7"/>
  <c r="O209" i="7"/>
  <c r="P209" i="7"/>
  <c r="B210" i="7"/>
  <c r="C210" i="7"/>
  <c r="D210" i="7"/>
  <c r="E210" i="7"/>
  <c r="F210" i="7"/>
  <c r="G210" i="7"/>
  <c r="H210" i="7"/>
  <c r="I210" i="7"/>
  <c r="J210" i="7"/>
  <c r="K210" i="7"/>
  <c r="L210" i="7"/>
  <c r="M210" i="7"/>
  <c r="N210" i="7"/>
  <c r="O210" i="7"/>
  <c r="P210" i="7"/>
  <c r="B211" i="7"/>
  <c r="C211" i="7"/>
  <c r="D211" i="7"/>
  <c r="E211" i="7"/>
  <c r="F211" i="7"/>
  <c r="G211" i="7"/>
  <c r="H211" i="7"/>
  <c r="I211" i="7"/>
  <c r="J211" i="7"/>
  <c r="K211" i="7"/>
  <c r="L211" i="7"/>
  <c r="M211" i="7"/>
  <c r="N211" i="7"/>
  <c r="O211" i="7"/>
  <c r="U211" i="7" s="1"/>
  <c r="P211" i="7"/>
  <c r="B212" i="7"/>
  <c r="C212" i="7"/>
  <c r="D212" i="7"/>
  <c r="E212" i="7"/>
  <c r="F212" i="7"/>
  <c r="G212" i="7"/>
  <c r="H212" i="7"/>
  <c r="I212" i="7"/>
  <c r="J212" i="7"/>
  <c r="K212" i="7"/>
  <c r="L212" i="7"/>
  <c r="M212" i="7"/>
  <c r="N212" i="7"/>
  <c r="O212" i="7"/>
  <c r="U212" i="7" s="1"/>
  <c r="P212" i="7"/>
  <c r="B213" i="7"/>
  <c r="C213" i="7"/>
  <c r="D213" i="7"/>
  <c r="E213" i="7"/>
  <c r="F213" i="7"/>
  <c r="G213" i="7"/>
  <c r="H213" i="7"/>
  <c r="I213" i="7"/>
  <c r="J213" i="7"/>
  <c r="K213" i="7"/>
  <c r="L213" i="7"/>
  <c r="M213" i="7"/>
  <c r="N213" i="7"/>
  <c r="O213" i="7"/>
  <c r="U213" i="7" s="1"/>
  <c r="P213" i="7"/>
  <c r="B214" i="7"/>
  <c r="C214" i="7"/>
  <c r="D214" i="7"/>
  <c r="E214" i="7"/>
  <c r="F214" i="7"/>
  <c r="G214" i="7"/>
  <c r="H214" i="7"/>
  <c r="I214" i="7"/>
  <c r="J214" i="7"/>
  <c r="K214" i="7"/>
  <c r="L214" i="7"/>
  <c r="M214" i="7"/>
  <c r="N214" i="7"/>
  <c r="O214" i="7"/>
  <c r="U214" i="7" s="1"/>
  <c r="P214" i="7"/>
  <c r="B215" i="7"/>
  <c r="C215" i="7"/>
  <c r="D215" i="7"/>
  <c r="E215" i="7"/>
  <c r="F215" i="7"/>
  <c r="G215" i="7"/>
  <c r="H215" i="7"/>
  <c r="I215" i="7"/>
  <c r="J215" i="7"/>
  <c r="K215" i="7"/>
  <c r="L215" i="7"/>
  <c r="M215" i="7"/>
  <c r="N215" i="7"/>
  <c r="O215" i="7"/>
  <c r="U215" i="7" s="1"/>
  <c r="P215" i="7"/>
  <c r="B216" i="7"/>
  <c r="C216" i="7"/>
  <c r="D216" i="7"/>
  <c r="E216" i="7"/>
  <c r="F216" i="7"/>
  <c r="G216" i="7"/>
  <c r="H216" i="7"/>
  <c r="I216" i="7"/>
  <c r="J216" i="7"/>
  <c r="K216" i="7"/>
  <c r="L216" i="7"/>
  <c r="M216" i="7"/>
  <c r="N216" i="7"/>
  <c r="O216" i="7"/>
  <c r="P216" i="7"/>
  <c r="B217" i="7"/>
  <c r="C217" i="7"/>
  <c r="D217" i="7"/>
  <c r="E217" i="7"/>
  <c r="F217" i="7"/>
  <c r="G217" i="7"/>
  <c r="H217" i="7"/>
  <c r="I217" i="7"/>
  <c r="J217" i="7"/>
  <c r="K217" i="7"/>
  <c r="L217" i="7"/>
  <c r="M217" i="7"/>
  <c r="N217" i="7"/>
  <c r="O217" i="7"/>
  <c r="U217" i="7" s="1"/>
  <c r="P217" i="7"/>
  <c r="B218" i="7"/>
  <c r="C218" i="7"/>
  <c r="D218" i="7"/>
  <c r="E218" i="7"/>
  <c r="F218" i="7"/>
  <c r="G218" i="7"/>
  <c r="H218" i="7"/>
  <c r="I218" i="7"/>
  <c r="J218" i="7"/>
  <c r="K218" i="7"/>
  <c r="L218" i="7"/>
  <c r="M218" i="7"/>
  <c r="N218" i="7"/>
  <c r="O218" i="7"/>
  <c r="U218" i="7" s="1"/>
  <c r="P218" i="7"/>
  <c r="B219" i="7"/>
  <c r="C219" i="7"/>
  <c r="D219" i="7"/>
  <c r="E219" i="7"/>
  <c r="F219" i="7"/>
  <c r="G219" i="7"/>
  <c r="H219" i="7"/>
  <c r="I219" i="7"/>
  <c r="J219" i="7"/>
  <c r="K219" i="7"/>
  <c r="L219" i="7"/>
  <c r="M219" i="7"/>
  <c r="N219" i="7"/>
  <c r="O219" i="7"/>
  <c r="U219" i="7" s="1"/>
  <c r="P219" i="7"/>
  <c r="B220" i="7"/>
  <c r="C220" i="7"/>
  <c r="D220" i="7"/>
  <c r="E220" i="7"/>
  <c r="F220" i="7"/>
  <c r="G220" i="7"/>
  <c r="H220" i="7"/>
  <c r="I220" i="7"/>
  <c r="J220" i="7"/>
  <c r="K220" i="7"/>
  <c r="L220" i="7"/>
  <c r="M220" i="7"/>
  <c r="N220" i="7"/>
  <c r="O220" i="7"/>
  <c r="U220" i="7" s="1"/>
  <c r="P220" i="7"/>
  <c r="B221" i="7"/>
  <c r="C221" i="7"/>
  <c r="D221" i="7"/>
  <c r="E221" i="7"/>
  <c r="F221" i="7"/>
  <c r="G221" i="7"/>
  <c r="H221" i="7"/>
  <c r="I221" i="7"/>
  <c r="J221" i="7"/>
  <c r="K221" i="7"/>
  <c r="L221" i="7"/>
  <c r="M221" i="7"/>
  <c r="N221" i="7"/>
  <c r="O221" i="7"/>
  <c r="U221" i="7" s="1"/>
  <c r="P221" i="7"/>
  <c r="B222" i="7"/>
  <c r="C222" i="7"/>
  <c r="D222" i="7"/>
  <c r="E222" i="7"/>
  <c r="F222" i="7"/>
  <c r="G222" i="7"/>
  <c r="H222" i="7"/>
  <c r="I222" i="7"/>
  <c r="J222" i="7"/>
  <c r="K222" i="7"/>
  <c r="L222" i="7"/>
  <c r="M222" i="7"/>
  <c r="N222" i="7"/>
  <c r="O222" i="7"/>
  <c r="P222" i="7"/>
  <c r="B223" i="7"/>
  <c r="C223" i="7"/>
  <c r="D223" i="7"/>
  <c r="E223" i="7"/>
  <c r="F223" i="7"/>
  <c r="G223" i="7"/>
  <c r="H223" i="7"/>
  <c r="I223" i="7"/>
  <c r="J223" i="7"/>
  <c r="K223" i="7"/>
  <c r="L223" i="7"/>
  <c r="M223" i="7"/>
  <c r="N223" i="7"/>
  <c r="O223" i="7"/>
  <c r="U223" i="7" s="1"/>
  <c r="P223" i="7"/>
  <c r="B224" i="7"/>
  <c r="C224" i="7"/>
  <c r="D224" i="7"/>
  <c r="E224" i="7"/>
  <c r="F224" i="7"/>
  <c r="G224" i="7"/>
  <c r="H224" i="7"/>
  <c r="I224" i="7"/>
  <c r="J224" i="7"/>
  <c r="K224" i="7"/>
  <c r="L224" i="7"/>
  <c r="M224" i="7"/>
  <c r="N224" i="7"/>
  <c r="O224" i="7"/>
  <c r="U224" i="7" s="1"/>
  <c r="P224" i="7"/>
  <c r="B225" i="7"/>
  <c r="C225" i="7"/>
  <c r="D225" i="7"/>
  <c r="E225" i="7"/>
  <c r="F225" i="7"/>
  <c r="G225" i="7"/>
  <c r="H225" i="7"/>
  <c r="I225" i="7"/>
  <c r="J225" i="7"/>
  <c r="K225" i="7"/>
  <c r="L225" i="7"/>
  <c r="M225" i="7"/>
  <c r="N225" i="7"/>
  <c r="O225" i="7"/>
  <c r="U225" i="7" s="1"/>
  <c r="P225" i="7"/>
  <c r="B226" i="7"/>
  <c r="C226" i="7"/>
  <c r="D226" i="7"/>
  <c r="E226" i="7"/>
  <c r="F226" i="7"/>
  <c r="G226" i="7"/>
  <c r="H226" i="7"/>
  <c r="I226" i="7"/>
  <c r="J226" i="7"/>
  <c r="K226" i="7"/>
  <c r="L226" i="7"/>
  <c r="M226" i="7"/>
  <c r="N226" i="7"/>
  <c r="O226" i="7"/>
  <c r="P226" i="7"/>
  <c r="B227" i="7"/>
  <c r="C227" i="7"/>
  <c r="D227" i="7"/>
  <c r="E227" i="7"/>
  <c r="F227" i="7"/>
  <c r="G227" i="7"/>
  <c r="H227" i="7"/>
  <c r="I227" i="7"/>
  <c r="J227" i="7"/>
  <c r="K227" i="7"/>
  <c r="L227" i="7"/>
  <c r="M227" i="7"/>
  <c r="N227" i="7"/>
  <c r="O227" i="7"/>
  <c r="P227" i="7"/>
  <c r="B228" i="7"/>
  <c r="C228" i="7"/>
  <c r="D228" i="7"/>
  <c r="E228" i="7"/>
  <c r="F228" i="7"/>
  <c r="G228" i="7"/>
  <c r="H228" i="7"/>
  <c r="I228" i="7"/>
  <c r="J228" i="7"/>
  <c r="K228" i="7"/>
  <c r="L228" i="7"/>
  <c r="M228" i="7"/>
  <c r="N228" i="7"/>
  <c r="O228" i="7"/>
  <c r="P228" i="7"/>
  <c r="B229" i="7"/>
  <c r="C229" i="7"/>
  <c r="D229" i="7"/>
  <c r="E229" i="7"/>
  <c r="F229" i="7"/>
  <c r="G229" i="7"/>
  <c r="H229" i="7"/>
  <c r="I229" i="7"/>
  <c r="J229" i="7"/>
  <c r="K229" i="7"/>
  <c r="L229" i="7"/>
  <c r="M229" i="7"/>
  <c r="N229" i="7"/>
  <c r="O229" i="7"/>
  <c r="P229" i="7"/>
  <c r="B230" i="7"/>
  <c r="C230" i="7"/>
  <c r="D230" i="7"/>
  <c r="E230" i="7"/>
  <c r="F230" i="7"/>
  <c r="G230" i="7"/>
  <c r="H230" i="7"/>
  <c r="I230" i="7"/>
  <c r="J230" i="7"/>
  <c r="K230" i="7"/>
  <c r="L230" i="7"/>
  <c r="M230" i="7"/>
  <c r="N230" i="7"/>
  <c r="O230" i="7"/>
  <c r="U230" i="7" s="1"/>
  <c r="P230" i="7"/>
  <c r="B231" i="7"/>
  <c r="C231" i="7"/>
  <c r="D231" i="7"/>
  <c r="E231" i="7"/>
  <c r="F231" i="7"/>
  <c r="G231" i="7"/>
  <c r="H231" i="7"/>
  <c r="I231" i="7"/>
  <c r="J231" i="7"/>
  <c r="K231" i="7"/>
  <c r="L231" i="7"/>
  <c r="M231" i="7"/>
  <c r="N231" i="7"/>
  <c r="O231" i="7"/>
  <c r="P231" i="7"/>
  <c r="B232" i="7"/>
  <c r="C232" i="7"/>
  <c r="D232" i="7"/>
  <c r="E232" i="7"/>
  <c r="F232" i="7"/>
  <c r="G232" i="7"/>
  <c r="H232" i="7"/>
  <c r="I232" i="7"/>
  <c r="J232" i="7"/>
  <c r="K232" i="7"/>
  <c r="L232" i="7"/>
  <c r="M232" i="7"/>
  <c r="N232" i="7"/>
  <c r="O232" i="7"/>
  <c r="U232" i="7" s="1"/>
  <c r="P232" i="7"/>
  <c r="B233" i="7"/>
  <c r="C233" i="7"/>
  <c r="D233" i="7"/>
  <c r="E233" i="7"/>
  <c r="F233" i="7"/>
  <c r="G233" i="7"/>
  <c r="H233" i="7"/>
  <c r="I233" i="7"/>
  <c r="J233" i="7"/>
  <c r="K233" i="7"/>
  <c r="L233" i="7"/>
  <c r="M233" i="7"/>
  <c r="N233" i="7"/>
  <c r="O233" i="7"/>
  <c r="U233" i="7" s="1"/>
  <c r="P233" i="7"/>
  <c r="B234" i="7"/>
  <c r="C234" i="7"/>
  <c r="D234" i="7"/>
  <c r="E234" i="7"/>
  <c r="F234" i="7"/>
  <c r="G234" i="7"/>
  <c r="H234" i="7"/>
  <c r="I234" i="7"/>
  <c r="J234" i="7"/>
  <c r="K234" i="7"/>
  <c r="L234" i="7"/>
  <c r="M234" i="7"/>
  <c r="N234" i="7"/>
  <c r="O234" i="7"/>
  <c r="P234" i="7"/>
  <c r="B235" i="7"/>
  <c r="C235" i="7"/>
  <c r="D235" i="7"/>
  <c r="E235" i="7"/>
  <c r="F235" i="7"/>
  <c r="G235" i="7"/>
  <c r="H235" i="7"/>
  <c r="I235" i="7"/>
  <c r="J235" i="7"/>
  <c r="K235" i="7"/>
  <c r="L235" i="7"/>
  <c r="M235" i="7"/>
  <c r="N235" i="7"/>
  <c r="O235" i="7"/>
  <c r="P235" i="7"/>
  <c r="B236" i="7"/>
  <c r="C236" i="7"/>
  <c r="D236" i="7"/>
  <c r="E236" i="7"/>
  <c r="F236" i="7"/>
  <c r="G236" i="7"/>
  <c r="H236" i="7"/>
  <c r="I236" i="7"/>
  <c r="J236" i="7"/>
  <c r="K236" i="7"/>
  <c r="L236" i="7"/>
  <c r="M236" i="7"/>
  <c r="N236" i="7"/>
  <c r="O236" i="7"/>
  <c r="U236" i="7" s="1"/>
  <c r="P236" i="7"/>
  <c r="B237" i="7"/>
  <c r="C237" i="7"/>
  <c r="D237" i="7"/>
  <c r="E237" i="7"/>
  <c r="F237" i="7"/>
  <c r="G237" i="7"/>
  <c r="H237" i="7"/>
  <c r="I237" i="7"/>
  <c r="J237" i="7"/>
  <c r="K237" i="7"/>
  <c r="L237" i="7"/>
  <c r="M237" i="7"/>
  <c r="N237" i="7"/>
  <c r="O237" i="7"/>
  <c r="P237" i="7"/>
  <c r="B238" i="7"/>
  <c r="C238" i="7"/>
  <c r="D238" i="7"/>
  <c r="E238" i="7"/>
  <c r="F238" i="7"/>
  <c r="G238" i="7"/>
  <c r="H238" i="7"/>
  <c r="I238" i="7"/>
  <c r="J238" i="7"/>
  <c r="K238" i="7"/>
  <c r="L238" i="7"/>
  <c r="M238" i="7"/>
  <c r="N238" i="7"/>
  <c r="O238" i="7"/>
  <c r="P238" i="7"/>
  <c r="B239" i="7"/>
  <c r="C239" i="7"/>
  <c r="D239" i="7"/>
  <c r="E239" i="7"/>
  <c r="F239" i="7"/>
  <c r="G239" i="7"/>
  <c r="H239" i="7"/>
  <c r="I239" i="7"/>
  <c r="J239" i="7"/>
  <c r="K239" i="7"/>
  <c r="L239" i="7"/>
  <c r="M239" i="7"/>
  <c r="N239" i="7"/>
  <c r="O239" i="7"/>
  <c r="P239" i="7"/>
  <c r="B240" i="7"/>
  <c r="C240" i="7"/>
  <c r="D240" i="7"/>
  <c r="E240" i="7"/>
  <c r="F240" i="7"/>
  <c r="G240" i="7"/>
  <c r="H240" i="7"/>
  <c r="I240" i="7"/>
  <c r="J240" i="7"/>
  <c r="K240" i="7"/>
  <c r="L240" i="7"/>
  <c r="M240" i="7"/>
  <c r="N240" i="7"/>
  <c r="O240" i="7"/>
  <c r="U240" i="7" s="1"/>
  <c r="P240" i="7"/>
  <c r="B241" i="7"/>
  <c r="C241" i="7"/>
  <c r="D241" i="7"/>
  <c r="E241" i="7"/>
  <c r="F241" i="7"/>
  <c r="G241" i="7"/>
  <c r="H241" i="7"/>
  <c r="I241" i="7"/>
  <c r="J241" i="7"/>
  <c r="K241" i="7"/>
  <c r="L241" i="7"/>
  <c r="M241" i="7"/>
  <c r="N241" i="7"/>
  <c r="O241" i="7"/>
  <c r="P241" i="7"/>
  <c r="B242" i="7"/>
  <c r="C242" i="7"/>
  <c r="D242" i="7"/>
  <c r="E242" i="7"/>
  <c r="F242" i="7"/>
  <c r="G242" i="7"/>
  <c r="H242" i="7"/>
  <c r="I242" i="7"/>
  <c r="J242" i="7"/>
  <c r="K242" i="7"/>
  <c r="L242" i="7"/>
  <c r="M242" i="7"/>
  <c r="N242" i="7"/>
  <c r="O242" i="7"/>
  <c r="P242" i="7"/>
  <c r="B243" i="7"/>
  <c r="C243" i="7"/>
  <c r="D243" i="7"/>
  <c r="E243" i="7"/>
  <c r="F243" i="7"/>
  <c r="G243" i="7"/>
  <c r="H243" i="7"/>
  <c r="I243" i="7"/>
  <c r="J243" i="7"/>
  <c r="K243" i="7"/>
  <c r="L243" i="7"/>
  <c r="M243" i="7"/>
  <c r="N243" i="7"/>
  <c r="O243" i="7"/>
  <c r="P243" i="7"/>
  <c r="B244" i="7"/>
  <c r="C244" i="7"/>
  <c r="D244" i="7"/>
  <c r="E244" i="7"/>
  <c r="F244" i="7"/>
  <c r="G244" i="7"/>
  <c r="H244" i="7"/>
  <c r="I244" i="7"/>
  <c r="J244" i="7"/>
  <c r="K244" i="7"/>
  <c r="L244" i="7"/>
  <c r="M244" i="7"/>
  <c r="N244" i="7"/>
  <c r="O244" i="7"/>
  <c r="P244" i="7"/>
  <c r="B245" i="7"/>
  <c r="C245" i="7"/>
  <c r="D245" i="7"/>
  <c r="E245" i="7"/>
  <c r="F245" i="7"/>
  <c r="G245" i="7"/>
  <c r="H245" i="7"/>
  <c r="I245" i="7"/>
  <c r="J245" i="7"/>
  <c r="K245" i="7"/>
  <c r="L245" i="7"/>
  <c r="M245" i="7"/>
  <c r="N245" i="7"/>
  <c r="O245" i="7"/>
  <c r="P245" i="7"/>
  <c r="B246" i="7"/>
  <c r="C246" i="7"/>
  <c r="D246" i="7"/>
  <c r="E246" i="7"/>
  <c r="F246" i="7"/>
  <c r="G246" i="7"/>
  <c r="H246" i="7"/>
  <c r="I246" i="7"/>
  <c r="J246" i="7"/>
  <c r="K246" i="7"/>
  <c r="L246" i="7"/>
  <c r="M246" i="7"/>
  <c r="N246" i="7"/>
  <c r="O246" i="7"/>
  <c r="U246" i="7" s="1"/>
  <c r="P246" i="7"/>
  <c r="B247" i="7"/>
  <c r="C247" i="7"/>
  <c r="D247" i="7"/>
  <c r="E247" i="7"/>
  <c r="F247" i="7"/>
  <c r="G247" i="7"/>
  <c r="H247" i="7"/>
  <c r="I247" i="7"/>
  <c r="J247" i="7"/>
  <c r="K247" i="7"/>
  <c r="L247" i="7"/>
  <c r="M247" i="7"/>
  <c r="N247" i="7"/>
  <c r="O247" i="7"/>
  <c r="P247" i="7"/>
  <c r="B248" i="7"/>
  <c r="C248" i="7"/>
  <c r="D248" i="7"/>
  <c r="E248" i="7"/>
  <c r="F248" i="7"/>
  <c r="G248" i="7"/>
  <c r="H248" i="7"/>
  <c r="I248" i="7"/>
  <c r="J248" i="7"/>
  <c r="K248" i="7"/>
  <c r="L248" i="7"/>
  <c r="M248" i="7"/>
  <c r="N248" i="7"/>
  <c r="O248" i="7"/>
  <c r="P248" i="7"/>
  <c r="B249" i="7"/>
  <c r="C249" i="7"/>
  <c r="D249" i="7"/>
  <c r="E249" i="7"/>
  <c r="F249" i="7"/>
  <c r="G249" i="7"/>
  <c r="H249" i="7"/>
  <c r="I249" i="7"/>
  <c r="J249" i="7"/>
  <c r="K249" i="7"/>
  <c r="L249" i="7"/>
  <c r="M249" i="7"/>
  <c r="N249" i="7"/>
  <c r="O249" i="7"/>
  <c r="U249" i="7" s="1"/>
  <c r="P249" i="7"/>
  <c r="B250" i="7"/>
  <c r="C250" i="7"/>
  <c r="D250" i="7"/>
  <c r="E250" i="7"/>
  <c r="F250" i="7"/>
  <c r="G250" i="7"/>
  <c r="H250" i="7"/>
  <c r="I250" i="7"/>
  <c r="J250" i="7"/>
  <c r="K250" i="7"/>
  <c r="L250" i="7"/>
  <c r="M250" i="7"/>
  <c r="N250" i="7"/>
  <c r="O250" i="7"/>
  <c r="P250" i="7"/>
  <c r="B251" i="7"/>
  <c r="C251" i="7"/>
  <c r="D251" i="7"/>
  <c r="E251" i="7"/>
  <c r="F251" i="7"/>
  <c r="G251" i="7"/>
  <c r="H251" i="7"/>
  <c r="I251" i="7"/>
  <c r="J251" i="7"/>
  <c r="K251" i="7"/>
  <c r="L251" i="7"/>
  <c r="M251" i="7"/>
  <c r="N251" i="7"/>
  <c r="O251" i="7"/>
  <c r="U251" i="7" s="1"/>
  <c r="P251" i="7"/>
  <c r="B252" i="7"/>
  <c r="C252" i="7"/>
  <c r="D252" i="7"/>
  <c r="E252" i="7"/>
  <c r="F252" i="7"/>
  <c r="G252" i="7"/>
  <c r="H252" i="7"/>
  <c r="I252" i="7"/>
  <c r="J252" i="7"/>
  <c r="K252" i="7"/>
  <c r="L252" i="7"/>
  <c r="M252" i="7"/>
  <c r="N252" i="7"/>
  <c r="O252" i="7"/>
  <c r="U252" i="7" s="1"/>
  <c r="P252" i="7"/>
  <c r="B253" i="7"/>
  <c r="C253" i="7"/>
  <c r="D253" i="7"/>
  <c r="E253" i="7"/>
  <c r="F253" i="7"/>
  <c r="G253" i="7"/>
  <c r="H253" i="7"/>
  <c r="I253" i="7"/>
  <c r="J253" i="7"/>
  <c r="K253" i="7"/>
  <c r="L253" i="7"/>
  <c r="M253" i="7"/>
  <c r="N253" i="7"/>
  <c r="O253" i="7"/>
  <c r="U253" i="7" s="1"/>
  <c r="P253" i="7"/>
  <c r="B254" i="7"/>
  <c r="C254" i="7"/>
  <c r="D254" i="7"/>
  <c r="E254" i="7"/>
  <c r="F254" i="7"/>
  <c r="G254" i="7"/>
  <c r="H254" i="7"/>
  <c r="I254" i="7"/>
  <c r="J254" i="7"/>
  <c r="K254" i="7"/>
  <c r="L254" i="7"/>
  <c r="M254" i="7"/>
  <c r="N254" i="7"/>
  <c r="O254" i="7"/>
  <c r="P254" i="7"/>
  <c r="B255" i="7"/>
  <c r="C255" i="7"/>
  <c r="D255" i="7"/>
  <c r="E255" i="7"/>
  <c r="F255" i="7"/>
  <c r="G255" i="7"/>
  <c r="H255" i="7"/>
  <c r="I255" i="7"/>
  <c r="J255" i="7"/>
  <c r="K255" i="7"/>
  <c r="L255" i="7"/>
  <c r="M255" i="7"/>
  <c r="N255" i="7"/>
  <c r="O255" i="7"/>
  <c r="U255" i="7" s="1"/>
  <c r="P255" i="7"/>
  <c r="B256" i="7"/>
  <c r="C256" i="7"/>
  <c r="D256" i="7"/>
  <c r="E256" i="7"/>
  <c r="F256" i="7"/>
  <c r="G256" i="7"/>
  <c r="H256" i="7"/>
  <c r="I256" i="7"/>
  <c r="J256" i="7"/>
  <c r="K256" i="7"/>
  <c r="L256" i="7"/>
  <c r="M256" i="7"/>
  <c r="N256" i="7"/>
  <c r="O256" i="7"/>
  <c r="U256" i="7" s="1"/>
  <c r="P256" i="7"/>
  <c r="B257" i="7"/>
  <c r="C257" i="7"/>
  <c r="D257" i="7"/>
  <c r="E257" i="7"/>
  <c r="F257" i="7"/>
  <c r="G257" i="7"/>
  <c r="H257" i="7"/>
  <c r="I257" i="7"/>
  <c r="J257" i="7"/>
  <c r="K257" i="7"/>
  <c r="L257" i="7"/>
  <c r="M257" i="7"/>
  <c r="N257" i="7"/>
  <c r="O257" i="7"/>
  <c r="U257" i="7" s="1"/>
  <c r="P257" i="7"/>
  <c r="B258" i="7"/>
  <c r="C258" i="7"/>
  <c r="D258" i="7"/>
  <c r="E258" i="7"/>
  <c r="F258" i="7"/>
  <c r="G258" i="7"/>
  <c r="H258" i="7"/>
  <c r="I258" i="7"/>
  <c r="J258" i="7"/>
  <c r="K258" i="7"/>
  <c r="L258" i="7"/>
  <c r="M258" i="7"/>
  <c r="N258" i="7"/>
  <c r="O258" i="7"/>
  <c r="U258" i="7" s="1"/>
  <c r="P258" i="7"/>
  <c r="B259" i="7"/>
  <c r="C259" i="7"/>
  <c r="D259" i="7"/>
  <c r="E259" i="7"/>
  <c r="F259" i="7"/>
  <c r="G259" i="7"/>
  <c r="H259" i="7"/>
  <c r="I259" i="7"/>
  <c r="J259" i="7"/>
  <c r="K259" i="7"/>
  <c r="L259" i="7"/>
  <c r="M259" i="7"/>
  <c r="N259" i="7"/>
  <c r="O259" i="7"/>
  <c r="P259" i="7"/>
  <c r="B260" i="7"/>
  <c r="C260" i="7"/>
  <c r="D260" i="7"/>
  <c r="E260" i="7"/>
  <c r="F260" i="7"/>
  <c r="G260" i="7"/>
  <c r="H260" i="7"/>
  <c r="I260" i="7"/>
  <c r="J260" i="7"/>
  <c r="K260" i="7"/>
  <c r="L260" i="7"/>
  <c r="M260" i="7"/>
  <c r="N260" i="7"/>
  <c r="O260" i="7"/>
  <c r="P260" i="7"/>
  <c r="B261" i="7"/>
  <c r="C261" i="7"/>
  <c r="D261" i="7"/>
  <c r="E261" i="7"/>
  <c r="F261" i="7"/>
  <c r="G261" i="7"/>
  <c r="H261" i="7"/>
  <c r="I261" i="7"/>
  <c r="J261" i="7"/>
  <c r="K261" i="7"/>
  <c r="L261" i="7"/>
  <c r="M261" i="7"/>
  <c r="N261" i="7"/>
  <c r="O261" i="7"/>
  <c r="U261" i="7" s="1"/>
  <c r="P261" i="7"/>
  <c r="B262" i="7"/>
  <c r="C262" i="7"/>
  <c r="D262" i="7"/>
  <c r="E262" i="7"/>
  <c r="F262" i="7"/>
  <c r="G262" i="7"/>
  <c r="H262" i="7"/>
  <c r="I262" i="7"/>
  <c r="J262" i="7"/>
  <c r="K262" i="7"/>
  <c r="L262" i="7"/>
  <c r="M262" i="7"/>
  <c r="N262" i="7"/>
  <c r="O262" i="7"/>
  <c r="U262" i="7" s="1"/>
  <c r="P262" i="7"/>
  <c r="B263" i="7"/>
  <c r="C263" i="7"/>
  <c r="D263" i="7"/>
  <c r="E263" i="7"/>
  <c r="F263" i="7"/>
  <c r="G263" i="7"/>
  <c r="H263" i="7"/>
  <c r="I263" i="7"/>
  <c r="J263" i="7"/>
  <c r="K263" i="7"/>
  <c r="L263" i="7"/>
  <c r="M263" i="7"/>
  <c r="N263" i="7"/>
  <c r="O263" i="7"/>
  <c r="U263" i="7" s="1"/>
  <c r="P263" i="7"/>
  <c r="B264" i="7"/>
  <c r="C264" i="7"/>
  <c r="D264" i="7"/>
  <c r="E264" i="7"/>
  <c r="F264" i="7"/>
  <c r="G264" i="7"/>
  <c r="H264" i="7"/>
  <c r="I264" i="7"/>
  <c r="J264" i="7"/>
  <c r="K264" i="7"/>
  <c r="L264" i="7"/>
  <c r="M264" i="7"/>
  <c r="N264" i="7"/>
  <c r="O264" i="7"/>
  <c r="P264" i="7"/>
  <c r="B265" i="7"/>
  <c r="C265" i="7"/>
  <c r="D265" i="7"/>
  <c r="E265" i="7"/>
  <c r="F265" i="7"/>
  <c r="G265" i="7"/>
  <c r="H265" i="7"/>
  <c r="I265" i="7"/>
  <c r="J265" i="7"/>
  <c r="K265" i="7"/>
  <c r="L265" i="7"/>
  <c r="M265" i="7"/>
  <c r="N265" i="7"/>
  <c r="O265" i="7"/>
  <c r="U265" i="7" s="1"/>
  <c r="P265" i="7"/>
  <c r="B266" i="7"/>
  <c r="C266" i="7"/>
  <c r="D266" i="7"/>
  <c r="E266" i="7"/>
  <c r="F266" i="7"/>
  <c r="G266" i="7"/>
  <c r="H266" i="7"/>
  <c r="I266" i="7"/>
  <c r="J266" i="7"/>
  <c r="K266" i="7"/>
  <c r="L266" i="7"/>
  <c r="M266" i="7"/>
  <c r="N266" i="7"/>
  <c r="O266" i="7"/>
  <c r="U266" i="7" s="1"/>
  <c r="P266" i="7"/>
  <c r="B267" i="7"/>
  <c r="C267" i="7"/>
  <c r="D267" i="7"/>
  <c r="E267" i="7"/>
  <c r="F267" i="7"/>
  <c r="G267" i="7"/>
  <c r="H267" i="7"/>
  <c r="I267" i="7"/>
  <c r="J267" i="7"/>
  <c r="K267" i="7"/>
  <c r="L267" i="7"/>
  <c r="M267" i="7"/>
  <c r="N267" i="7"/>
  <c r="O267" i="7"/>
  <c r="U267" i="7" s="1"/>
  <c r="P267" i="7"/>
  <c r="B268" i="7"/>
  <c r="C268" i="7"/>
  <c r="D268" i="7"/>
  <c r="E268" i="7"/>
  <c r="F268" i="7"/>
  <c r="G268" i="7"/>
  <c r="H268" i="7"/>
  <c r="I268" i="7"/>
  <c r="J268" i="7"/>
  <c r="K268" i="7"/>
  <c r="L268" i="7"/>
  <c r="M268" i="7"/>
  <c r="N268" i="7"/>
  <c r="O268" i="7"/>
  <c r="U268" i="7" s="1"/>
  <c r="P268" i="7"/>
  <c r="B269" i="7"/>
  <c r="C269" i="7"/>
  <c r="D269" i="7"/>
  <c r="E269" i="7"/>
  <c r="F269" i="7"/>
  <c r="G269" i="7"/>
  <c r="H269" i="7"/>
  <c r="I269" i="7"/>
  <c r="J269" i="7"/>
  <c r="K269" i="7"/>
  <c r="L269" i="7"/>
  <c r="M269" i="7"/>
  <c r="N269" i="7"/>
  <c r="O269" i="7"/>
  <c r="U269" i="7" s="1"/>
  <c r="P269" i="7"/>
  <c r="B270" i="7"/>
  <c r="C270" i="7"/>
  <c r="D270" i="7"/>
  <c r="E270" i="7"/>
  <c r="F270" i="7"/>
  <c r="G270" i="7"/>
  <c r="H270" i="7"/>
  <c r="I270" i="7"/>
  <c r="J270" i="7"/>
  <c r="K270" i="7"/>
  <c r="L270" i="7"/>
  <c r="M270" i="7"/>
  <c r="N270" i="7"/>
  <c r="O270" i="7"/>
  <c r="P270" i="7"/>
  <c r="B271" i="7"/>
  <c r="C271" i="7"/>
  <c r="D271" i="7"/>
  <c r="E271" i="7"/>
  <c r="F271" i="7"/>
  <c r="G271" i="7"/>
  <c r="H271" i="7"/>
  <c r="I271" i="7"/>
  <c r="J271" i="7"/>
  <c r="K271" i="7"/>
  <c r="L271" i="7"/>
  <c r="M271" i="7"/>
  <c r="N271" i="7"/>
  <c r="O271" i="7"/>
  <c r="U271" i="7" s="1"/>
  <c r="P271" i="7"/>
  <c r="B272" i="7"/>
  <c r="C272" i="7"/>
  <c r="D272" i="7"/>
  <c r="E272" i="7"/>
  <c r="F272" i="7"/>
  <c r="G272" i="7"/>
  <c r="H272" i="7"/>
  <c r="I272" i="7"/>
  <c r="J272" i="7"/>
  <c r="K272" i="7"/>
  <c r="L272" i="7"/>
  <c r="M272" i="7"/>
  <c r="N272" i="7"/>
  <c r="O272" i="7"/>
  <c r="U272" i="7" s="1"/>
  <c r="P272" i="7"/>
  <c r="B273" i="7"/>
  <c r="C273" i="7"/>
  <c r="D273" i="7"/>
  <c r="E273" i="7"/>
  <c r="F273" i="7"/>
  <c r="G273" i="7"/>
  <c r="H273" i="7"/>
  <c r="I273" i="7"/>
  <c r="J273" i="7"/>
  <c r="K273" i="7"/>
  <c r="L273" i="7"/>
  <c r="M273" i="7"/>
  <c r="N273" i="7"/>
  <c r="O273" i="7"/>
  <c r="U273" i="7" s="1"/>
  <c r="P273" i="7"/>
  <c r="B274" i="7"/>
  <c r="C274" i="7"/>
  <c r="D274" i="7"/>
  <c r="E274" i="7"/>
  <c r="F274" i="7"/>
  <c r="G274" i="7"/>
  <c r="H274" i="7"/>
  <c r="I274" i="7"/>
  <c r="J274" i="7"/>
  <c r="K274" i="7"/>
  <c r="L274" i="7"/>
  <c r="M274" i="7"/>
  <c r="N274" i="7"/>
  <c r="O274" i="7"/>
  <c r="U274" i="7" s="1"/>
  <c r="P274" i="7"/>
  <c r="B275" i="7"/>
  <c r="C275" i="7"/>
  <c r="D275" i="7"/>
  <c r="E275" i="7"/>
  <c r="F275" i="7"/>
  <c r="G275" i="7"/>
  <c r="H275" i="7"/>
  <c r="I275" i="7"/>
  <c r="J275" i="7"/>
  <c r="K275" i="7"/>
  <c r="L275" i="7"/>
  <c r="M275" i="7"/>
  <c r="N275" i="7"/>
  <c r="O275" i="7"/>
  <c r="U275" i="7" s="1"/>
  <c r="P275" i="7"/>
  <c r="B276" i="7"/>
  <c r="C276" i="7"/>
  <c r="D276" i="7"/>
  <c r="E276" i="7"/>
  <c r="F276" i="7"/>
  <c r="G276" i="7"/>
  <c r="H276" i="7"/>
  <c r="I276" i="7"/>
  <c r="J276" i="7"/>
  <c r="K276" i="7"/>
  <c r="L276" i="7"/>
  <c r="M276" i="7"/>
  <c r="N276" i="7"/>
  <c r="O276" i="7"/>
  <c r="U276" i="7" s="1"/>
  <c r="P276" i="7"/>
  <c r="B277" i="7"/>
  <c r="C277" i="7"/>
  <c r="D277" i="7"/>
  <c r="E277" i="7"/>
  <c r="F277" i="7"/>
  <c r="G277" i="7"/>
  <c r="H277" i="7"/>
  <c r="I277" i="7"/>
  <c r="J277" i="7"/>
  <c r="K277" i="7"/>
  <c r="L277" i="7"/>
  <c r="M277" i="7"/>
  <c r="N277" i="7"/>
  <c r="O277" i="7"/>
  <c r="U277" i="7" s="1"/>
  <c r="P277" i="7"/>
  <c r="B278" i="7"/>
  <c r="C278" i="7"/>
  <c r="D278" i="7"/>
  <c r="E278" i="7"/>
  <c r="F278" i="7"/>
  <c r="G278" i="7"/>
  <c r="H278" i="7"/>
  <c r="I278" i="7"/>
  <c r="J278" i="7"/>
  <c r="K278" i="7"/>
  <c r="L278" i="7"/>
  <c r="M278" i="7"/>
  <c r="N278" i="7"/>
  <c r="O278" i="7"/>
  <c r="U278" i="7" s="1"/>
  <c r="P278" i="7"/>
  <c r="B279" i="7"/>
  <c r="C279" i="7"/>
  <c r="D279" i="7"/>
  <c r="E279" i="7"/>
  <c r="F279" i="7"/>
  <c r="G279" i="7"/>
  <c r="H279" i="7"/>
  <c r="I279" i="7"/>
  <c r="J279" i="7"/>
  <c r="K279" i="7"/>
  <c r="L279" i="7"/>
  <c r="M279" i="7"/>
  <c r="N279" i="7"/>
  <c r="O279" i="7"/>
  <c r="U279" i="7" s="1"/>
  <c r="P279" i="7"/>
  <c r="B280" i="7"/>
  <c r="C280" i="7"/>
  <c r="D280" i="7"/>
  <c r="E280" i="7"/>
  <c r="F280" i="7"/>
  <c r="G280" i="7"/>
  <c r="H280" i="7"/>
  <c r="I280" i="7"/>
  <c r="J280" i="7"/>
  <c r="K280" i="7"/>
  <c r="L280" i="7"/>
  <c r="M280" i="7"/>
  <c r="N280" i="7"/>
  <c r="O280" i="7"/>
  <c r="P280" i="7"/>
  <c r="B281" i="7"/>
  <c r="C281" i="7"/>
  <c r="D281" i="7"/>
  <c r="E281" i="7"/>
  <c r="F281" i="7"/>
  <c r="G281" i="7"/>
  <c r="H281" i="7"/>
  <c r="I281" i="7"/>
  <c r="J281" i="7"/>
  <c r="K281" i="7"/>
  <c r="L281" i="7"/>
  <c r="M281" i="7"/>
  <c r="N281" i="7"/>
  <c r="O281" i="7"/>
  <c r="P281" i="7"/>
  <c r="B282" i="7"/>
  <c r="C282" i="7"/>
  <c r="D282" i="7"/>
  <c r="E282" i="7"/>
  <c r="F282" i="7"/>
  <c r="G282" i="7"/>
  <c r="H282" i="7"/>
  <c r="I282" i="7"/>
  <c r="J282" i="7"/>
  <c r="K282" i="7"/>
  <c r="L282" i="7"/>
  <c r="M282" i="7"/>
  <c r="N282" i="7"/>
  <c r="O282" i="7"/>
  <c r="U282" i="7" s="1"/>
  <c r="P282" i="7"/>
  <c r="B283" i="7"/>
  <c r="C283" i="7"/>
  <c r="D283" i="7"/>
  <c r="E283" i="7"/>
  <c r="F283" i="7"/>
  <c r="G283" i="7"/>
  <c r="H283" i="7"/>
  <c r="I283" i="7"/>
  <c r="J283" i="7"/>
  <c r="K283" i="7"/>
  <c r="L283" i="7"/>
  <c r="M283" i="7"/>
  <c r="N283" i="7"/>
  <c r="O283" i="7"/>
  <c r="U283" i="7" s="1"/>
  <c r="P283" i="7"/>
  <c r="B284" i="7"/>
  <c r="C284" i="7"/>
  <c r="D284" i="7"/>
  <c r="E284" i="7"/>
  <c r="F284" i="7"/>
  <c r="G284" i="7"/>
  <c r="H284" i="7"/>
  <c r="I284" i="7"/>
  <c r="J284" i="7"/>
  <c r="K284" i="7"/>
  <c r="L284" i="7"/>
  <c r="M284" i="7"/>
  <c r="N284" i="7"/>
  <c r="O284" i="7"/>
  <c r="U284" i="7" s="1"/>
  <c r="P284" i="7"/>
  <c r="B285" i="7"/>
  <c r="C285" i="7"/>
  <c r="D285" i="7"/>
  <c r="E285" i="7"/>
  <c r="F285" i="7"/>
  <c r="G285" i="7"/>
  <c r="H285" i="7"/>
  <c r="I285" i="7"/>
  <c r="J285" i="7"/>
  <c r="K285" i="7"/>
  <c r="L285" i="7"/>
  <c r="M285" i="7"/>
  <c r="N285" i="7"/>
  <c r="O285" i="7"/>
  <c r="U285" i="7" s="1"/>
  <c r="P285" i="7"/>
  <c r="B286" i="7"/>
  <c r="C286" i="7"/>
  <c r="D286" i="7"/>
  <c r="E286" i="7"/>
  <c r="F286" i="7"/>
  <c r="G286" i="7"/>
  <c r="H286" i="7"/>
  <c r="I286" i="7"/>
  <c r="J286" i="7"/>
  <c r="K286" i="7"/>
  <c r="L286" i="7"/>
  <c r="M286" i="7"/>
  <c r="N286" i="7"/>
  <c r="O286" i="7"/>
  <c r="P286" i="7"/>
  <c r="B287" i="7"/>
  <c r="C287" i="7"/>
  <c r="D287" i="7"/>
  <c r="E287" i="7"/>
  <c r="F287" i="7"/>
  <c r="G287" i="7"/>
  <c r="H287" i="7"/>
  <c r="I287" i="7"/>
  <c r="J287" i="7"/>
  <c r="K287" i="7"/>
  <c r="L287" i="7"/>
  <c r="M287" i="7"/>
  <c r="N287" i="7"/>
  <c r="O287" i="7"/>
  <c r="U287" i="7" s="1"/>
  <c r="P287" i="7"/>
  <c r="B288" i="7"/>
  <c r="C288" i="7"/>
  <c r="D288" i="7"/>
  <c r="E288" i="7"/>
  <c r="F288" i="7"/>
  <c r="G288" i="7"/>
  <c r="H288" i="7"/>
  <c r="I288" i="7"/>
  <c r="J288" i="7"/>
  <c r="K288" i="7"/>
  <c r="L288" i="7"/>
  <c r="M288" i="7"/>
  <c r="N288" i="7"/>
  <c r="O288" i="7"/>
  <c r="U288" i="7" s="1"/>
  <c r="P288" i="7"/>
  <c r="B289" i="7"/>
  <c r="C289" i="7"/>
  <c r="D289" i="7"/>
  <c r="E289" i="7"/>
  <c r="F289" i="7"/>
  <c r="G289" i="7"/>
  <c r="H289" i="7"/>
  <c r="I289" i="7"/>
  <c r="J289" i="7"/>
  <c r="K289" i="7"/>
  <c r="L289" i="7"/>
  <c r="M289" i="7"/>
  <c r="N289" i="7"/>
  <c r="O289" i="7"/>
  <c r="P289" i="7"/>
  <c r="B290" i="7"/>
  <c r="C290" i="7"/>
  <c r="D290" i="7"/>
  <c r="E290" i="7"/>
  <c r="F290" i="7"/>
  <c r="G290" i="7"/>
  <c r="H290" i="7"/>
  <c r="I290" i="7"/>
  <c r="J290" i="7"/>
  <c r="K290" i="7"/>
  <c r="L290" i="7"/>
  <c r="M290" i="7"/>
  <c r="N290" i="7"/>
  <c r="O290" i="7"/>
  <c r="P290" i="7"/>
  <c r="B291" i="7"/>
  <c r="C291" i="7"/>
  <c r="D291" i="7"/>
  <c r="E291" i="7"/>
  <c r="F291" i="7"/>
  <c r="G291" i="7"/>
  <c r="H291" i="7"/>
  <c r="I291" i="7"/>
  <c r="J291" i="7"/>
  <c r="K291" i="7"/>
  <c r="L291" i="7"/>
  <c r="M291" i="7"/>
  <c r="N291" i="7"/>
  <c r="O291" i="7"/>
  <c r="P291" i="7"/>
  <c r="B292" i="7"/>
  <c r="C292" i="7"/>
  <c r="D292" i="7"/>
  <c r="E292" i="7"/>
  <c r="F292" i="7"/>
  <c r="G292" i="7"/>
  <c r="H292" i="7"/>
  <c r="I292" i="7"/>
  <c r="J292" i="7"/>
  <c r="K292" i="7"/>
  <c r="L292" i="7"/>
  <c r="M292" i="7"/>
  <c r="N292" i="7"/>
  <c r="O292" i="7"/>
  <c r="P292" i="7"/>
  <c r="B293" i="7"/>
  <c r="C293" i="7"/>
  <c r="D293" i="7"/>
  <c r="E293" i="7"/>
  <c r="F293" i="7"/>
  <c r="G293" i="7"/>
  <c r="H293" i="7"/>
  <c r="I293" i="7"/>
  <c r="J293" i="7"/>
  <c r="K293" i="7"/>
  <c r="L293" i="7"/>
  <c r="M293" i="7"/>
  <c r="N293" i="7"/>
  <c r="O293" i="7"/>
  <c r="P293" i="7"/>
  <c r="B294" i="7"/>
  <c r="C294" i="7"/>
  <c r="D294" i="7"/>
  <c r="E294" i="7"/>
  <c r="F294" i="7"/>
  <c r="G294" i="7"/>
  <c r="H294" i="7"/>
  <c r="I294" i="7"/>
  <c r="J294" i="7"/>
  <c r="K294" i="7"/>
  <c r="L294" i="7"/>
  <c r="M294" i="7"/>
  <c r="N294" i="7"/>
  <c r="O294" i="7"/>
  <c r="P294" i="7"/>
  <c r="B295" i="7"/>
  <c r="C295" i="7"/>
  <c r="D295" i="7"/>
  <c r="E295" i="7"/>
  <c r="F295" i="7"/>
  <c r="G295" i="7"/>
  <c r="H295" i="7"/>
  <c r="I295" i="7"/>
  <c r="J295" i="7"/>
  <c r="K295" i="7"/>
  <c r="L295" i="7"/>
  <c r="M295" i="7"/>
  <c r="N295" i="7"/>
  <c r="O295" i="7"/>
  <c r="U295" i="7" s="1"/>
  <c r="P295" i="7"/>
  <c r="B296" i="7"/>
  <c r="C296" i="7"/>
  <c r="D296" i="7"/>
  <c r="E296" i="7"/>
  <c r="F296" i="7"/>
  <c r="G296" i="7"/>
  <c r="H296" i="7"/>
  <c r="I296" i="7"/>
  <c r="J296" i="7"/>
  <c r="K296" i="7"/>
  <c r="L296" i="7"/>
  <c r="M296" i="7"/>
  <c r="N296" i="7"/>
  <c r="O296" i="7"/>
  <c r="U296" i="7" s="1"/>
  <c r="P296" i="7"/>
  <c r="B297" i="7"/>
  <c r="C297" i="7"/>
  <c r="D297" i="7"/>
  <c r="E297" i="7"/>
  <c r="F297" i="7"/>
  <c r="G297" i="7"/>
  <c r="H297" i="7"/>
  <c r="I297" i="7"/>
  <c r="J297" i="7"/>
  <c r="K297" i="7"/>
  <c r="L297" i="7"/>
  <c r="M297" i="7"/>
  <c r="N297" i="7"/>
  <c r="O297" i="7"/>
  <c r="P297" i="7"/>
  <c r="B298" i="7"/>
  <c r="C298" i="7"/>
  <c r="D298" i="7"/>
  <c r="E298" i="7"/>
  <c r="F298" i="7"/>
  <c r="G298" i="7"/>
  <c r="H298" i="7"/>
  <c r="I298" i="7"/>
  <c r="J298" i="7"/>
  <c r="K298" i="7"/>
  <c r="L298" i="7"/>
  <c r="M298" i="7"/>
  <c r="N298" i="7"/>
  <c r="O298" i="7"/>
  <c r="P298" i="7"/>
  <c r="B299" i="7"/>
  <c r="C299" i="7"/>
  <c r="D299" i="7"/>
  <c r="E299" i="7"/>
  <c r="F299" i="7"/>
  <c r="G299" i="7"/>
  <c r="H299" i="7"/>
  <c r="I299" i="7"/>
  <c r="J299" i="7"/>
  <c r="K299" i="7"/>
  <c r="L299" i="7"/>
  <c r="M299" i="7"/>
  <c r="N299" i="7"/>
  <c r="O299" i="7"/>
  <c r="U299" i="7" s="1"/>
  <c r="P299" i="7"/>
  <c r="B300" i="7"/>
  <c r="C300" i="7"/>
  <c r="D300" i="7"/>
  <c r="E300" i="7"/>
  <c r="F300" i="7"/>
  <c r="G300" i="7"/>
  <c r="H300" i="7"/>
  <c r="I300" i="7"/>
  <c r="J300" i="7"/>
  <c r="K300" i="7"/>
  <c r="L300" i="7"/>
  <c r="M300" i="7"/>
  <c r="N300" i="7"/>
  <c r="O300" i="7"/>
  <c r="U300" i="7" s="1"/>
  <c r="P300" i="7"/>
  <c r="B301" i="7"/>
  <c r="C301" i="7"/>
  <c r="D301" i="7"/>
  <c r="E301" i="7"/>
  <c r="F301" i="7"/>
  <c r="G301" i="7"/>
  <c r="H301" i="7"/>
  <c r="I301" i="7"/>
  <c r="J301" i="7"/>
  <c r="K301" i="7"/>
  <c r="L301" i="7"/>
  <c r="M301" i="7"/>
  <c r="N301" i="7"/>
  <c r="O301" i="7"/>
  <c r="P301" i="7"/>
  <c r="B302" i="7"/>
  <c r="C302" i="7"/>
  <c r="D302" i="7"/>
  <c r="E302" i="7"/>
  <c r="F302" i="7"/>
  <c r="G302" i="7"/>
  <c r="H302" i="7"/>
  <c r="I302" i="7"/>
  <c r="J302" i="7"/>
  <c r="K302" i="7"/>
  <c r="L302" i="7"/>
  <c r="M302" i="7"/>
  <c r="N302" i="7"/>
  <c r="O302" i="7"/>
  <c r="P302" i="7"/>
  <c r="B303" i="7"/>
  <c r="C303" i="7"/>
  <c r="D303" i="7"/>
  <c r="E303" i="7"/>
  <c r="F303" i="7"/>
  <c r="G303" i="7"/>
  <c r="H303" i="7"/>
  <c r="I303" i="7"/>
  <c r="J303" i="7"/>
  <c r="K303" i="7"/>
  <c r="L303" i="7"/>
  <c r="M303" i="7"/>
  <c r="N303" i="7"/>
  <c r="O303" i="7"/>
  <c r="U303" i="7" s="1"/>
  <c r="P303" i="7"/>
  <c r="B304" i="7"/>
  <c r="C304" i="7"/>
  <c r="D304" i="7"/>
  <c r="E304" i="7"/>
  <c r="F304" i="7"/>
  <c r="G304" i="7"/>
  <c r="H304" i="7"/>
  <c r="I304" i="7"/>
  <c r="J304" i="7"/>
  <c r="K304" i="7"/>
  <c r="L304" i="7"/>
  <c r="M304" i="7"/>
  <c r="N304" i="7"/>
  <c r="O304" i="7"/>
  <c r="U304" i="7" s="1"/>
  <c r="P304" i="7"/>
  <c r="B305" i="7"/>
  <c r="C305" i="7"/>
  <c r="D305" i="7"/>
  <c r="E305" i="7"/>
  <c r="F305" i="7"/>
  <c r="G305" i="7"/>
  <c r="H305" i="7"/>
  <c r="I305" i="7"/>
  <c r="J305" i="7"/>
  <c r="K305" i="7"/>
  <c r="L305" i="7"/>
  <c r="M305" i="7"/>
  <c r="N305" i="7"/>
  <c r="O305" i="7"/>
  <c r="U305" i="7" s="1"/>
  <c r="P305" i="7"/>
  <c r="B306" i="7"/>
  <c r="C306" i="7"/>
  <c r="D306" i="7"/>
  <c r="E306" i="7"/>
  <c r="F306" i="7"/>
  <c r="G306" i="7"/>
  <c r="H306" i="7"/>
  <c r="I306" i="7"/>
  <c r="J306" i="7"/>
  <c r="K306" i="7"/>
  <c r="L306" i="7"/>
  <c r="M306" i="7"/>
  <c r="N306" i="7"/>
  <c r="O306" i="7"/>
  <c r="P306" i="7"/>
  <c r="B307" i="7"/>
  <c r="C307" i="7"/>
  <c r="D307" i="7"/>
  <c r="E307" i="7"/>
  <c r="F307" i="7"/>
  <c r="G307" i="7"/>
  <c r="H307" i="7"/>
  <c r="I307" i="7"/>
  <c r="J307" i="7"/>
  <c r="K307" i="7"/>
  <c r="L307" i="7"/>
  <c r="M307" i="7"/>
  <c r="N307" i="7"/>
  <c r="O307" i="7"/>
  <c r="P307" i="7"/>
  <c r="B308" i="7"/>
  <c r="C308" i="7"/>
  <c r="D308" i="7"/>
  <c r="E308" i="7"/>
  <c r="F308" i="7"/>
  <c r="G308" i="7"/>
  <c r="H308" i="7"/>
  <c r="I308" i="7"/>
  <c r="J308" i="7"/>
  <c r="K308" i="7"/>
  <c r="L308" i="7"/>
  <c r="M308" i="7"/>
  <c r="N308" i="7"/>
  <c r="O308" i="7"/>
  <c r="P308" i="7"/>
  <c r="B309" i="7"/>
  <c r="C309" i="7"/>
  <c r="D309" i="7"/>
  <c r="E309" i="7"/>
  <c r="F309" i="7"/>
  <c r="G309" i="7"/>
  <c r="H309" i="7"/>
  <c r="I309" i="7"/>
  <c r="J309" i="7"/>
  <c r="K309" i="7"/>
  <c r="L309" i="7"/>
  <c r="M309" i="7"/>
  <c r="N309" i="7"/>
  <c r="O309" i="7"/>
  <c r="P309" i="7"/>
  <c r="B310" i="7"/>
  <c r="C310" i="7"/>
  <c r="D310" i="7"/>
  <c r="E310" i="7"/>
  <c r="F310" i="7"/>
  <c r="G310" i="7"/>
  <c r="H310" i="7"/>
  <c r="I310" i="7"/>
  <c r="J310" i="7"/>
  <c r="K310" i="7"/>
  <c r="L310" i="7"/>
  <c r="M310" i="7"/>
  <c r="N310" i="7"/>
  <c r="O310" i="7"/>
  <c r="U310" i="7" s="1"/>
  <c r="P310" i="7"/>
  <c r="B311" i="7"/>
  <c r="C311" i="7"/>
  <c r="D311" i="7"/>
  <c r="E311" i="7"/>
  <c r="F311" i="7"/>
  <c r="G311" i="7"/>
  <c r="H311" i="7"/>
  <c r="I311" i="7"/>
  <c r="J311" i="7"/>
  <c r="K311" i="7"/>
  <c r="L311" i="7"/>
  <c r="M311" i="7"/>
  <c r="N311" i="7"/>
  <c r="O311" i="7"/>
  <c r="U311" i="7" s="1"/>
  <c r="P311" i="7"/>
  <c r="B312" i="7"/>
  <c r="C312" i="7"/>
  <c r="D312" i="7"/>
  <c r="E312" i="7"/>
  <c r="F312" i="7"/>
  <c r="G312" i="7"/>
  <c r="H312" i="7"/>
  <c r="I312" i="7"/>
  <c r="J312" i="7"/>
  <c r="K312" i="7"/>
  <c r="L312" i="7"/>
  <c r="M312" i="7"/>
  <c r="N312" i="7"/>
  <c r="O312" i="7"/>
  <c r="P312" i="7"/>
  <c r="B313" i="7"/>
  <c r="C313" i="7"/>
  <c r="D313" i="7"/>
  <c r="E313" i="7"/>
  <c r="F313" i="7"/>
  <c r="G313" i="7"/>
  <c r="H313" i="7"/>
  <c r="I313" i="7"/>
  <c r="J313" i="7"/>
  <c r="K313" i="7"/>
  <c r="L313" i="7"/>
  <c r="M313" i="7"/>
  <c r="N313" i="7"/>
  <c r="O313" i="7"/>
  <c r="P313" i="7"/>
  <c r="B314" i="7"/>
  <c r="C314" i="7"/>
  <c r="D314" i="7"/>
  <c r="E314" i="7"/>
  <c r="F314" i="7"/>
  <c r="G314" i="7"/>
  <c r="H314" i="7"/>
  <c r="I314" i="7"/>
  <c r="J314" i="7"/>
  <c r="K314" i="7"/>
  <c r="L314" i="7"/>
  <c r="M314" i="7"/>
  <c r="N314" i="7"/>
  <c r="O314" i="7"/>
  <c r="P314" i="7"/>
  <c r="B315" i="7"/>
  <c r="C315" i="7"/>
  <c r="D315" i="7"/>
  <c r="E315" i="7"/>
  <c r="F315" i="7"/>
  <c r="G315" i="7"/>
  <c r="H315" i="7"/>
  <c r="I315" i="7"/>
  <c r="J315" i="7"/>
  <c r="K315" i="7"/>
  <c r="L315" i="7"/>
  <c r="M315" i="7"/>
  <c r="N315" i="7"/>
  <c r="O315" i="7"/>
  <c r="P315" i="7"/>
  <c r="B316" i="7"/>
  <c r="C316" i="7"/>
  <c r="D316" i="7"/>
  <c r="E316" i="7"/>
  <c r="F316" i="7"/>
  <c r="G316" i="7"/>
  <c r="H316" i="7"/>
  <c r="I316" i="7"/>
  <c r="J316" i="7"/>
  <c r="K316" i="7"/>
  <c r="L316" i="7"/>
  <c r="M316" i="7"/>
  <c r="N316" i="7"/>
  <c r="O316" i="7"/>
  <c r="P316" i="7"/>
  <c r="B317" i="7"/>
  <c r="C317" i="7"/>
  <c r="D317" i="7"/>
  <c r="E317" i="7"/>
  <c r="F317" i="7"/>
  <c r="G317" i="7"/>
  <c r="H317" i="7"/>
  <c r="I317" i="7"/>
  <c r="J317" i="7"/>
  <c r="K317" i="7"/>
  <c r="L317" i="7"/>
  <c r="M317" i="7"/>
  <c r="N317" i="7"/>
  <c r="O317" i="7"/>
  <c r="P317" i="7"/>
  <c r="B318" i="7"/>
  <c r="C318" i="7"/>
  <c r="D318" i="7"/>
  <c r="E318" i="7"/>
  <c r="F318" i="7"/>
  <c r="G318" i="7"/>
  <c r="H318" i="7"/>
  <c r="I318" i="7"/>
  <c r="J318" i="7"/>
  <c r="K318" i="7"/>
  <c r="L318" i="7"/>
  <c r="M318" i="7"/>
  <c r="N318" i="7"/>
  <c r="O318" i="7"/>
  <c r="U318" i="7" s="1"/>
  <c r="P318" i="7"/>
  <c r="B319" i="7"/>
  <c r="C319" i="7"/>
  <c r="D319" i="7"/>
  <c r="E319" i="7"/>
  <c r="F319" i="7"/>
  <c r="G319" i="7"/>
  <c r="H319" i="7"/>
  <c r="I319" i="7"/>
  <c r="J319" i="7"/>
  <c r="K319" i="7"/>
  <c r="L319" i="7"/>
  <c r="M319" i="7"/>
  <c r="N319" i="7"/>
  <c r="O319" i="7"/>
  <c r="U319" i="7" s="1"/>
  <c r="P319" i="7"/>
  <c r="B320" i="7"/>
  <c r="C320" i="7"/>
  <c r="D320" i="7"/>
  <c r="E320" i="7"/>
  <c r="F320" i="7"/>
  <c r="G320" i="7"/>
  <c r="H320" i="7"/>
  <c r="I320" i="7"/>
  <c r="J320" i="7"/>
  <c r="K320" i="7"/>
  <c r="L320" i="7"/>
  <c r="M320" i="7"/>
  <c r="N320" i="7"/>
  <c r="O320" i="7"/>
  <c r="P320" i="7"/>
  <c r="B321" i="7"/>
  <c r="C321" i="7"/>
  <c r="D321" i="7"/>
  <c r="E321" i="7"/>
  <c r="F321" i="7"/>
  <c r="G321" i="7"/>
  <c r="H321" i="7"/>
  <c r="I321" i="7"/>
  <c r="J321" i="7"/>
  <c r="K321" i="7"/>
  <c r="L321" i="7"/>
  <c r="M321" i="7"/>
  <c r="N321" i="7"/>
  <c r="O321" i="7"/>
  <c r="U321" i="7" s="1"/>
  <c r="P321" i="7"/>
  <c r="B322" i="7"/>
  <c r="C322" i="7"/>
  <c r="D322" i="7"/>
  <c r="E322" i="7"/>
  <c r="F322" i="7"/>
  <c r="G322" i="7"/>
  <c r="H322" i="7"/>
  <c r="I322" i="7"/>
  <c r="J322" i="7"/>
  <c r="K322" i="7"/>
  <c r="L322" i="7"/>
  <c r="M322" i="7"/>
  <c r="N322" i="7"/>
  <c r="O322" i="7"/>
  <c r="U322" i="7" s="1"/>
  <c r="P322" i="7"/>
  <c r="B323" i="7"/>
  <c r="C323" i="7"/>
  <c r="D323" i="7"/>
  <c r="E323" i="7"/>
  <c r="F323" i="7"/>
  <c r="G323" i="7"/>
  <c r="H323" i="7"/>
  <c r="I323" i="7"/>
  <c r="J323" i="7"/>
  <c r="K323" i="7"/>
  <c r="L323" i="7"/>
  <c r="M323" i="7"/>
  <c r="N323" i="7"/>
  <c r="O323" i="7"/>
  <c r="P323" i="7"/>
  <c r="B324" i="7"/>
  <c r="C324" i="7"/>
  <c r="D324" i="7"/>
  <c r="E324" i="7"/>
  <c r="F324" i="7"/>
  <c r="G324" i="7"/>
  <c r="H324" i="7"/>
  <c r="I324" i="7"/>
  <c r="J324" i="7"/>
  <c r="K324" i="7"/>
  <c r="L324" i="7"/>
  <c r="M324" i="7"/>
  <c r="N324" i="7"/>
  <c r="O324" i="7"/>
  <c r="U324" i="7" s="1"/>
  <c r="P324" i="7"/>
  <c r="B325" i="7"/>
  <c r="C325" i="7"/>
  <c r="D325" i="7"/>
  <c r="E325" i="7"/>
  <c r="F325" i="7"/>
  <c r="G325" i="7"/>
  <c r="H325" i="7"/>
  <c r="I325" i="7"/>
  <c r="J325" i="7"/>
  <c r="K325" i="7"/>
  <c r="L325" i="7"/>
  <c r="M325" i="7"/>
  <c r="N325" i="7"/>
  <c r="O325" i="7"/>
  <c r="U325" i="7" s="1"/>
  <c r="P325" i="7"/>
  <c r="B326" i="7"/>
  <c r="C326" i="7"/>
  <c r="D326" i="7"/>
  <c r="E326" i="7"/>
  <c r="F326" i="7"/>
  <c r="G326" i="7"/>
  <c r="H326" i="7"/>
  <c r="I326" i="7"/>
  <c r="J326" i="7"/>
  <c r="K326" i="7"/>
  <c r="L326" i="7"/>
  <c r="M326" i="7"/>
  <c r="N326" i="7"/>
  <c r="O326" i="7"/>
  <c r="U326" i="7" s="1"/>
  <c r="P326" i="7"/>
  <c r="B327" i="7"/>
  <c r="C327" i="7"/>
  <c r="D327" i="7"/>
  <c r="E327" i="7"/>
  <c r="F327" i="7"/>
  <c r="G327" i="7"/>
  <c r="H327" i="7"/>
  <c r="I327" i="7"/>
  <c r="J327" i="7"/>
  <c r="K327" i="7"/>
  <c r="L327" i="7"/>
  <c r="M327" i="7"/>
  <c r="N327" i="7"/>
  <c r="O327" i="7"/>
  <c r="P327" i="7"/>
  <c r="B328" i="7"/>
  <c r="C328" i="7"/>
  <c r="D328" i="7"/>
  <c r="E328" i="7"/>
  <c r="F328" i="7"/>
  <c r="G328" i="7"/>
  <c r="H328" i="7"/>
  <c r="I328" i="7"/>
  <c r="J328" i="7"/>
  <c r="K328" i="7"/>
  <c r="L328" i="7"/>
  <c r="M328" i="7"/>
  <c r="N328" i="7"/>
  <c r="O328" i="7"/>
  <c r="P328" i="7"/>
  <c r="B329" i="7"/>
  <c r="C329" i="7"/>
  <c r="D329" i="7"/>
  <c r="E329" i="7"/>
  <c r="F329" i="7"/>
  <c r="G329" i="7"/>
  <c r="H329" i="7"/>
  <c r="I329" i="7"/>
  <c r="J329" i="7"/>
  <c r="K329" i="7"/>
  <c r="L329" i="7"/>
  <c r="M329" i="7"/>
  <c r="N329" i="7"/>
  <c r="O329" i="7"/>
  <c r="P329" i="7"/>
  <c r="B330" i="7"/>
  <c r="C330" i="7"/>
  <c r="D330" i="7"/>
  <c r="E330" i="7"/>
  <c r="F330" i="7"/>
  <c r="G330" i="7"/>
  <c r="H330" i="7"/>
  <c r="I330" i="7"/>
  <c r="J330" i="7"/>
  <c r="K330" i="7"/>
  <c r="L330" i="7"/>
  <c r="M330" i="7"/>
  <c r="N330" i="7"/>
  <c r="O330" i="7"/>
  <c r="P330" i="7"/>
  <c r="B331" i="7"/>
  <c r="C331" i="7"/>
  <c r="D331" i="7"/>
  <c r="E331" i="7"/>
  <c r="F331" i="7"/>
  <c r="G331" i="7"/>
  <c r="H331" i="7"/>
  <c r="I331" i="7"/>
  <c r="J331" i="7"/>
  <c r="K331" i="7"/>
  <c r="L331" i="7"/>
  <c r="M331" i="7"/>
  <c r="N331" i="7"/>
  <c r="O331" i="7"/>
  <c r="P331" i="7"/>
  <c r="B332" i="7"/>
  <c r="C332" i="7"/>
  <c r="D332" i="7"/>
  <c r="E332" i="7"/>
  <c r="F332" i="7"/>
  <c r="G332" i="7"/>
  <c r="H332" i="7"/>
  <c r="I332" i="7"/>
  <c r="J332" i="7"/>
  <c r="K332" i="7"/>
  <c r="L332" i="7"/>
  <c r="M332" i="7"/>
  <c r="N332" i="7"/>
  <c r="O332" i="7"/>
  <c r="U332" i="7" s="1"/>
  <c r="P332" i="7"/>
  <c r="B333" i="7"/>
  <c r="C333" i="7"/>
  <c r="D333" i="7"/>
  <c r="E333" i="7"/>
  <c r="F333" i="7"/>
  <c r="G333" i="7"/>
  <c r="H333" i="7"/>
  <c r="I333" i="7"/>
  <c r="J333" i="7"/>
  <c r="K333" i="7"/>
  <c r="L333" i="7"/>
  <c r="M333" i="7"/>
  <c r="N333" i="7"/>
  <c r="O333" i="7"/>
  <c r="P333" i="7"/>
  <c r="B334" i="7"/>
  <c r="C334" i="7"/>
  <c r="D334" i="7"/>
  <c r="E334" i="7"/>
  <c r="F334" i="7"/>
  <c r="G334" i="7"/>
  <c r="H334" i="7"/>
  <c r="I334" i="7"/>
  <c r="J334" i="7"/>
  <c r="K334" i="7"/>
  <c r="L334" i="7"/>
  <c r="M334" i="7"/>
  <c r="N334" i="7"/>
  <c r="O334" i="7"/>
  <c r="U334" i="7" s="1"/>
  <c r="P334" i="7"/>
  <c r="B335" i="7"/>
  <c r="C335" i="7"/>
  <c r="D335" i="7"/>
  <c r="E335" i="7"/>
  <c r="F335" i="7"/>
  <c r="G335" i="7"/>
  <c r="H335" i="7"/>
  <c r="I335" i="7"/>
  <c r="J335" i="7"/>
  <c r="K335" i="7"/>
  <c r="L335" i="7"/>
  <c r="M335" i="7"/>
  <c r="N335" i="7"/>
  <c r="O335" i="7"/>
  <c r="U335" i="7" s="1"/>
  <c r="P335" i="7"/>
  <c r="B336" i="7"/>
  <c r="C336" i="7"/>
  <c r="D336" i="7"/>
  <c r="E336" i="7"/>
  <c r="F336" i="7"/>
  <c r="G336" i="7"/>
  <c r="H336" i="7"/>
  <c r="I336" i="7"/>
  <c r="J336" i="7"/>
  <c r="K336" i="7"/>
  <c r="L336" i="7"/>
  <c r="M336" i="7"/>
  <c r="N336" i="7"/>
  <c r="O336" i="7"/>
  <c r="P336" i="7"/>
  <c r="B337" i="7"/>
  <c r="C337" i="7"/>
  <c r="D337" i="7"/>
  <c r="E337" i="7"/>
  <c r="F337" i="7"/>
  <c r="G337" i="7"/>
  <c r="H337" i="7"/>
  <c r="I337" i="7"/>
  <c r="J337" i="7"/>
  <c r="K337" i="7"/>
  <c r="L337" i="7"/>
  <c r="M337" i="7"/>
  <c r="N337" i="7"/>
  <c r="O337" i="7"/>
  <c r="U337" i="7" s="1"/>
  <c r="P337" i="7"/>
  <c r="B338" i="7"/>
  <c r="C338" i="7"/>
  <c r="D338" i="7"/>
  <c r="E338" i="7"/>
  <c r="F338" i="7"/>
  <c r="G338" i="7"/>
  <c r="H338" i="7"/>
  <c r="I338" i="7"/>
  <c r="J338" i="7"/>
  <c r="K338" i="7"/>
  <c r="L338" i="7"/>
  <c r="M338" i="7"/>
  <c r="N338" i="7"/>
  <c r="O338" i="7"/>
  <c r="U338" i="7" s="1"/>
  <c r="P338" i="7"/>
  <c r="B339" i="7"/>
  <c r="C339" i="7"/>
  <c r="D339" i="7"/>
  <c r="E339" i="7"/>
  <c r="F339" i="7"/>
  <c r="G339" i="7"/>
  <c r="H339" i="7"/>
  <c r="I339" i="7"/>
  <c r="J339" i="7"/>
  <c r="K339" i="7"/>
  <c r="L339" i="7"/>
  <c r="M339" i="7"/>
  <c r="N339" i="7"/>
  <c r="O339" i="7"/>
  <c r="P339" i="7"/>
  <c r="B340" i="7"/>
  <c r="C340" i="7"/>
  <c r="D340" i="7"/>
  <c r="E340" i="7"/>
  <c r="F340" i="7"/>
  <c r="G340" i="7"/>
  <c r="H340" i="7"/>
  <c r="I340" i="7"/>
  <c r="J340" i="7"/>
  <c r="K340" i="7"/>
  <c r="L340" i="7"/>
  <c r="M340" i="7"/>
  <c r="N340" i="7"/>
  <c r="O340" i="7"/>
  <c r="U340" i="7" s="1"/>
  <c r="P340" i="7"/>
  <c r="B341" i="7"/>
  <c r="C341" i="7"/>
  <c r="D341" i="7"/>
  <c r="E341" i="7"/>
  <c r="F341" i="7"/>
  <c r="G341" i="7"/>
  <c r="H341" i="7"/>
  <c r="I341" i="7"/>
  <c r="J341" i="7"/>
  <c r="K341" i="7"/>
  <c r="L341" i="7"/>
  <c r="M341" i="7"/>
  <c r="N341" i="7"/>
  <c r="O341" i="7"/>
  <c r="P341" i="7"/>
  <c r="B342" i="7"/>
  <c r="C342" i="7"/>
  <c r="D342" i="7"/>
  <c r="E342" i="7"/>
  <c r="F342" i="7"/>
  <c r="G342" i="7"/>
  <c r="H342" i="7"/>
  <c r="I342" i="7"/>
  <c r="J342" i="7"/>
  <c r="K342" i="7"/>
  <c r="L342" i="7"/>
  <c r="M342" i="7"/>
  <c r="N342" i="7"/>
  <c r="O342" i="7"/>
  <c r="U342" i="7" s="1"/>
  <c r="P342" i="7"/>
  <c r="B343" i="7"/>
  <c r="C343" i="7"/>
  <c r="D343" i="7"/>
  <c r="E343" i="7"/>
  <c r="F343" i="7"/>
  <c r="G343" i="7"/>
  <c r="H343" i="7"/>
  <c r="I343" i="7"/>
  <c r="J343" i="7"/>
  <c r="K343" i="7"/>
  <c r="L343" i="7"/>
  <c r="M343" i="7"/>
  <c r="N343" i="7"/>
  <c r="O343" i="7"/>
  <c r="P343" i="7"/>
  <c r="B344" i="7"/>
  <c r="C344" i="7"/>
  <c r="D344" i="7"/>
  <c r="E344" i="7"/>
  <c r="F344" i="7"/>
  <c r="G344" i="7"/>
  <c r="H344" i="7"/>
  <c r="I344" i="7"/>
  <c r="J344" i="7"/>
  <c r="K344" i="7"/>
  <c r="L344" i="7"/>
  <c r="M344" i="7"/>
  <c r="N344" i="7"/>
  <c r="O344" i="7"/>
  <c r="U344" i="7" s="1"/>
  <c r="P344" i="7"/>
  <c r="B345" i="7"/>
  <c r="C345" i="7"/>
  <c r="D345" i="7"/>
  <c r="E345" i="7"/>
  <c r="F345" i="7"/>
  <c r="G345" i="7"/>
  <c r="H345" i="7"/>
  <c r="I345" i="7"/>
  <c r="J345" i="7"/>
  <c r="K345" i="7"/>
  <c r="L345" i="7"/>
  <c r="M345" i="7"/>
  <c r="N345" i="7"/>
  <c r="O345" i="7"/>
  <c r="U345" i="7" s="1"/>
  <c r="P345" i="7"/>
  <c r="B346" i="7"/>
  <c r="C346" i="7"/>
  <c r="D346" i="7"/>
  <c r="E346" i="7"/>
  <c r="F346" i="7"/>
  <c r="G346" i="7"/>
  <c r="H346" i="7"/>
  <c r="I346" i="7"/>
  <c r="J346" i="7"/>
  <c r="K346" i="7"/>
  <c r="L346" i="7"/>
  <c r="M346" i="7"/>
  <c r="N346" i="7"/>
  <c r="O346" i="7"/>
  <c r="P346" i="7"/>
  <c r="B347" i="7"/>
  <c r="C347" i="7"/>
  <c r="D347" i="7"/>
  <c r="E347" i="7"/>
  <c r="F347" i="7"/>
  <c r="G347" i="7"/>
  <c r="H347" i="7"/>
  <c r="I347" i="7"/>
  <c r="J347" i="7"/>
  <c r="K347" i="7"/>
  <c r="L347" i="7"/>
  <c r="M347" i="7"/>
  <c r="N347" i="7"/>
  <c r="O347" i="7"/>
  <c r="U347" i="7" s="1"/>
  <c r="P347" i="7"/>
  <c r="B348" i="7"/>
  <c r="C348" i="7"/>
  <c r="D348" i="7"/>
  <c r="E348" i="7"/>
  <c r="F348" i="7"/>
  <c r="G348" i="7"/>
  <c r="H348" i="7"/>
  <c r="I348" i="7"/>
  <c r="J348" i="7"/>
  <c r="K348" i="7"/>
  <c r="L348" i="7"/>
  <c r="M348" i="7"/>
  <c r="N348" i="7"/>
  <c r="O348" i="7"/>
  <c r="U348" i="7" s="1"/>
  <c r="P348" i="7"/>
  <c r="B349" i="7"/>
  <c r="C349" i="7"/>
  <c r="D349" i="7"/>
  <c r="E349" i="7"/>
  <c r="F349" i="7"/>
  <c r="G349" i="7"/>
  <c r="H349" i="7"/>
  <c r="I349" i="7"/>
  <c r="J349" i="7"/>
  <c r="K349" i="7"/>
  <c r="L349" i="7"/>
  <c r="M349" i="7"/>
  <c r="N349" i="7"/>
  <c r="O349" i="7"/>
  <c r="P349" i="7"/>
  <c r="B350" i="7"/>
  <c r="C350" i="7"/>
  <c r="D350" i="7"/>
  <c r="E350" i="7"/>
  <c r="F350" i="7"/>
  <c r="G350" i="7"/>
  <c r="H350" i="7"/>
  <c r="I350" i="7"/>
  <c r="J350" i="7"/>
  <c r="K350" i="7"/>
  <c r="L350" i="7"/>
  <c r="M350" i="7"/>
  <c r="N350" i="7"/>
  <c r="O350" i="7"/>
  <c r="P350" i="7"/>
  <c r="B351" i="7"/>
  <c r="C351" i="7"/>
  <c r="D351" i="7"/>
  <c r="E351" i="7"/>
  <c r="F351" i="7"/>
  <c r="G351" i="7"/>
  <c r="H351" i="7"/>
  <c r="I351" i="7"/>
  <c r="J351" i="7"/>
  <c r="K351" i="7"/>
  <c r="L351" i="7"/>
  <c r="M351" i="7"/>
  <c r="N351" i="7"/>
  <c r="O351" i="7"/>
  <c r="P351" i="7"/>
  <c r="B352" i="7"/>
  <c r="C352" i="7"/>
  <c r="D352" i="7"/>
  <c r="E352" i="7"/>
  <c r="F352" i="7"/>
  <c r="G352" i="7"/>
  <c r="H352" i="7"/>
  <c r="I352" i="7"/>
  <c r="J352" i="7"/>
  <c r="K352" i="7"/>
  <c r="L352" i="7"/>
  <c r="M352" i="7"/>
  <c r="N352" i="7"/>
  <c r="O352" i="7"/>
  <c r="P352" i="7"/>
  <c r="B353" i="7"/>
  <c r="C353" i="7"/>
  <c r="D353" i="7"/>
  <c r="E353" i="7"/>
  <c r="F353" i="7"/>
  <c r="G353" i="7"/>
  <c r="H353" i="7"/>
  <c r="I353" i="7"/>
  <c r="J353" i="7"/>
  <c r="K353" i="7"/>
  <c r="L353" i="7"/>
  <c r="M353" i="7"/>
  <c r="N353" i="7"/>
  <c r="O353" i="7"/>
  <c r="U353" i="7" s="1"/>
  <c r="P353" i="7"/>
  <c r="B354" i="7"/>
  <c r="C354" i="7"/>
  <c r="D354" i="7"/>
  <c r="E354" i="7"/>
  <c r="F354" i="7"/>
  <c r="G354" i="7"/>
  <c r="H354" i="7"/>
  <c r="I354" i="7"/>
  <c r="J354" i="7"/>
  <c r="K354" i="7"/>
  <c r="L354" i="7"/>
  <c r="M354" i="7"/>
  <c r="N354" i="7"/>
  <c r="O354" i="7"/>
  <c r="U354" i="7" s="1"/>
  <c r="P354" i="7"/>
  <c r="B355" i="7"/>
  <c r="C355" i="7"/>
  <c r="D355" i="7"/>
  <c r="E355" i="7"/>
  <c r="F355" i="7"/>
  <c r="G355" i="7"/>
  <c r="H355" i="7"/>
  <c r="I355" i="7"/>
  <c r="J355" i="7"/>
  <c r="K355" i="7"/>
  <c r="L355" i="7"/>
  <c r="M355" i="7"/>
  <c r="N355" i="7"/>
  <c r="O355" i="7"/>
  <c r="P355" i="7"/>
  <c r="B356" i="7"/>
  <c r="C356" i="7"/>
  <c r="D356" i="7"/>
  <c r="E356" i="7"/>
  <c r="F356" i="7"/>
  <c r="G356" i="7"/>
  <c r="H356" i="7"/>
  <c r="I356" i="7"/>
  <c r="J356" i="7"/>
  <c r="K356" i="7"/>
  <c r="L356" i="7"/>
  <c r="M356" i="7"/>
  <c r="N356" i="7"/>
  <c r="O356" i="7"/>
  <c r="U356" i="7" s="1"/>
  <c r="P356" i="7"/>
  <c r="B357" i="7"/>
  <c r="C357" i="7"/>
  <c r="D357" i="7"/>
  <c r="E357" i="7"/>
  <c r="F357" i="7"/>
  <c r="G357" i="7"/>
  <c r="H357" i="7"/>
  <c r="I357" i="7"/>
  <c r="J357" i="7"/>
  <c r="K357" i="7"/>
  <c r="L357" i="7"/>
  <c r="M357" i="7"/>
  <c r="N357" i="7"/>
  <c r="O357" i="7"/>
  <c r="P357" i="7"/>
  <c r="B358" i="7"/>
  <c r="C358" i="7"/>
  <c r="D358" i="7"/>
  <c r="E358" i="7"/>
  <c r="F358" i="7"/>
  <c r="G358" i="7"/>
  <c r="H358" i="7"/>
  <c r="I358" i="7"/>
  <c r="J358" i="7"/>
  <c r="K358" i="7"/>
  <c r="L358" i="7"/>
  <c r="M358" i="7"/>
  <c r="N358" i="7"/>
  <c r="O358" i="7"/>
  <c r="U358" i="7" s="1"/>
  <c r="P358" i="7"/>
  <c r="B359" i="7"/>
  <c r="C359" i="7"/>
  <c r="D359" i="7"/>
  <c r="E359" i="7"/>
  <c r="F359" i="7"/>
  <c r="G359" i="7"/>
  <c r="H359" i="7"/>
  <c r="I359" i="7"/>
  <c r="J359" i="7"/>
  <c r="K359" i="7"/>
  <c r="L359" i="7"/>
  <c r="M359" i="7"/>
  <c r="N359" i="7"/>
  <c r="O359" i="7"/>
  <c r="P359" i="7"/>
  <c r="B360" i="7"/>
  <c r="C360" i="7"/>
  <c r="D360" i="7"/>
  <c r="E360" i="7"/>
  <c r="F360" i="7"/>
  <c r="G360" i="7"/>
  <c r="H360" i="7"/>
  <c r="I360" i="7"/>
  <c r="J360" i="7"/>
  <c r="K360" i="7"/>
  <c r="L360" i="7"/>
  <c r="M360" i="7"/>
  <c r="N360" i="7"/>
  <c r="O360" i="7"/>
  <c r="P360" i="7"/>
  <c r="B361" i="7"/>
  <c r="C361" i="7"/>
  <c r="D361" i="7"/>
  <c r="E361" i="7"/>
  <c r="F361" i="7"/>
  <c r="G361" i="7"/>
  <c r="H361" i="7"/>
  <c r="I361" i="7"/>
  <c r="J361" i="7"/>
  <c r="K361" i="7"/>
  <c r="L361" i="7"/>
  <c r="M361" i="7"/>
  <c r="N361" i="7"/>
  <c r="O361" i="7"/>
  <c r="P361" i="7"/>
  <c r="B362" i="7"/>
  <c r="C362" i="7"/>
  <c r="D362" i="7"/>
  <c r="E362" i="7"/>
  <c r="F362" i="7"/>
  <c r="G362" i="7"/>
  <c r="H362" i="7"/>
  <c r="I362" i="7"/>
  <c r="J362" i="7"/>
  <c r="K362" i="7"/>
  <c r="L362" i="7"/>
  <c r="M362" i="7"/>
  <c r="N362" i="7"/>
  <c r="O362" i="7"/>
  <c r="P362" i="7"/>
  <c r="B363" i="7"/>
  <c r="C363" i="7"/>
  <c r="D363" i="7"/>
  <c r="E363" i="7"/>
  <c r="F363" i="7"/>
  <c r="G363" i="7"/>
  <c r="H363" i="7"/>
  <c r="I363" i="7"/>
  <c r="J363" i="7"/>
  <c r="K363" i="7"/>
  <c r="L363" i="7"/>
  <c r="M363" i="7"/>
  <c r="N363" i="7"/>
  <c r="O363" i="7"/>
  <c r="U363" i="7" s="1"/>
  <c r="P363" i="7"/>
  <c r="B364" i="7"/>
  <c r="C364" i="7"/>
  <c r="D364" i="7"/>
  <c r="E364" i="7"/>
  <c r="F364" i="7"/>
  <c r="G364" i="7"/>
  <c r="H364" i="7"/>
  <c r="I364" i="7"/>
  <c r="J364" i="7"/>
  <c r="K364" i="7"/>
  <c r="L364" i="7"/>
  <c r="M364" i="7"/>
  <c r="N364" i="7"/>
  <c r="O364" i="7"/>
  <c r="P364" i="7"/>
  <c r="B365" i="7"/>
  <c r="C365" i="7"/>
  <c r="D365" i="7"/>
  <c r="E365" i="7"/>
  <c r="F365" i="7"/>
  <c r="G365" i="7"/>
  <c r="H365" i="7"/>
  <c r="I365" i="7"/>
  <c r="J365" i="7"/>
  <c r="K365" i="7"/>
  <c r="L365" i="7"/>
  <c r="M365" i="7"/>
  <c r="N365" i="7"/>
  <c r="O365" i="7"/>
  <c r="U365" i="7" s="1"/>
  <c r="P365" i="7"/>
  <c r="B366" i="7"/>
  <c r="C366" i="7"/>
  <c r="D366" i="7"/>
  <c r="E366" i="7"/>
  <c r="F366" i="7"/>
  <c r="G366" i="7"/>
  <c r="H366" i="7"/>
  <c r="I366" i="7"/>
  <c r="J366" i="7"/>
  <c r="K366" i="7"/>
  <c r="L366" i="7"/>
  <c r="M366" i="7"/>
  <c r="N366" i="7"/>
  <c r="O366" i="7"/>
  <c r="U366" i="7" s="1"/>
  <c r="P366" i="7"/>
  <c r="B367" i="7"/>
  <c r="C367" i="7"/>
  <c r="D367" i="7"/>
  <c r="E367" i="7"/>
  <c r="F367" i="7"/>
  <c r="G367" i="7"/>
  <c r="H367" i="7"/>
  <c r="I367" i="7"/>
  <c r="J367" i="7"/>
  <c r="K367" i="7"/>
  <c r="L367" i="7"/>
  <c r="M367" i="7"/>
  <c r="N367" i="7"/>
  <c r="O367" i="7"/>
  <c r="U367" i="7" s="1"/>
  <c r="P367" i="7"/>
  <c r="B368" i="7"/>
  <c r="C368" i="7"/>
  <c r="D368" i="7"/>
  <c r="E368" i="7"/>
  <c r="F368" i="7"/>
  <c r="G368" i="7"/>
  <c r="H368" i="7"/>
  <c r="I368" i="7"/>
  <c r="J368" i="7"/>
  <c r="K368" i="7"/>
  <c r="L368" i="7"/>
  <c r="M368" i="7"/>
  <c r="N368" i="7"/>
  <c r="O368" i="7"/>
  <c r="P368" i="7"/>
  <c r="B369" i="7"/>
  <c r="C369" i="7"/>
  <c r="D369" i="7"/>
  <c r="E369" i="7"/>
  <c r="F369" i="7"/>
  <c r="G369" i="7"/>
  <c r="H369" i="7"/>
  <c r="I369" i="7"/>
  <c r="J369" i="7"/>
  <c r="K369" i="7"/>
  <c r="L369" i="7"/>
  <c r="M369" i="7"/>
  <c r="N369" i="7"/>
  <c r="O369" i="7"/>
  <c r="U369" i="7" s="1"/>
  <c r="P369" i="7"/>
  <c r="B370" i="7"/>
  <c r="C370" i="7"/>
  <c r="D370" i="7"/>
  <c r="E370" i="7"/>
  <c r="F370" i="7"/>
  <c r="G370" i="7"/>
  <c r="H370" i="7"/>
  <c r="I370" i="7"/>
  <c r="J370" i="7"/>
  <c r="K370" i="7"/>
  <c r="L370" i="7"/>
  <c r="M370" i="7"/>
  <c r="N370" i="7"/>
  <c r="O370" i="7"/>
  <c r="P370" i="7"/>
  <c r="B371" i="7"/>
  <c r="C371" i="7"/>
  <c r="D371" i="7"/>
  <c r="E371" i="7"/>
  <c r="F371" i="7"/>
  <c r="G371" i="7"/>
  <c r="H371" i="7"/>
  <c r="I371" i="7"/>
  <c r="J371" i="7"/>
  <c r="K371" i="7"/>
  <c r="L371" i="7"/>
  <c r="M371" i="7"/>
  <c r="N371" i="7"/>
  <c r="O371" i="7"/>
  <c r="P371" i="7"/>
  <c r="B372" i="7"/>
  <c r="C372" i="7"/>
  <c r="D372" i="7"/>
  <c r="E372" i="7"/>
  <c r="F372" i="7"/>
  <c r="G372" i="7"/>
  <c r="H372" i="7"/>
  <c r="I372" i="7"/>
  <c r="J372" i="7"/>
  <c r="K372" i="7"/>
  <c r="L372" i="7"/>
  <c r="M372" i="7"/>
  <c r="N372" i="7"/>
  <c r="O372" i="7"/>
  <c r="P372" i="7"/>
  <c r="B373" i="7"/>
  <c r="C373" i="7"/>
  <c r="D373" i="7"/>
  <c r="E373" i="7"/>
  <c r="F373" i="7"/>
  <c r="G373" i="7"/>
  <c r="H373" i="7"/>
  <c r="I373" i="7"/>
  <c r="J373" i="7"/>
  <c r="K373" i="7"/>
  <c r="L373" i="7"/>
  <c r="M373" i="7"/>
  <c r="N373" i="7"/>
  <c r="O373" i="7"/>
  <c r="U373" i="7" s="1"/>
  <c r="P373" i="7"/>
  <c r="B374" i="7"/>
  <c r="C374" i="7"/>
  <c r="D374" i="7"/>
  <c r="E374" i="7"/>
  <c r="F374" i="7"/>
  <c r="G374" i="7"/>
  <c r="H374" i="7"/>
  <c r="I374" i="7"/>
  <c r="J374" i="7"/>
  <c r="K374" i="7"/>
  <c r="L374" i="7"/>
  <c r="M374" i="7"/>
  <c r="N374" i="7"/>
  <c r="O374" i="7"/>
  <c r="P374" i="7"/>
  <c r="B375" i="7"/>
  <c r="C375" i="7"/>
  <c r="D375" i="7"/>
  <c r="E375" i="7"/>
  <c r="F375" i="7"/>
  <c r="G375" i="7"/>
  <c r="H375" i="7"/>
  <c r="I375" i="7"/>
  <c r="J375" i="7"/>
  <c r="K375" i="7"/>
  <c r="L375" i="7"/>
  <c r="M375" i="7"/>
  <c r="N375" i="7"/>
  <c r="O375" i="7"/>
  <c r="P375" i="7"/>
  <c r="B376" i="7"/>
  <c r="C376" i="7"/>
  <c r="D376" i="7"/>
  <c r="E376" i="7"/>
  <c r="F376" i="7"/>
  <c r="G376" i="7"/>
  <c r="H376" i="7"/>
  <c r="I376" i="7"/>
  <c r="J376" i="7"/>
  <c r="K376" i="7"/>
  <c r="L376" i="7"/>
  <c r="M376" i="7"/>
  <c r="N376" i="7"/>
  <c r="O376" i="7"/>
  <c r="P376" i="7"/>
  <c r="B377" i="7"/>
  <c r="C377" i="7"/>
  <c r="D377" i="7"/>
  <c r="E377" i="7"/>
  <c r="F377" i="7"/>
  <c r="G377" i="7"/>
  <c r="H377" i="7"/>
  <c r="I377" i="7"/>
  <c r="J377" i="7"/>
  <c r="K377" i="7"/>
  <c r="L377" i="7"/>
  <c r="M377" i="7"/>
  <c r="N377" i="7"/>
  <c r="O377" i="7"/>
  <c r="P377" i="7"/>
  <c r="B378" i="7"/>
  <c r="C378" i="7"/>
  <c r="D378" i="7"/>
  <c r="E378" i="7"/>
  <c r="F378" i="7"/>
  <c r="G378" i="7"/>
  <c r="H378" i="7"/>
  <c r="I378" i="7"/>
  <c r="J378" i="7"/>
  <c r="K378" i="7"/>
  <c r="L378" i="7"/>
  <c r="M378" i="7"/>
  <c r="N378" i="7"/>
  <c r="O378" i="7"/>
  <c r="P378" i="7"/>
  <c r="B379" i="7"/>
  <c r="C379" i="7"/>
  <c r="D379" i="7"/>
  <c r="E379" i="7"/>
  <c r="F379" i="7"/>
  <c r="G379" i="7"/>
  <c r="H379" i="7"/>
  <c r="I379" i="7"/>
  <c r="J379" i="7"/>
  <c r="K379" i="7"/>
  <c r="L379" i="7"/>
  <c r="M379" i="7"/>
  <c r="N379" i="7"/>
  <c r="O379" i="7"/>
  <c r="U379" i="7" s="1"/>
  <c r="P379" i="7"/>
  <c r="B380" i="7"/>
  <c r="C380" i="7"/>
  <c r="D380" i="7"/>
  <c r="E380" i="7"/>
  <c r="F380" i="7"/>
  <c r="G380" i="7"/>
  <c r="H380" i="7"/>
  <c r="I380" i="7"/>
  <c r="J380" i="7"/>
  <c r="K380" i="7"/>
  <c r="L380" i="7"/>
  <c r="M380" i="7"/>
  <c r="N380" i="7"/>
  <c r="O380" i="7"/>
  <c r="P380" i="7"/>
  <c r="B381" i="7"/>
  <c r="C381" i="7"/>
  <c r="D381" i="7"/>
  <c r="E381" i="7"/>
  <c r="F381" i="7"/>
  <c r="G381" i="7"/>
  <c r="H381" i="7"/>
  <c r="I381" i="7"/>
  <c r="J381" i="7"/>
  <c r="K381" i="7"/>
  <c r="L381" i="7"/>
  <c r="M381" i="7"/>
  <c r="N381" i="7"/>
  <c r="O381" i="7"/>
  <c r="P381" i="7"/>
  <c r="B382" i="7"/>
  <c r="C382" i="7"/>
  <c r="D382" i="7"/>
  <c r="E382" i="7"/>
  <c r="F382" i="7"/>
  <c r="G382" i="7"/>
  <c r="H382" i="7"/>
  <c r="I382" i="7"/>
  <c r="J382" i="7"/>
  <c r="K382" i="7"/>
  <c r="L382" i="7"/>
  <c r="M382" i="7"/>
  <c r="N382" i="7"/>
  <c r="O382" i="7"/>
  <c r="P382" i="7"/>
  <c r="B383" i="7"/>
  <c r="C383" i="7"/>
  <c r="D383" i="7"/>
  <c r="E383" i="7"/>
  <c r="F383" i="7"/>
  <c r="G383" i="7"/>
  <c r="H383" i="7"/>
  <c r="I383" i="7"/>
  <c r="J383" i="7"/>
  <c r="K383" i="7"/>
  <c r="L383" i="7"/>
  <c r="M383" i="7"/>
  <c r="N383" i="7"/>
  <c r="O383" i="7"/>
  <c r="U383" i="7" s="1"/>
  <c r="P383" i="7"/>
  <c r="B384" i="7"/>
  <c r="C384" i="7"/>
  <c r="D384" i="7"/>
  <c r="E384" i="7"/>
  <c r="F384" i="7"/>
  <c r="G384" i="7"/>
  <c r="H384" i="7"/>
  <c r="I384" i="7"/>
  <c r="J384" i="7"/>
  <c r="K384" i="7"/>
  <c r="L384" i="7"/>
  <c r="M384" i="7"/>
  <c r="N384" i="7"/>
  <c r="O384" i="7"/>
  <c r="P384" i="7"/>
  <c r="B385" i="7"/>
  <c r="C385" i="7"/>
  <c r="D385" i="7"/>
  <c r="E385" i="7"/>
  <c r="F385" i="7"/>
  <c r="G385" i="7"/>
  <c r="H385" i="7"/>
  <c r="I385" i="7"/>
  <c r="J385" i="7"/>
  <c r="K385" i="7"/>
  <c r="L385" i="7"/>
  <c r="M385" i="7"/>
  <c r="N385" i="7"/>
  <c r="O385" i="7"/>
  <c r="U385" i="7" s="1"/>
  <c r="P385" i="7"/>
  <c r="B386" i="7"/>
  <c r="C386" i="7"/>
  <c r="D386" i="7"/>
  <c r="E386" i="7"/>
  <c r="F386" i="7"/>
  <c r="G386" i="7"/>
  <c r="H386" i="7"/>
  <c r="I386" i="7"/>
  <c r="J386" i="7"/>
  <c r="K386" i="7"/>
  <c r="L386" i="7"/>
  <c r="M386" i="7"/>
  <c r="N386" i="7"/>
  <c r="O386" i="7"/>
  <c r="P386" i="7"/>
  <c r="B387" i="7"/>
  <c r="C387" i="7"/>
  <c r="D387" i="7"/>
  <c r="E387" i="7"/>
  <c r="F387" i="7"/>
  <c r="G387" i="7"/>
  <c r="H387" i="7"/>
  <c r="I387" i="7"/>
  <c r="J387" i="7"/>
  <c r="K387" i="7"/>
  <c r="L387" i="7"/>
  <c r="M387" i="7"/>
  <c r="N387" i="7"/>
  <c r="O387" i="7"/>
  <c r="U387" i="7" s="1"/>
  <c r="P387" i="7"/>
  <c r="B388" i="7"/>
  <c r="C388" i="7"/>
  <c r="D388" i="7"/>
  <c r="E388" i="7"/>
  <c r="F388" i="7"/>
  <c r="G388" i="7"/>
  <c r="H388" i="7"/>
  <c r="I388" i="7"/>
  <c r="J388" i="7"/>
  <c r="K388" i="7"/>
  <c r="L388" i="7"/>
  <c r="M388" i="7"/>
  <c r="N388" i="7"/>
  <c r="O388" i="7"/>
  <c r="P388" i="7"/>
  <c r="B389" i="7"/>
  <c r="C389" i="7"/>
  <c r="D389" i="7"/>
  <c r="E389" i="7"/>
  <c r="F389" i="7"/>
  <c r="G389" i="7"/>
  <c r="H389" i="7"/>
  <c r="I389" i="7"/>
  <c r="J389" i="7"/>
  <c r="K389" i="7"/>
  <c r="L389" i="7"/>
  <c r="M389" i="7"/>
  <c r="N389" i="7"/>
  <c r="O389" i="7"/>
  <c r="U389" i="7" s="1"/>
  <c r="P389" i="7"/>
  <c r="B390" i="7"/>
  <c r="C390" i="7"/>
  <c r="D390" i="7"/>
  <c r="E390" i="7"/>
  <c r="F390" i="7"/>
  <c r="G390" i="7"/>
  <c r="H390" i="7"/>
  <c r="I390" i="7"/>
  <c r="J390" i="7"/>
  <c r="K390" i="7"/>
  <c r="L390" i="7"/>
  <c r="M390" i="7"/>
  <c r="N390" i="7"/>
  <c r="O390" i="7"/>
  <c r="P390" i="7"/>
  <c r="B391" i="7"/>
  <c r="C391" i="7"/>
  <c r="D391" i="7"/>
  <c r="E391" i="7"/>
  <c r="F391" i="7"/>
  <c r="G391" i="7"/>
  <c r="H391" i="7"/>
  <c r="I391" i="7"/>
  <c r="J391" i="7"/>
  <c r="K391" i="7"/>
  <c r="L391" i="7"/>
  <c r="M391" i="7"/>
  <c r="N391" i="7"/>
  <c r="O391" i="7"/>
  <c r="P391" i="7"/>
  <c r="B392" i="7"/>
  <c r="C392" i="7"/>
  <c r="D392" i="7"/>
  <c r="E392" i="7"/>
  <c r="F392" i="7"/>
  <c r="G392" i="7"/>
  <c r="H392" i="7"/>
  <c r="I392" i="7"/>
  <c r="J392" i="7"/>
  <c r="K392" i="7"/>
  <c r="L392" i="7"/>
  <c r="M392" i="7"/>
  <c r="N392" i="7"/>
  <c r="O392" i="7"/>
  <c r="P392" i="7"/>
  <c r="B393" i="7"/>
  <c r="C393" i="7"/>
  <c r="D393" i="7"/>
  <c r="E393" i="7"/>
  <c r="F393" i="7"/>
  <c r="G393" i="7"/>
  <c r="H393" i="7"/>
  <c r="I393" i="7"/>
  <c r="J393" i="7"/>
  <c r="K393" i="7"/>
  <c r="L393" i="7"/>
  <c r="M393" i="7"/>
  <c r="N393" i="7"/>
  <c r="O393" i="7"/>
  <c r="P393" i="7"/>
  <c r="B394" i="7"/>
  <c r="C394" i="7"/>
  <c r="D394" i="7"/>
  <c r="E394" i="7"/>
  <c r="F394" i="7"/>
  <c r="G394" i="7"/>
  <c r="H394" i="7"/>
  <c r="I394" i="7"/>
  <c r="J394" i="7"/>
  <c r="K394" i="7"/>
  <c r="L394" i="7"/>
  <c r="M394" i="7"/>
  <c r="N394" i="7"/>
  <c r="O394" i="7"/>
  <c r="P394" i="7"/>
  <c r="B395" i="7"/>
  <c r="C395" i="7"/>
  <c r="D395" i="7"/>
  <c r="E395" i="7"/>
  <c r="F395" i="7"/>
  <c r="G395" i="7"/>
  <c r="H395" i="7"/>
  <c r="I395" i="7"/>
  <c r="J395" i="7"/>
  <c r="K395" i="7"/>
  <c r="L395" i="7"/>
  <c r="M395" i="7"/>
  <c r="N395" i="7"/>
  <c r="O395" i="7"/>
  <c r="U395" i="7" s="1"/>
  <c r="P395" i="7"/>
  <c r="B396" i="7"/>
  <c r="C396" i="7"/>
  <c r="D396" i="7"/>
  <c r="E396" i="7"/>
  <c r="F396" i="7"/>
  <c r="G396" i="7"/>
  <c r="H396" i="7"/>
  <c r="I396" i="7"/>
  <c r="J396" i="7"/>
  <c r="K396" i="7"/>
  <c r="L396" i="7"/>
  <c r="M396" i="7"/>
  <c r="N396" i="7"/>
  <c r="O396" i="7"/>
  <c r="P396" i="7"/>
  <c r="B397" i="7"/>
  <c r="C397" i="7"/>
  <c r="D397" i="7"/>
  <c r="E397" i="7"/>
  <c r="F397" i="7"/>
  <c r="G397" i="7"/>
  <c r="H397" i="7"/>
  <c r="I397" i="7"/>
  <c r="J397" i="7"/>
  <c r="K397" i="7"/>
  <c r="L397" i="7"/>
  <c r="M397" i="7"/>
  <c r="N397" i="7"/>
  <c r="O397" i="7"/>
  <c r="U397" i="7" s="1"/>
  <c r="P397" i="7"/>
  <c r="B398" i="7"/>
  <c r="C398" i="7"/>
  <c r="D398" i="7"/>
  <c r="E398" i="7"/>
  <c r="F398" i="7"/>
  <c r="G398" i="7"/>
  <c r="H398" i="7"/>
  <c r="I398" i="7"/>
  <c r="J398" i="7"/>
  <c r="K398" i="7"/>
  <c r="L398" i="7"/>
  <c r="M398" i="7"/>
  <c r="N398" i="7"/>
  <c r="O398" i="7"/>
  <c r="P398" i="7"/>
  <c r="B399" i="7"/>
  <c r="C399" i="7"/>
  <c r="D399" i="7"/>
  <c r="E399" i="7"/>
  <c r="F399" i="7"/>
  <c r="G399" i="7"/>
  <c r="H399" i="7"/>
  <c r="I399" i="7"/>
  <c r="J399" i="7"/>
  <c r="K399" i="7"/>
  <c r="L399" i="7"/>
  <c r="M399" i="7"/>
  <c r="N399" i="7"/>
  <c r="O399" i="7"/>
  <c r="U399" i="7" s="1"/>
  <c r="P399" i="7"/>
  <c r="B400" i="7"/>
  <c r="C400" i="7"/>
  <c r="D400" i="7"/>
  <c r="E400" i="7"/>
  <c r="F400" i="7"/>
  <c r="G400" i="7"/>
  <c r="H400" i="7"/>
  <c r="I400" i="7"/>
  <c r="J400" i="7"/>
  <c r="K400" i="7"/>
  <c r="L400" i="7"/>
  <c r="M400" i="7"/>
  <c r="N400" i="7"/>
  <c r="O400" i="7"/>
  <c r="P400" i="7"/>
  <c r="B401" i="7"/>
  <c r="C401" i="7"/>
  <c r="D401" i="7"/>
  <c r="E401" i="7"/>
  <c r="F401" i="7"/>
  <c r="G401" i="7"/>
  <c r="H401" i="7"/>
  <c r="I401" i="7"/>
  <c r="J401" i="7"/>
  <c r="K401" i="7"/>
  <c r="L401" i="7"/>
  <c r="M401" i="7"/>
  <c r="N401" i="7"/>
  <c r="O401" i="7"/>
  <c r="U401" i="7" s="1"/>
  <c r="P401" i="7"/>
  <c r="B402" i="7"/>
  <c r="C402" i="7"/>
  <c r="D402" i="7"/>
  <c r="E402" i="7"/>
  <c r="F402" i="7"/>
  <c r="G402" i="7"/>
  <c r="H402" i="7"/>
  <c r="I402" i="7"/>
  <c r="J402" i="7"/>
  <c r="K402" i="7"/>
  <c r="L402" i="7"/>
  <c r="M402" i="7"/>
  <c r="N402" i="7"/>
  <c r="O402" i="7"/>
  <c r="P402" i="7"/>
  <c r="B403" i="7"/>
  <c r="C403" i="7"/>
  <c r="D403" i="7"/>
  <c r="E403" i="7"/>
  <c r="F403" i="7"/>
  <c r="G403" i="7"/>
  <c r="H403" i="7"/>
  <c r="I403" i="7"/>
  <c r="J403" i="7"/>
  <c r="K403" i="7"/>
  <c r="L403" i="7"/>
  <c r="M403" i="7"/>
  <c r="N403" i="7"/>
  <c r="O403" i="7"/>
  <c r="U403" i="7" s="1"/>
  <c r="P403" i="7"/>
  <c r="B404" i="7"/>
  <c r="C404" i="7"/>
  <c r="D404" i="7"/>
  <c r="E404" i="7"/>
  <c r="F404" i="7"/>
  <c r="G404" i="7"/>
  <c r="H404" i="7"/>
  <c r="I404" i="7"/>
  <c r="J404" i="7"/>
  <c r="K404" i="7"/>
  <c r="L404" i="7"/>
  <c r="M404" i="7"/>
  <c r="N404" i="7"/>
  <c r="O404" i="7"/>
  <c r="P404" i="7"/>
  <c r="B405" i="7"/>
  <c r="C405" i="7"/>
  <c r="D405" i="7"/>
  <c r="E405" i="7"/>
  <c r="F405" i="7"/>
  <c r="G405" i="7"/>
  <c r="H405" i="7"/>
  <c r="I405" i="7"/>
  <c r="J405" i="7"/>
  <c r="K405" i="7"/>
  <c r="L405" i="7"/>
  <c r="M405" i="7"/>
  <c r="N405" i="7"/>
  <c r="O405" i="7"/>
  <c r="U405" i="7" s="1"/>
  <c r="P405" i="7"/>
  <c r="B406" i="7"/>
  <c r="C406" i="7"/>
  <c r="D406" i="7"/>
  <c r="E406" i="7"/>
  <c r="F406" i="7"/>
  <c r="G406" i="7"/>
  <c r="H406" i="7"/>
  <c r="I406" i="7"/>
  <c r="J406" i="7"/>
  <c r="K406" i="7"/>
  <c r="L406" i="7"/>
  <c r="M406" i="7"/>
  <c r="N406" i="7"/>
  <c r="O406" i="7"/>
  <c r="P406" i="7"/>
  <c r="B407" i="7"/>
  <c r="C407" i="7"/>
  <c r="D407" i="7"/>
  <c r="E407" i="7"/>
  <c r="F407" i="7"/>
  <c r="G407" i="7"/>
  <c r="H407" i="7"/>
  <c r="I407" i="7"/>
  <c r="J407" i="7"/>
  <c r="K407" i="7"/>
  <c r="L407" i="7"/>
  <c r="M407" i="7"/>
  <c r="N407" i="7"/>
  <c r="O407" i="7"/>
  <c r="P407" i="7"/>
  <c r="B408" i="7"/>
  <c r="C408" i="7"/>
  <c r="D408" i="7"/>
  <c r="E408" i="7"/>
  <c r="F408" i="7"/>
  <c r="G408" i="7"/>
  <c r="H408" i="7"/>
  <c r="I408" i="7"/>
  <c r="J408" i="7"/>
  <c r="K408" i="7"/>
  <c r="L408" i="7"/>
  <c r="M408" i="7"/>
  <c r="N408" i="7"/>
  <c r="O408" i="7"/>
  <c r="P408" i="7"/>
  <c r="B409" i="7"/>
  <c r="C409" i="7"/>
  <c r="D409" i="7"/>
  <c r="E409" i="7"/>
  <c r="F409" i="7"/>
  <c r="G409" i="7"/>
  <c r="H409" i="7"/>
  <c r="I409" i="7"/>
  <c r="J409" i="7"/>
  <c r="K409" i="7"/>
  <c r="L409" i="7"/>
  <c r="M409" i="7"/>
  <c r="N409" i="7"/>
  <c r="O409" i="7"/>
  <c r="U409" i="7" s="1"/>
  <c r="P409" i="7"/>
  <c r="B410" i="7"/>
  <c r="C410" i="7"/>
  <c r="D410" i="7"/>
  <c r="E410" i="7"/>
  <c r="F410" i="7"/>
  <c r="G410" i="7"/>
  <c r="H410" i="7"/>
  <c r="I410" i="7"/>
  <c r="J410" i="7"/>
  <c r="K410" i="7"/>
  <c r="L410" i="7"/>
  <c r="M410" i="7"/>
  <c r="N410" i="7"/>
  <c r="O410" i="7"/>
  <c r="P410" i="7"/>
  <c r="B411" i="7"/>
  <c r="C411" i="7"/>
  <c r="D411" i="7"/>
  <c r="E411" i="7"/>
  <c r="F411" i="7"/>
  <c r="G411" i="7"/>
  <c r="H411" i="7"/>
  <c r="I411" i="7"/>
  <c r="J411" i="7"/>
  <c r="K411" i="7"/>
  <c r="L411" i="7"/>
  <c r="M411" i="7"/>
  <c r="N411" i="7"/>
  <c r="O411" i="7"/>
  <c r="U411" i="7" s="1"/>
  <c r="P411" i="7"/>
  <c r="B412" i="7"/>
  <c r="C412" i="7"/>
  <c r="D412" i="7"/>
  <c r="E412" i="7"/>
  <c r="F412" i="7"/>
  <c r="G412" i="7"/>
  <c r="H412" i="7"/>
  <c r="I412" i="7"/>
  <c r="J412" i="7"/>
  <c r="K412" i="7"/>
  <c r="L412" i="7"/>
  <c r="M412" i="7"/>
  <c r="N412" i="7"/>
  <c r="O412" i="7"/>
  <c r="P412" i="7"/>
  <c r="B413" i="7"/>
  <c r="C413" i="7"/>
  <c r="D413" i="7"/>
  <c r="E413" i="7"/>
  <c r="F413" i="7"/>
  <c r="G413" i="7"/>
  <c r="H413" i="7"/>
  <c r="I413" i="7"/>
  <c r="J413" i="7"/>
  <c r="K413" i="7"/>
  <c r="L413" i="7"/>
  <c r="M413" i="7"/>
  <c r="N413" i="7"/>
  <c r="O413" i="7"/>
  <c r="P413" i="7"/>
  <c r="B414" i="7"/>
  <c r="C414" i="7"/>
  <c r="D414" i="7"/>
  <c r="E414" i="7"/>
  <c r="F414" i="7"/>
  <c r="G414" i="7"/>
  <c r="H414" i="7"/>
  <c r="I414" i="7"/>
  <c r="J414" i="7"/>
  <c r="K414" i="7"/>
  <c r="L414" i="7"/>
  <c r="M414" i="7"/>
  <c r="N414" i="7"/>
  <c r="O414" i="7"/>
  <c r="P414" i="7"/>
  <c r="B415" i="7"/>
  <c r="C415" i="7"/>
  <c r="D415" i="7"/>
  <c r="E415" i="7"/>
  <c r="F415" i="7"/>
  <c r="G415" i="7"/>
  <c r="H415" i="7"/>
  <c r="I415" i="7"/>
  <c r="J415" i="7"/>
  <c r="K415" i="7"/>
  <c r="L415" i="7"/>
  <c r="M415" i="7"/>
  <c r="N415" i="7"/>
  <c r="O415" i="7"/>
  <c r="U415" i="7" s="1"/>
  <c r="P415" i="7"/>
  <c r="B416" i="7"/>
  <c r="C416" i="7"/>
  <c r="D416" i="7"/>
  <c r="E416" i="7"/>
  <c r="F416" i="7"/>
  <c r="G416" i="7"/>
  <c r="H416" i="7"/>
  <c r="I416" i="7"/>
  <c r="J416" i="7"/>
  <c r="K416" i="7"/>
  <c r="L416" i="7"/>
  <c r="M416" i="7"/>
  <c r="N416" i="7"/>
  <c r="O416" i="7"/>
  <c r="P416" i="7"/>
  <c r="B417" i="7"/>
  <c r="C417" i="7"/>
  <c r="D417" i="7"/>
  <c r="E417" i="7"/>
  <c r="F417" i="7"/>
  <c r="G417" i="7"/>
  <c r="H417" i="7"/>
  <c r="I417" i="7"/>
  <c r="J417" i="7"/>
  <c r="K417" i="7"/>
  <c r="L417" i="7"/>
  <c r="M417" i="7"/>
  <c r="N417" i="7"/>
  <c r="O417" i="7"/>
  <c r="U417" i="7" s="1"/>
  <c r="P417" i="7"/>
  <c r="B418" i="7"/>
  <c r="C418" i="7"/>
  <c r="D418" i="7"/>
  <c r="E418" i="7"/>
  <c r="F418" i="7"/>
  <c r="G418" i="7"/>
  <c r="H418" i="7"/>
  <c r="I418" i="7"/>
  <c r="J418" i="7"/>
  <c r="K418" i="7"/>
  <c r="L418" i="7"/>
  <c r="M418" i="7"/>
  <c r="N418" i="7"/>
  <c r="O418" i="7"/>
  <c r="P418" i="7"/>
  <c r="B419" i="7"/>
  <c r="C419" i="7"/>
  <c r="D419" i="7"/>
  <c r="E419" i="7"/>
  <c r="F419" i="7"/>
  <c r="G419" i="7"/>
  <c r="H419" i="7"/>
  <c r="I419" i="7"/>
  <c r="J419" i="7"/>
  <c r="K419" i="7"/>
  <c r="L419" i="7"/>
  <c r="M419" i="7"/>
  <c r="N419" i="7"/>
  <c r="O419" i="7"/>
  <c r="U419" i="7" s="1"/>
  <c r="P419" i="7"/>
  <c r="B420" i="7"/>
  <c r="C420" i="7"/>
  <c r="D420" i="7"/>
  <c r="E420" i="7"/>
  <c r="F420" i="7"/>
  <c r="G420" i="7"/>
  <c r="H420" i="7"/>
  <c r="I420" i="7"/>
  <c r="J420" i="7"/>
  <c r="K420" i="7"/>
  <c r="L420" i="7"/>
  <c r="M420" i="7"/>
  <c r="N420" i="7"/>
  <c r="O420" i="7"/>
  <c r="P420" i="7"/>
  <c r="B421" i="7"/>
  <c r="C421" i="7"/>
  <c r="D421" i="7"/>
  <c r="E421" i="7"/>
  <c r="F421" i="7"/>
  <c r="G421" i="7"/>
  <c r="H421" i="7"/>
  <c r="I421" i="7"/>
  <c r="J421" i="7"/>
  <c r="K421" i="7"/>
  <c r="L421" i="7"/>
  <c r="M421" i="7"/>
  <c r="N421" i="7"/>
  <c r="O421" i="7"/>
  <c r="U421" i="7" s="1"/>
  <c r="P421" i="7"/>
  <c r="B422" i="7"/>
  <c r="C422" i="7"/>
  <c r="D422" i="7"/>
  <c r="E422" i="7"/>
  <c r="F422" i="7"/>
  <c r="G422" i="7"/>
  <c r="H422" i="7"/>
  <c r="I422" i="7"/>
  <c r="J422" i="7"/>
  <c r="K422" i="7"/>
  <c r="L422" i="7"/>
  <c r="M422" i="7"/>
  <c r="N422" i="7"/>
  <c r="O422" i="7"/>
  <c r="P422" i="7"/>
  <c r="B423" i="7"/>
  <c r="C423" i="7"/>
  <c r="D423" i="7"/>
  <c r="E423" i="7"/>
  <c r="F423" i="7"/>
  <c r="G423" i="7"/>
  <c r="H423" i="7"/>
  <c r="I423" i="7"/>
  <c r="J423" i="7"/>
  <c r="K423" i="7"/>
  <c r="L423" i="7"/>
  <c r="M423" i="7"/>
  <c r="N423" i="7"/>
  <c r="O423" i="7"/>
  <c r="U423" i="7" s="1"/>
  <c r="P423" i="7"/>
  <c r="B424" i="7"/>
  <c r="C424" i="7"/>
  <c r="D424" i="7"/>
  <c r="E424" i="7"/>
  <c r="F424" i="7"/>
  <c r="G424" i="7"/>
  <c r="H424" i="7"/>
  <c r="I424" i="7"/>
  <c r="J424" i="7"/>
  <c r="K424" i="7"/>
  <c r="L424" i="7"/>
  <c r="M424" i="7"/>
  <c r="N424" i="7"/>
  <c r="O424" i="7"/>
  <c r="P424" i="7"/>
  <c r="B425" i="7"/>
  <c r="C425" i="7"/>
  <c r="D425" i="7"/>
  <c r="E425" i="7"/>
  <c r="F425" i="7"/>
  <c r="G425" i="7"/>
  <c r="H425" i="7"/>
  <c r="I425" i="7"/>
  <c r="J425" i="7"/>
  <c r="K425" i="7"/>
  <c r="L425" i="7"/>
  <c r="M425" i="7"/>
  <c r="N425" i="7"/>
  <c r="O425" i="7"/>
  <c r="P425" i="7"/>
  <c r="B426" i="7"/>
  <c r="C426" i="7"/>
  <c r="D426" i="7"/>
  <c r="E426" i="7"/>
  <c r="F426" i="7"/>
  <c r="G426" i="7"/>
  <c r="H426" i="7"/>
  <c r="I426" i="7"/>
  <c r="J426" i="7"/>
  <c r="K426" i="7"/>
  <c r="L426" i="7"/>
  <c r="M426" i="7"/>
  <c r="N426" i="7"/>
  <c r="O426" i="7"/>
  <c r="P426" i="7"/>
  <c r="B427" i="7"/>
  <c r="C427" i="7"/>
  <c r="D427" i="7"/>
  <c r="E427" i="7"/>
  <c r="F427" i="7"/>
  <c r="G427" i="7"/>
  <c r="H427" i="7"/>
  <c r="I427" i="7"/>
  <c r="J427" i="7"/>
  <c r="K427" i="7"/>
  <c r="L427" i="7"/>
  <c r="M427" i="7"/>
  <c r="N427" i="7"/>
  <c r="O427" i="7"/>
  <c r="U427" i="7" s="1"/>
  <c r="P427" i="7"/>
  <c r="B428" i="7"/>
  <c r="C428" i="7"/>
  <c r="D428" i="7"/>
  <c r="E428" i="7"/>
  <c r="F428" i="7"/>
  <c r="G428" i="7"/>
  <c r="H428" i="7"/>
  <c r="I428" i="7"/>
  <c r="J428" i="7"/>
  <c r="K428" i="7"/>
  <c r="L428" i="7"/>
  <c r="M428" i="7"/>
  <c r="N428" i="7"/>
  <c r="O428" i="7"/>
  <c r="P428" i="7"/>
  <c r="B429" i="7"/>
  <c r="C429" i="7"/>
  <c r="D429" i="7"/>
  <c r="E429" i="7"/>
  <c r="F429" i="7"/>
  <c r="G429" i="7"/>
  <c r="H429" i="7"/>
  <c r="I429" i="7"/>
  <c r="J429" i="7"/>
  <c r="K429" i="7"/>
  <c r="L429" i="7"/>
  <c r="M429" i="7"/>
  <c r="N429" i="7"/>
  <c r="O429" i="7"/>
  <c r="U429" i="7" s="1"/>
  <c r="P429" i="7"/>
  <c r="B430" i="7"/>
  <c r="C430" i="7"/>
  <c r="D430" i="7"/>
  <c r="E430" i="7"/>
  <c r="F430" i="7"/>
  <c r="G430" i="7"/>
  <c r="H430" i="7"/>
  <c r="I430" i="7"/>
  <c r="J430" i="7"/>
  <c r="K430" i="7"/>
  <c r="L430" i="7"/>
  <c r="M430" i="7"/>
  <c r="N430" i="7"/>
  <c r="O430" i="7"/>
  <c r="P430" i="7"/>
  <c r="B431" i="7"/>
  <c r="C431" i="7"/>
  <c r="D431" i="7"/>
  <c r="E431" i="7"/>
  <c r="F431" i="7"/>
  <c r="G431" i="7"/>
  <c r="H431" i="7"/>
  <c r="I431" i="7"/>
  <c r="J431" i="7"/>
  <c r="K431" i="7"/>
  <c r="L431" i="7"/>
  <c r="M431" i="7"/>
  <c r="N431" i="7"/>
  <c r="O431" i="7"/>
  <c r="U431" i="7" s="1"/>
  <c r="P431" i="7"/>
  <c r="B432" i="7"/>
  <c r="C432" i="7"/>
  <c r="D432" i="7"/>
  <c r="E432" i="7"/>
  <c r="F432" i="7"/>
  <c r="G432" i="7"/>
  <c r="H432" i="7"/>
  <c r="I432" i="7"/>
  <c r="J432" i="7"/>
  <c r="K432" i="7"/>
  <c r="L432" i="7"/>
  <c r="M432" i="7"/>
  <c r="N432" i="7"/>
  <c r="O432" i="7"/>
  <c r="P432" i="7"/>
  <c r="B433" i="7"/>
  <c r="C433" i="7"/>
  <c r="D433" i="7"/>
  <c r="E433" i="7"/>
  <c r="F433" i="7"/>
  <c r="G433" i="7"/>
  <c r="H433" i="7"/>
  <c r="I433" i="7"/>
  <c r="J433" i="7"/>
  <c r="K433" i="7"/>
  <c r="L433" i="7"/>
  <c r="M433" i="7"/>
  <c r="N433" i="7"/>
  <c r="O433" i="7"/>
  <c r="P433" i="7"/>
  <c r="B434" i="7"/>
  <c r="C434" i="7"/>
  <c r="D434" i="7"/>
  <c r="E434" i="7"/>
  <c r="F434" i="7"/>
  <c r="G434" i="7"/>
  <c r="H434" i="7"/>
  <c r="I434" i="7"/>
  <c r="J434" i="7"/>
  <c r="K434" i="7"/>
  <c r="L434" i="7"/>
  <c r="M434" i="7"/>
  <c r="N434" i="7"/>
  <c r="O434" i="7"/>
  <c r="P434" i="7"/>
  <c r="B435" i="7"/>
  <c r="C435" i="7"/>
  <c r="D435" i="7"/>
  <c r="E435" i="7"/>
  <c r="F435" i="7"/>
  <c r="G435" i="7"/>
  <c r="H435" i="7"/>
  <c r="I435" i="7"/>
  <c r="J435" i="7"/>
  <c r="K435" i="7"/>
  <c r="L435" i="7"/>
  <c r="M435" i="7"/>
  <c r="N435" i="7"/>
  <c r="O435" i="7"/>
  <c r="U435" i="7" s="1"/>
  <c r="P435" i="7"/>
  <c r="B436" i="7"/>
  <c r="C436" i="7"/>
  <c r="D436" i="7"/>
  <c r="E436" i="7"/>
  <c r="F436" i="7"/>
  <c r="G436" i="7"/>
  <c r="H436" i="7"/>
  <c r="I436" i="7"/>
  <c r="J436" i="7"/>
  <c r="K436" i="7"/>
  <c r="L436" i="7"/>
  <c r="M436" i="7"/>
  <c r="N436" i="7"/>
  <c r="O436" i="7"/>
  <c r="P436" i="7"/>
  <c r="B437" i="7"/>
  <c r="C437" i="7"/>
  <c r="D437" i="7"/>
  <c r="E437" i="7"/>
  <c r="F437" i="7"/>
  <c r="G437" i="7"/>
  <c r="H437" i="7"/>
  <c r="I437" i="7"/>
  <c r="J437" i="7"/>
  <c r="K437" i="7"/>
  <c r="L437" i="7"/>
  <c r="M437" i="7"/>
  <c r="N437" i="7"/>
  <c r="O437" i="7"/>
  <c r="U437" i="7" s="1"/>
  <c r="P437" i="7"/>
  <c r="B438" i="7"/>
  <c r="C438" i="7"/>
  <c r="D438" i="7"/>
  <c r="E438" i="7"/>
  <c r="F438" i="7"/>
  <c r="G438" i="7"/>
  <c r="H438" i="7"/>
  <c r="I438" i="7"/>
  <c r="J438" i="7"/>
  <c r="K438" i="7"/>
  <c r="L438" i="7"/>
  <c r="M438" i="7"/>
  <c r="N438" i="7"/>
  <c r="O438" i="7"/>
  <c r="P438" i="7"/>
  <c r="B439" i="7"/>
  <c r="C439" i="7"/>
  <c r="D439" i="7"/>
  <c r="E439" i="7"/>
  <c r="F439" i="7"/>
  <c r="G439" i="7"/>
  <c r="H439" i="7"/>
  <c r="I439" i="7"/>
  <c r="J439" i="7"/>
  <c r="K439" i="7"/>
  <c r="L439" i="7"/>
  <c r="M439" i="7"/>
  <c r="N439" i="7"/>
  <c r="O439" i="7"/>
  <c r="P439" i="7"/>
  <c r="B440" i="7"/>
  <c r="C440" i="7"/>
  <c r="D440" i="7"/>
  <c r="E440" i="7"/>
  <c r="F440" i="7"/>
  <c r="G440" i="7"/>
  <c r="H440" i="7"/>
  <c r="I440" i="7"/>
  <c r="J440" i="7"/>
  <c r="K440" i="7"/>
  <c r="L440" i="7"/>
  <c r="M440" i="7"/>
  <c r="N440" i="7"/>
  <c r="O440" i="7"/>
  <c r="P440" i="7"/>
  <c r="B441" i="7"/>
  <c r="C441" i="7"/>
  <c r="D441" i="7"/>
  <c r="E441" i="7"/>
  <c r="F441" i="7"/>
  <c r="G441" i="7"/>
  <c r="H441" i="7"/>
  <c r="I441" i="7"/>
  <c r="J441" i="7"/>
  <c r="K441" i="7"/>
  <c r="L441" i="7"/>
  <c r="M441" i="7"/>
  <c r="N441" i="7"/>
  <c r="O441" i="7"/>
  <c r="U441" i="7" s="1"/>
  <c r="P441" i="7"/>
  <c r="B442" i="7"/>
  <c r="C442" i="7"/>
  <c r="D442" i="7"/>
  <c r="E442" i="7"/>
  <c r="F442" i="7"/>
  <c r="G442" i="7"/>
  <c r="H442" i="7"/>
  <c r="I442" i="7"/>
  <c r="J442" i="7"/>
  <c r="K442" i="7"/>
  <c r="L442" i="7"/>
  <c r="M442" i="7"/>
  <c r="N442" i="7"/>
  <c r="O442" i="7"/>
  <c r="P442" i="7"/>
  <c r="B443" i="7"/>
  <c r="C443" i="7"/>
  <c r="D443" i="7"/>
  <c r="E443" i="7"/>
  <c r="F443" i="7"/>
  <c r="G443" i="7"/>
  <c r="H443" i="7"/>
  <c r="I443" i="7"/>
  <c r="J443" i="7"/>
  <c r="K443" i="7"/>
  <c r="L443" i="7"/>
  <c r="M443" i="7"/>
  <c r="N443" i="7"/>
  <c r="O443" i="7"/>
  <c r="U443" i="7" s="1"/>
  <c r="P443" i="7"/>
  <c r="B444" i="7"/>
  <c r="C444" i="7"/>
  <c r="D444" i="7"/>
  <c r="E444" i="7"/>
  <c r="F444" i="7"/>
  <c r="G444" i="7"/>
  <c r="H444" i="7"/>
  <c r="I444" i="7"/>
  <c r="J444" i="7"/>
  <c r="K444" i="7"/>
  <c r="L444" i="7"/>
  <c r="M444" i="7"/>
  <c r="N444" i="7"/>
  <c r="O444" i="7"/>
  <c r="P444" i="7"/>
  <c r="B445" i="7"/>
  <c r="C445" i="7"/>
  <c r="D445" i="7"/>
  <c r="E445" i="7"/>
  <c r="F445" i="7"/>
  <c r="G445" i="7"/>
  <c r="H445" i="7"/>
  <c r="I445" i="7"/>
  <c r="J445" i="7"/>
  <c r="K445" i="7"/>
  <c r="L445" i="7"/>
  <c r="M445" i="7"/>
  <c r="N445" i="7"/>
  <c r="O445" i="7"/>
  <c r="P445" i="7"/>
  <c r="B446" i="7"/>
  <c r="C446" i="7"/>
  <c r="D446" i="7"/>
  <c r="E446" i="7"/>
  <c r="F446" i="7"/>
  <c r="G446" i="7"/>
  <c r="H446" i="7"/>
  <c r="I446" i="7"/>
  <c r="J446" i="7"/>
  <c r="K446" i="7"/>
  <c r="L446" i="7"/>
  <c r="M446" i="7"/>
  <c r="N446" i="7"/>
  <c r="O446" i="7"/>
  <c r="P446" i="7"/>
  <c r="B447" i="7"/>
  <c r="C447" i="7"/>
  <c r="D447" i="7"/>
  <c r="E447" i="7"/>
  <c r="F447" i="7"/>
  <c r="G447" i="7"/>
  <c r="H447" i="7"/>
  <c r="I447" i="7"/>
  <c r="J447" i="7"/>
  <c r="K447" i="7"/>
  <c r="L447" i="7"/>
  <c r="M447" i="7"/>
  <c r="N447" i="7"/>
  <c r="O447" i="7"/>
  <c r="U447" i="7" s="1"/>
  <c r="P447" i="7"/>
  <c r="B448" i="7"/>
  <c r="C448" i="7"/>
  <c r="D448" i="7"/>
  <c r="E448" i="7"/>
  <c r="F448" i="7"/>
  <c r="G448" i="7"/>
  <c r="H448" i="7"/>
  <c r="I448" i="7"/>
  <c r="J448" i="7"/>
  <c r="K448" i="7"/>
  <c r="L448" i="7"/>
  <c r="M448" i="7"/>
  <c r="N448" i="7"/>
  <c r="O448" i="7"/>
  <c r="P448" i="7"/>
  <c r="B449" i="7"/>
  <c r="C449" i="7"/>
  <c r="D449" i="7"/>
  <c r="E449" i="7"/>
  <c r="F449" i="7"/>
  <c r="G449" i="7"/>
  <c r="H449" i="7"/>
  <c r="I449" i="7"/>
  <c r="J449" i="7"/>
  <c r="K449" i="7"/>
  <c r="L449" i="7"/>
  <c r="M449" i="7"/>
  <c r="N449" i="7"/>
  <c r="O449" i="7"/>
  <c r="P449" i="7"/>
  <c r="B450" i="7"/>
  <c r="C450" i="7"/>
  <c r="D450" i="7"/>
  <c r="E450" i="7"/>
  <c r="F450" i="7"/>
  <c r="G450" i="7"/>
  <c r="H450" i="7"/>
  <c r="I450" i="7"/>
  <c r="J450" i="7"/>
  <c r="K450" i="7"/>
  <c r="L450" i="7"/>
  <c r="M450" i="7"/>
  <c r="N450" i="7"/>
  <c r="O450" i="7"/>
  <c r="P450" i="7"/>
  <c r="B451" i="7"/>
  <c r="C451" i="7"/>
  <c r="D451" i="7"/>
  <c r="E451" i="7"/>
  <c r="F451" i="7"/>
  <c r="G451" i="7"/>
  <c r="H451" i="7"/>
  <c r="I451" i="7"/>
  <c r="J451" i="7"/>
  <c r="K451" i="7"/>
  <c r="L451" i="7"/>
  <c r="M451" i="7"/>
  <c r="N451" i="7"/>
  <c r="O451" i="7"/>
  <c r="U451" i="7" s="1"/>
  <c r="P451" i="7"/>
  <c r="B452" i="7"/>
  <c r="C452" i="7"/>
  <c r="D452" i="7"/>
  <c r="E452" i="7"/>
  <c r="F452" i="7"/>
  <c r="G452" i="7"/>
  <c r="H452" i="7"/>
  <c r="I452" i="7"/>
  <c r="J452" i="7"/>
  <c r="K452" i="7"/>
  <c r="L452" i="7"/>
  <c r="M452" i="7"/>
  <c r="N452" i="7"/>
  <c r="O452" i="7"/>
  <c r="P452" i="7"/>
  <c r="B453" i="7"/>
  <c r="C453" i="7"/>
  <c r="D453" i="7"/>
  <c r="E453" i="7"/>
  <c r="F453" i="7"/>
  <c r="G453" i="7"/>
  <c r="H453" i="7"/>
  <c r="I453" i="7"/>
  <c r="J453" i="7"/>
  <c r="K453" i="7"/>
  <c r="L453" i="7"/>
  <c r="M453" i="7"/>
  <c r="N453" i="7"/>
  <c r="O453" i="7"/>
  <c r="U453" i="7" s="1"/>
  <c r="P453" i="7"/>
  <c r="B454" i="7"/>
  <c r="C454" i="7"/>
  <c r="D454" i="7"/>
  <c r="E454" i="7"/>
  <c r="F454" i="7"/>
  <c r="G454" i="7"/>
  <c r="H454" i="7"/>
  <c r="I454" i="7"/>
  <c r="J454" i="7"/>
  <c r="K454" i="7"/>
  <c r="L454" i="7"/>
  <c r="M454" i="7"/>
  <c r="N454" i="7"/>
  <c r="O454" i="7"/>
  <c r="P454" i="7"/>
  <c r="B455" i="7"/>
  <c r="C455" i="7"/>
  <c r="D455" i="7"/>
  <c r="E455" i="7"/>
  <c r="F455" i="7"/>
  <c r="G455" i="7"/>
  <c r="H455" i="7"/>
  <c r="I455" i="7"/>
  <c r="J455" i="7"/>
  <c r="K455" i="7"/>
  <c r="L455" i="7"/>
  <c r="M455" i="7"/>
  <c r="N455" i="7"/>
  <c r="O455" i="7"/>
  <c r="U455" i="7" s="1"/>
  <c r="P455" i="7"/>
  <c r="B456" i="7"/>
  <c r="C456" i="7"/>
  <c r="D456" i="7"/>
  <c r="E456" i="7"/>
  <c r="F456" i="7"/>
  <c r="G456" i="7"/>
  <c r="H456" i="7"/>
  <c r="I456" i="7"/>
  <c r="J456" i="7"/>
  <c r="K456" i="7"/>
  <c r="L456" i="7"/>
  <c r="M456" i="7"/>
  <c r="N456" i="7"/>
  <c r="O456" i="7"/>
  <c r="P456" i="7"/>
  <c r="B457" i="7"/>
  <c r="C457" i="7"/>
  <c r="D457" i="7"/>
  <c r="E457" i="7"/>
  <c r="F457" i="7"/>
  <c r="G457" i="7"/>
  <c r="H457" i="7"/>
  <c r="I457" i="7"/>
  <c r="J457" i="7"/>
  <c r="K457" i="7"/>
  <c r="L457" i="7"/>
  <c r="M457" i="7"/>
  <c r="N457" i="7"/>
  <c r="O457" i="7"/>
  <c r="P457" i="7"/>
  <c r="B458" i="7"/>
  <c r="C458" i="7"/>
  <c r="D458" i="7"/>
  <c r="E458" i="7"/>
  <c r="F458" i="7"/>
  <c r="G458" i="7"/>
  <c r="H458" i="7"/>
  <c r="I458" i="7"/>
  <c r="J458" i="7"/>
  <c r="K458" i="7"/>
  <c r="L458" i="7"/>
  <c r="M458" i="7"/>
  <c r="N458" i="7"/>
  <c r="O458" i="7"/>
  <c r="P458" i="7"/>
  <c r="B459" i="7"/>
  <c r="C459" i="7"/>
  <c r="D459" i="7"/>
  <c r="E459" i="7"/>
  <c r="F459" i="7"/>
  <c r="G459" i="7"/>
  <c r="H459" i="7"/>
  <c r="I459" i="7"/>
  <c r="J459" i="7"/>
  <c r="K459" i="7"/>
  <c r="L459" i="7"/>
  <c r="M459" i="7"/>
  <c r="N459" i="7"/>
  <c r="O459" i="7"/>
  <c r="U459" i="7" s="1"/>
  <c r="P459" i="7"/>
  <c r="B460" i="7"/>
  <c r="C460" i="7"/>
  <c r="D460" i="7"/>
  <c r="E460" i="7"/>
  <c r="F460" i="7"/>
  <c r="G460" i="7"/>
  <c r="H460" i="7"/>
  <c r="I460" i="7"/>
  <c r="J460" i="7"/>
  <c r="K460" i="7"/>
  <c r="L460" i="7"/>
  <c r="M460" i="7"/>
  <c r="N460" i="7"/>
  <c r="O460" i="7"/>
  <c r="P460" i="7"/>
  <c r="B461" i="7"/>
  <c r="C461" i="7"/>
  <c r="D461" i="7"/>
  <c r="E461" i="7"/>
  <c r="F461" i="7"/>
  <c r="G461" i="7"/>
  <c r="H461" i="7"/>
  <c r="I461" i="7"/>
  <c r="J461" i="7"/>
  <c r="K461" i="7"/>
  <c r="L461" i="7"/>
  <c r="M461" i="7"/>
  <c r="N461" i="7"/>
  <c r="O461" i="7"/>
  <c r="U461" i="7" s="1"/>
  <c r="P461" i="7"/>
  <c r="B462" i="7"/>
  <c r="C462" i="7"/>
  <c r="D462" i="7"/>
  <c r="E462" i="7"/>
  <c r="F462" i="7"/>
  <c r="G462" i="7"/>
  <c r="H462" i="7"/>
  <c r="I462" i="7"/>
  <c r="J462" i="7"/>
  <c r="K462" i="7"/>
  <c r="L462" i="7"/>
  <c r="M462" i="7"/>
  <c r="N462" i="7"/>
  <c r="O462" i="7"/>
  <c r="P462" i="7"/>
  <c r="B463" i="7"/>
  <c r="C463" i="7"/>
  <c r="D463" i="7"/>
  <c r="E463" i="7"/>
  <c r="F463" i="7"/>
  <c r="G463" i="7"/>
  <c r="H463" i="7"/>
  <c r="I463" i="7"/>
  <c r="J463" i="7"/>
  <c r="K463" i="7"/>
  <c r="L463" i="7"/>
  <c r="M463" i="7"/>
  <c r="N463" i="7"/>
  <c r="O463" i="7"/>
  <c r="U463" i="7" s="1"/>
  <c r="P463" i="7"/>
  <c r="B464" i="7"/>
  <c r="C464" i="7"/>
  <c r="D464" i="7"/>
  <c r="E464" i="7"/>
  <c r="F464" i="7"/>
  <c r="G464" i="7"/>
  <c r="H464" i="7"/>
  <c r="I464" i="7"/>
  <c r="J464" i="7"/>
  <c r="K464" i="7"/>
  <c r="L464" i="7"/>
  <c r="M464" i="7"/>
  <c r="N464" i="7"/>
  <c r="O464" i="7"/>
  <c r="P464" i="7"/>
  <c r="B465" i="7"/>
  <c r="C465" i="7"/>
  <c r="D465" i="7"/>
  <c r="E465" i="7"/>
  <c r="F465" i="7"/>
  <c r="G465" i="7"/>
  <c r="H465" i="7"/>
  <c r="I465" i="7"/>
  <c r="J465" i="7"/>
  <c r="K465" i="7"/>
  <c r="L465" i="7"/>
  <c r="M465" i="7"/>
  <c r="N465" i="7"/>
  <c r="O465" i="7"/>
  <c r="U465" i="7" s="1"/>
  <c r="P465" i="7"/>
  <c r="B466" i="7"/>
  <c r="C466" i="7"/>
  <c r="D466" i="7"/>
  <c r="E466" i="7"/>
  <c r="F466" i="7"/>
  <c r="G466" i="7"/>
  <c r="H466" i="7"/>
  <c r="I466" i="7"/>
  <c r="J466" i="7"/>
  <c r="K466" i="7"/>
  <c r="L466" i="7"/>
  <c r="M466" i="7"/>
  <c r="N466" i="7"/>
  <c r="O466" i="7"/>
  <c r="P466" i="7"/>
  <c r="B467" i="7"/>
  <c r="C467" i="7"/>
  <c r="D467" i="7"/>
  <c r="E467" i="7"/>
  <c r="F467" i="7"/>
  <c r="G467" i="7"/>
  <c r="H467" i="7"/>
  <c r="I467" i="7"/>
  <c r="J467" i="7"/>
  <c r="K467" i="7"/>
  <c r="L467" i="7"/>
  <c r="M467" i="7"/>
  <c r="N467" i="7"/>
  <c r="O467" i="7"/>
  <c r="P467" i="7"/>
  <c r="B468" i="7"/>
  <c r="C468" i="7"/>
  <c r="D468" i="7"/>
  <c r="E468" i="7"/>
  <c r="F468" i="7"/>
  <c r="G468" i="7"/>
  <c r="H468" i="7"/>
  <c r="I468" i="7"/>
  <c r="J468" i="7"/>
  <c r="K468" i="7"/>
  <c r="L468" i="7"/>
  <c r="M468" i="7"/>
  <c r="N468" i="7"/>
  <c r="O468" i="7"/>
  <c r="P468" i="7"/>
  <c r="B469" i="7"/>
  <c r="C469" i="7"/>
  <c r="D469" i="7"/>
  <c r="E469" i="7"/>
  <c r="F469" i="7"/>
  <c r="G469" i="7"/>
  <c r="H469" i="7"/>
  <c r="I469" i="7"/>
  <c r="J469" i="7"/>
  <c r="K469" i="7"/>
  <c r="L469" i="7"/>
  <c r="M469" i="7"/>
  <c r="N469" i="7"/>
  <c r="O469" i="7"/>
  <c r="U469" i="7" s="1"/>
  <c r="P469" i="7"/>
  <c r="B470" i="7"/>
  <c r="C470" i="7"/>
  <c r="D470" i="7"/>
  <c r="E470" i="7"/>
  <c r="F470" i="7"/>
  <c r="G470" i="7"/>
  <c r="H470" i="7"/>
  <c r="I470" i="7"/>
  <c r="J470" i="7"/>
  <c r="K470" i="7"/>
  <c r="L470" i="7"/>
  <c r="M470" i="7"/>
  <c r="N470" i="7"/>
  <c r="O470" i="7"/>
  <c r="P470" i="7"/>
  <c r="B471" i="7"/>
  <c r="C471" i="7"/>
  <c r="D471" i="7"/>
  <c r="E471" i="7"/>
  <c r="F471" i="7"/>
  <c r="G471" i="7"/>
  <c r="H471" i="7"/>
  <c r="I471" i="7"/>
  <c r="J471" i="7"/>
  <c r="K471" i="7"/>
  <c r="L471" i="7"/>
  <c r="M471" i="7"/>
  <c r="N471" i="7"/>
  <c r="O471" i="7"/>
  <c r="P471" i="7"/>
  <c r="B472" i="7"/>
  <c r="C472" i="7"/>
  <c r="D472" i="7"/>
  <c r="E472" i="7"/>
  <c r="F472" i="7"/>
  <c r="G472" i="7"/>
  <c r="H472" i="7"/>
  <c r="I472" i="7"/>
  <c r="J472" i="7"/>
  <c r="K472" i="7"/>
  <c r="L472" i="7"/>
  <c r="M472" i="7"/>
  <c r="N472" i="7"/>
  <c r="O472" i="7"/>
  <c r="P472" i="7"/>
  <c r="B473" i="7"/>
  <c r="C473" i="7"/>
  <c r="D473" i="7"/>
  <c r="E473" i="7"/>
  <c r="F473" i="7"/>
  <c r="G473" i="7"/>
  <c r="H473" i="7"/>
  <c r="I473" i="7"/>
  <c r="J473" i="7"/>
  <c r="K473" i="7"/>
  <c r="L473" i="7"/>
  <c r="M473" i="7"/>
  <c r="N473" i="7"/>
  <c r="O473" i="7"/>
  <c r="U473" i="7" s="1"/>
  <c r="P473" i="7"/>
  <c r="B474" i="7"/>
  <c r="C474" i="7"/>
  <c r="D474" i="7"/>
  <c r="E474" i="7"/>
  <c r="F474" i="7"/>
  <c r="G474" i="7"/>
  <c r="H474" i="7"/>
  <c r="I474" i="7"/>
  <c r="J474" i="7"/>
  <c r="K474" i="7"/>
  <c r="L474" i="7"/>
  <c r="M474" i="7"/>
  <c r="N474" i="7"/>
  <c r="O474" i="7"/>
  <c r="P474" i="7"/>
  <c r="B475" i="7"/>
  <c r="C475" i="7"/>
  <c r="D475" i="7"/>
  <c r="E475" i="7"/>
  <c r="F475" i="7"/>
  <c r="G475" i="7"/>
  <c r="H475" i="7"/>
  <c r="I475" i="7"/>
  <c r="J475" i="7"/>
  <c r="K475" i="7"/>
  <c r="L475" i="7"/>
  <c r="M475" i="7"/>
  <c r="N475" i="7"/>
  <c r="O475" i="7"/>
  <c r="U475" i="7" s="1"/>
  <c r="P475" i="7"/>
  <c r="B476" i="7"/>
  <c r="C476" i="7"/>
  <c r="D476" i="7"/>
  <c r="E476" i="7"/>
  <c r="F476" i="7"/>
  <c r="G476" i="7"/>
  <c r="H476" i="7"/>
  <c r="I476" i="7"/>
  <c r="J476" i="7"/>
  <c r="K476" i="7"/>
  <c r="L476" i="7"/>
  <c r="M476" i="7"/>
  <c r="N476" i="7"/>
  <c r="O476" i="7"/>
  <c r="P476" i="7"/>
  <c r="B477" i="7"/>
  <c r="C477" i="7"/>
  <c r="D477" i="7"/>
  <c r="E477" i="7"/>
  <c r="F477" i="7"/>
  <c r="G477" i="7"/>
  <c r="H477" i="7"/>
  <c r="I477" i="7"/>
  <c r="J477" i="7"/>
  <c r="K477" i="7"/>
  <c r="L477" i="7"/>
  <c r="M477" i="7"/>
  <c r="N477" i="7"/>
  <c r="O477" i="7"/>
  <c r="P477" i="7"/>
  <c r="B478" i="7"/>
  <c r="C478" i="7"/>
  <c r="D478" i="7"/>
  <c r="E478" i="7"/>
  <c r="F478" i="7"/>
  <c r="G478" i="7"/>
  <c r="H478" i="7"/>
  <c r="I478" i="7"/>
  <c r="J478" i="7"/>
  <c r="K478" i="7"/>
  <c r="L478" i="7"/>
  <c r="M478" i="7"/>
  <c r="N478" i="7"/>
  <c r="O478" i="7"/>
  <c r="P478" i="7"/>
  <c r="B479" i="7"/>
  <c r="C479" i="7"/>
  <c r="D479" i="7"/>
  <c r="E479" i="7"/>
  <c r="F479" i="7"/>
  <c r="G479" i="7"/>
  <c r="H479" i="7"/>
  <c r="I479" i="7"/>
  <c r="J479" i="7"/>
  <c r="K479" i="7"/>
  <c r="L479" i="7"/>
  <c r="M479" i="7"/>
  <c r="N479" i="7"/>
  <c r="O479" i="7"/>
  <c r="U479" i="7" s="1"/>
  <c r="P479" i="7"/>
  <c r="B480" i="7"/>
  <c r="C480" i="7"/>
  <c r="D480" i="7"/>
  <c r="E480" i="7"/>
  <c r="F480" i="7"/>
  <c r="G480" i="7"/>
  <c r="H480" i="7"/>
  <c r="I480" i="7"/>
  <c r="J480" i="7"/>
  <c r="K480" i="7"/>
  <c r="L480" i="7"/>
  <c r="M480" i="7"/>
  <c r="N480" i="7"/>
  <c r="O480" i="7"/>
  <c r="P480" i="7"/>
  <c r="B481" i="7"/>
  <c r="C481" i="7"/>
  <c r="D481" i="7"/>
  <c r="E481" i="7"/>
  <c r="F481" i="7"/>
  <c r="G481" i="7"/>
  <c r="H481" i="7"/>
  <c r="I481" i="7"/>
  <c r="J481" i="7"/>
  <c r="K481" i="7"/>
  <c r="L481" i="7"/>
  <c r="M481" i="7"/>
  <c r="N481" i="7"/>
  <c r="O481" i="7"/>
  <c r="P481" i="7"/>
  <c r="B482" i="7"/>
  <c r="C482" i="7"/>
  <c r="D482" i="7"/>
  <c r="E482" i="7"/>
  <c r="F482" i="7"/>
  <c r="G482" i="7"/>
  <c r="H482" i="7"/>
  <c r="I482" i="7"/>
  <c r="J482" i="7"/>
  <c r="K482" i="7"/>
  <c r="L482" i="7"/>
  <c r="M482" i="7"/>
  <c r="N482" i="7"/>
  <c r="O482" i="7"/>
  <c r="P482" i="7"/>
  <c r="B483" i="7"/>
  <c r="C483" i="7"/>
  <c r="D483" i="7"/>
  <c r="E483" i="7"/>
  <c r="F483" i="7"/>
  <c r="G483" i="7"/>
  <c r="H483" i="7"/>
  <c r="I483" i="7"/>
  <c r="J483" i="7"/>
  <c r="K483" i="7"/>
  <c r="L483" i="7"/>
  <c r="M483" i="7"/>
  <c r="N483" i="7"/>
  <c r="O483" i="7"/>
  <c r="U483" i="7" s="1"/>
  <c r="P483" i="7"/>
  <c r="B484" i="7"/>
  <c r="C484" i="7"/>
  <c r="D484" i="7"/>
  <c r="E484" i="7"/>
  <c r="F484" i="7"/>
  <c r="G484" i="7"/>
  <c r="H484" i="7"/>
  <c r="I484" i="7"/>
  <c r="J484" i="7"/>
  <c r="K484" i="7"/>
  <c r="L484" i="7"/>
  <c r="M484" i="7"/>
  <c r="N484" i="7"/>
  <c r="O484" i="7"/>
  <c r="U484" i="7" s="1"/>
  <c r="P484" i="7"/>
  <c r="B485" i="7"/>
  <c r="C485" i="7"/>
  <c r="D485" i="7"/>
  <c r="E485" i="7"/>
  <c r="F485" i="7"/>
  <c r="G485" i="7"/>
  <c r="H485" i="7"/>
  <c r="I485" i="7"/>
  <c r="J485" i="7"/>
  <c r="K485" i="7"/>
  <c r="L485" i="7"/>
  <c r="M485" i="7"/>
  <c r="N485" i="7"/>
  <c r="O485" i="7"/>
  <c r="U485" i="7" s="1"/>
  <c r="P485" i="7"/>
  <c r="B486" i="7"/>
  <c r="C486" i="7"/>
  <c r="D486" i="7"/>
  <c r="E486" i="7"/>
  <c r="F486" i="7"/>
  <c r="G486" i="7"/>
  <c r="H486" i="7"/>
  <c r="I486" i="7"/>
  <c r="J486" i="7"/>
  <c r="K486" i="7"/>
  <c r="L486" i="7"/>
  <c r="M486" i="7"/>
  <c r="N486" i="7"/>
  <c r="O486" i="7"/>
  <c r="U486" i="7" s="1"/>
  <c r="P486" i="7"/>
  <c r="B487" i="7"/>
  <c r="C487" i="7"/>
  <c r="D487" i="7"/>
  <c r="E487" i="7"/>
  <c r="F487" i="7"/>
  <c r="G487" i="7"/>
  <c r="H487" i="7"/>
  <c r="I487" i="7"/>
  <c r="J487" i="7"/>
  <c r="K487" i="7"/>
  <c r="L487" i="7"/>
  <c r="M487" i="7"/>
  <c r="N487" i="7"/>
  <c r="O487" i="7"/>
  <c r="U487" i="7" s="1"/>
  <c r="P487" i="7"/>
  <c r="B488" i="7"/>
  <c r="C488" i="7"/>
  <c r="D488" i="7"/>
  <c r="E488" i="7"/>
  <c r="F488" i="7"/>
  <c r="G488" i="7"/>
  <c r="H488" i="7"/>
  <c r="I488" i="7"/>
  <c r="J488" i="7"/>
  <c r="K488" i="7"/>
  <c r="L488" i="7"/>
  <c r="M488" i="7"/>
  <c r="N488" i="7"/>
  <c r="O488" i="7"/>
  <c r="P488" i="7"/>
  <c r="B489" i="7"/>
  <c r="C489" i="7"/>
  <c r="D489" i="7"/>
  <c r="E489" i="7"/>
  <c r="F489" i="7"/>
  <c r="G489" i="7"/>
  <c r="H489" i="7"/>
  <c r="I489" i="7"/>
  <c r="J489" i="7"/>
  <c r="K489" i="7"/>
  <c r="L489" i="7"/>
  <c r="M489" i="7"/>
  <c r="N489" i="7"/>
  <c r="O489" i="7"/>
  <c r="U489" i="7" s="1"/>
  <c r="P489" i="7"/>
  <c r="B490" i="7"/>
  <c r="C490" i="7"/>
  <c r="D490" i="7"/>
  <c r="E490" i="7"/>
  <c r="F490" i="7"/>
  <c r="G490" i="7"/>
  <c r="H490" i="7"/>
  <c r="I490" i="7"/>
  <c r="J490" i="7"/>
  <c r="K490" i="7"/>
  <c r="L490" i="7"/>
  <c r="M490" i="7"/>
  <c r="N490" i="7"/>
  <c r="O490" i="7"/>
  <c r="U490" i="7" s="1"/>
  <c r="P490" i="7"/>
  <c r="B491" i="7"/>
  <c r="C491" i="7"/>
  <c r="D491" i="7"/>
  <c r="E491" i="7"/>
  <c r="F491" i="7"/>
  <c r="G491" i="7"/>
  <c r="H491" i="7"/>
  <c r="I491" i="7"/>
  <c r="J491" i="7"/>
  <c r="K491" i="7"/>
  <c r="L491" i="7"/>
  <c r="M491" i="7"/>
  <c r="N491" i="7"/>
  <c r="O491" i="7"/>
  <c r="P491" i="7"/>
  <c r="B492" i="7"/>
  <c r="C492" i="7"/>
  <c r="D492" i="7"/>
  <c r="E492" i="7"/>
  <c r="F492" i="7"/>
  <c r="G492" i="7"/>
  <c r="H492" i="7"/>
  <c r="I492" i="7"/>
  <c r="J492" i="7"/>
  <c r="K492" i="7"/>
  <c r="L492" i="7"/>
  <c r="M492" i="7"/>
  <c r="N492" i="7"/>
  <c r="O492" i="7"/>
  <c r="U492" i="7" s="1"/>
  <c r="P492" i="7"/>
  <c r="B493" i="7"/>
  <c r="C493" i="7"/>
  <c r="D493" i="7"/>
  <c r="E493" i="7"/>
  <c r="F493" i="7"/>
  <c r="G493" i="7"/>
  <c r="H493" i="7"/>
  <c r="I493" i="7"/>
  <c r="J493" i="7"/>
  <c r="K493" i="7"/>
  <c r="L493" i="7"/>
  <c r="M493" i="7"/>
  <c r="N493" i="7"/>
  <c r="O493" i="7"/>
  <c r="U493" i="7" s="1"/>
  <c r="P493" i="7"/>
  <c r="B494" i="7"/>
  <c r="C494" i="7"/>
  <c r="D494" i="7"/>
  <c r="E494" i="7"/>
  <c r="F494" i="7"/>
  <c r="G494" i="7"/>
  <c r="H494" i="7"/>
  <c r="I494" i="7"/>
  <c r="J494" i="7"/>
  <c r="K494" i="7"/>
  <c r="L494" i="7"/>
  <c r="M494" i="7"/>
  <c r="N494" i="7"/>
  <c r="O494" i="7"/>
  <c r="U494" i="7" s="1"/>
  <c r="P494" i="7"/>
  <c r="B495" i="7"/>
  <c r="C495" i="7"/>
  <c r="D495" i="7"/>
  <c r="E495" i="7"/>
  <c r="F495" i="7"/>
  <c r="G495" i="7"/>
  <c r="H495" i="7"/>
  <c r="I495" i="7"/>
  <c r="J495" i="7"/>
  <c r="K495" i="7"/>
  <c r="L495" i="7"/>
  <c r="M495" i="7"/>
  <c r="N495" i="7"/>
  <c r="O495" i="7"/>
  <c r="U495" i="7" s="1"/>
  <c r="P495" i="7"/>
  <c r="B496" i="7"/>
  <c r="C496" i="7"/>
  <c r="D496" i="7"/>
  <c r="E496" i="7"/>
  <c r="F496" i="7"/>
  <c r="G496" i="7"/>
  <c r="H496" i="7"/>
  <c r="I496" i="7"/>
  <c r="J496" i="7"/>
  <c r="K496" i="7"/>
  <c r="L496" i="7"/>
  <c r="M496" i="7"/>
  <c r="N496" i="7"/>
  <c r="O496" i="7"/>
  <c r="P496" i="7"/>
  <c r="B497" i="7"/>
  <c r="C497" i="7"/>
  <c r="D497" i="7"/>
  <c r="E497" i="7"/>
  <c r="F497" i="7"/>
  <c r="G497" i="7"/>
  <c r="H497" i="7"/>
  <c r="I497" i="7"/>
  <c r="J497" i="7"/>
  <c r="K497" i="7"/>
  <c r="L497" i="7"/>
  <c r="M497" i="7"/>
  <c r="N497" i="7"/>
  <c r="O497" i="7"/>
  <c r="P497" i="7"/>
  <c r="B498" i="7"/>
  <c r="C498" i="7"/>
  <c r="D498" i="7"/>
  <c r="E498" i="7"/>
  <c r="F498" i="7"/>
  <c r="G498" i="7"/>
  <c r="H498" i="7"/>
  <c r="I498" i="7"/>
  <c r="J498" i="7"/>
  <c r="K498" i="7"/>
  <c r="L498" i="7"/>
  <c r="M498" i="7"/>
  <c r="N498" i="7"/>
  <c r="O498" i="7"/>
  <c r="U498" i="7" s="1"/>
  <c r="P498" i="7"/>
  <c r="B499" i="7"/>
  <c r="C499" i="7"/>
  <c r="D499" i="7"/>
  <c r="E499" i="7"/>
  <c r="F499" i="7"/>
  <c r="G499" i="7"/>
  <c r="H499" i="7"/>
  <c r="I499" i="7"/>
  <c r="J499" i="7"/>
  <c r="K499" i="7"/>
  <c r="L499" i="7"/>
  <c r="M499" i="7"/>
  <c r="N499" i="7"/>
  <c r="O499" i="7"/>
  <c r="P499" i="7"/>
  <c r="B500" i="7"/>
  <c r="C500" i="7"/>
  <c r="D500" i="7"/>
  <c r="E500" i="7"/>
  <c r="F500" i="7"/>
  <c r="G500" i="7"/>
  <c r="H500" i="7"/>
  <c r="I500" i="7"/>
  <c r="J500" i="7"/>
  <c r="K500" i="7"/>
  <c r="L500" i="7"/>
  <c r="M500" i="7"/>
  <c r="N500" i="7"/>
  <c r="O500" i="7"/>
  <c r="U500" i="7" s="1"/>
  <c r="P500" i="7"/>
  <c r="B501" i="7"/>
  <c r="C501" i="7"/>
  <c r="D501" i="7"/>
  <c r="E501" i="7"/>
  <c r="F501" i="7"/>
  <c r="G501" i="7"/>
  <c r="H501" i="7"/>
  <c r="I501" i="7"/>
  <c r="J501" i="7"/>
  <c r="K501" i="7"/>
  <c r="L501" i="7"/>
  <c r="M501" i="7"/>
  <c r="N501" i="7"/>
  <c r="O501" i="7"/>
  <c r="U501" i="7" s="1"/>
  <c r="P501" i="7"/>
  <c r="B502" i="7"/>
  <c r="C502" i="7"/>
  <c r="D502" i="7"/>
  <c r="E502" i="7"/>
  <c r="F502" i="7"/>
  <c r="G502" i="7"/>
  <c r="H502" i="7"/>
  <c r="I502" i="7"/>
  <c r="J502" i="7"/>
  <c r="K502" i="7"/>
  <c r="L502" i="7"/>
  <c r="M502" i="7"/>
  <c r="N502" i="7"/>
  <c r="O502" i="7"/>
  <c r="U502" i="7" s="1"/>
  <c r="P502" i="7"/>
  <c r="B503" i="7"/>
  <c r="C503" i="7"/>
  <c r="D503" i="7"/>
  <c r="E503" i="7"/>
  <c r="F503" i="7"/>
  <c r="G503" i="7"/>
  <c r="H503" i="7"/>
  <c r="I503" i="7"/>
  <c r="J503" i="7"/>
  <c r="K503" i="7"/>
  <c r="L503" i="7"/>
  <c r="M503" i="7"/>
  <c r="N503" i="7"/>
  <c r="O503" i="7"/>
  <c r="U503" i="7" s="1"/>
  <c r="P503" i="7"/>
  <c r="B504" i="7"/>
  <c r="C504" i="7"/>
  <c r="D504" i="7"/>
  <c r="E504" i="7"/>
  <c r="F504" i="7"/>
  <c r="G504" i="7"/>
  <c r="H504" i="7"/>
  <c r="I504" i="7"/>
  <c r="J504" i="7"/>
  <c r="K504" i="7"/>
  <c r="L504" i="7"/>
  <c r="M504" i="7"/>
  <c r="N504" i="7"/>
  <c r="O504" i="7"/>
  <c r="P504" i="7"/>
  <c r="B505" i="7"/>
  <c r="C505" i="7"/>
  <c r="D505" i="7"/>
  <c r="E505" i="7"/>
  <c r="F505" i="7"/>
  <c r="G505" i="7"/>
  <c r="H505" i="7"/>
  <c r="I505" i="7"/>
  <c r="J505" i="7"/>
  <c r="K505" i="7"/>
  <c r="L505" i="7"/>
  <c r="M505" i="7"/>
  <c r="N505" i="7"/>
  <c r="O505" i="7"/>
  <c r="P505" i="7"/>
  <c r="B506" i="7"/>
  <c r="C506" i="7"/>
  <c r="D506" i="7"/>
  <c r="E506" i="7"/>
  <c r="F506" i="7"/>
  <c r="G506" i="7"/>
  <c r="H506" i="7"/>
  <c r="I506" i="7"/>
  <c r="J506" i="7"/>
  <c r="K506" i="7"/>
  <c r="L506" i="7"/>
  <c r="M506" i="7"/>
  <c r="N506" i="7"/>
  <c r="O506" i="7"/>
  <c r="U506" i="7" s="1"/>
  <c r="P506" i="7"/>
  <c r="B507" i="7"/>
  <c r="C507" i="7"/>
  <c r="D507" i="7"/>
  <c r="E507" i="7"/>
  <c r="F507" i="7"/>
  <c r="G507" i="7"/>
  <c r="H507" i="7"/>
  <c r="I507" i="7"/>
  <c r="J507" i="7"/>
  <c r="K507" i="7"/>
  <c r="L507" i="7"/>
  <c r="M507" i="7"/>
  <c r="N507" i="7"/>
  <c r="O507" i="7"/>
  <c r="P507" i="7"/>
  <c r="B508" i="7"/>
  <c r="C508" i="7"/>
  <c r="D508" i="7"/>
  <c r="E508" i="7"/>
  <c r="F508" i="7"/>
  <c r="G508" i="7"/>
  <c r="H508" i="7"/>
  <c r="I508" i="7"/>
  <c r="J508" i="7"/>
  <c r="K508" i="7"/>
  <c r="L508" i="7"/>
  <c r="M508" i="7"/>
  <c r="N508" i="7"/>
  <c r="O508" i="7"/>
  <c r="U508" i="7" s="1"/>
  <c r="P508" i="7"/>
  <c r="B509" i="7"/>
  <c r="C509" i="7"/>
  <c r="D509" i="7"/>
  <c r="E509" i="7"/>
  <c r="F509" i="7"/>
  <c r="G509" i="7"/>
  <c r="H509" i="7"/>
  <c r="I509" i="7"/>
  <c r="J509" i="7"/>
  <c r="K509" i="7"/>
  <c r="L509" i="7"/>
  <c r="M509" i="7"/>
  <c r="N509" i="7"/>
  <c r="O509" i="7"/>
  <c r="U509" i="7" s="1"/>
  <c r="P509" i="7"/>
  <c r="B510" i="7"/>
  <c r="C510" i="7"/>
  <c r="D510" i="7"/>
  <c r="E510" i="7"/>
  <c r="F510" i="7"/>
  <c r="G510" i="7"/>
  <c r="H510" i="7"/>
  <c r="I510" i="7"/>
  <c r="J510" i="7"/>
  <c r="K510" i="7"/>
  <c r="L510" i="7"/>
  <c r="M510" i="7"/>
  <c r="N510" i="7"/>
  <c r="O510" i="7"/>
  <c r="U510" i="7" s="1"/>
  <c r="P510" i="7"/>
  <c r="B511" i="7"/>
  <c r="C511" i="7"/>
  <c r="D511" i="7"/>
  <c r="E511" i="7"/>
  <c r="F511" i="7"/>
  <c r="G511" i="7"/>
  <c r="H511" i="7"/>
  <c r="I511" i="7"/>
  <c r="J511" i="7"/>
  <c r="K511" i="7"/>
  <c r="L511" i="7"/>
  <c r="M511" i="7"/>
  <c r="N511" i="7"/>
  <c r="O511" i="7"/>
  <c r="U511" i="7" s="1"/>
  <c r="P511" i="7"/>
  <c r="B512" i="7"/>
  <c r="C512" i="7"/>
  <c r="D512" i="7"/>
  <c r="E512" i="7"/>
  <c r="F512" i="7"/>
  <c r="G512" i="7"/>
  <c r="H512" i="7"/>
  <c r="I512" i="7"/>
  <c r="J512" i="7"/>
  <c r="K512" i="7"/>
  <c r="L512" i="7"/>
  <c r="M512" i="7"/>
  <c r="N512" i="7"/>
  <c r="O512" i="7"/>
  <c r="P512" i="7"/>
  <c r="B513" i="7"/>
  <c r="C513" i="7"/>
  <c r="D513" i="7"/>
  <c r="E513" i="7"/>
  <c r="F513" i="7"/>
  <c r="G513" i="7"/>
  <c r="H513" i="7"/>
  <c r="I513" i="7"/>
  <c r="J513" i="7"/>
  <c r="K513" i="7"/>
  <c r="L513" i="7"/>
  <c r="M513" i="7"/>
  <c r="N513" i="7"/>
  <c r="O513" i="7"/>
  <c r="U513" i="7" s="1"/>
  <c r="P513" i="7"/>
  <c r="B514" i="7"/>
  <c r="C514" i="7"/>
  <c r="D514" i="7"/>
  <c r="E514" i="7"/>
  <c r="F514" i="7"/>
  <c r="G514" i="7"/>
  <c r="H514" i="7"/>
  <c r="I514" i="7"/>
  <c r="J514" i="7"/>
  <c r="K514" i="7"/>
  <c r="L514" i="7"/>
  <c r="M514" i="7"/>
  <c r="N514" i="7"/>
  <c r="O514" i="7"/>
  <c r="P514" i="7"/>
  <c r="B515" i="7"/>
  <c r="C515" i="7"/>
  <c r="D515" i="7"/>
  <c r="E515" i="7"/>
  <c r="F515" i="7"/>
  <c r="G515" i="7"/>
  <c r="H515" i="7"/>
  <c r="I515" i="7"/>
  <c r="J515" i="7"/>
  <c r="K515" i="7"/>
  <c r="L515" i="7"/>
  <c r="M515" i="7"/>
  <c r="N515" i="7"/>
  <c r="O515" i="7"/>
  <c r="P515" i="7"/>
  <c r="B516" i="7"/>
  <c r="C516" i="7"/>
  <c r="D516" i="7"/>
  <c r="E516" i="7"/>
  <c r="F516" i="7"/>
  <c r="G516" i="7"/>
  <c r="H516" i="7"/>
  <c r="I516" i="7"/>
  <c r="J516" i="7"/>
  <c r="K516" i="7"/>
  <c r="L516" i="7"/>
  <c r="M516" i="7"/>
  <c r="N516" i="7"/>
  <c r="O516" i="7"/>
  <c r="P516" i="7"/>
  <c r="B517" i="7"/>
  <c r="C517" i="7"/>
  <c r="D517" i="7"/>
  <c r="E517" i="7"/>
  <c r="F517" i="7"/>
  <c r="G517" i="7"/>
  <c r="H517" i="7"/>
  <c r="I517" i="7"/>
  <c r="J517" i="7"/>
  <c r="K517" i="7"/>
  <c r="L517" i="7"/>
  <c r="M517" i="7"/>
  <c r="N517" i="7"/>
  <c r="O517" i="7"/>
  <c r="P517" i="7"/>
  <c r="B518" i="7"/>
  <c r="C518" i="7"/>
  <c r="D518" i="7"/>
  <c r="E518" i="7"/>
  <c r="F518" i="7"/>
  <c r="G518" i="7"/>
  <c r="H518" i="7"/>
  <c r="I518" i="7"/>
  <c r="J518" i="7"/>
  <c r="K518" i="7"/>
  <c r="L518" i="7"/>
  <c r="M518" i="7"/>
  <c r="N518" i="7"/>
  <c r="O518" i="7"/>
  <c r="P518" i="7"/>
  <c r="B519" i="7"/>
  <c r="C519" i="7"/>
  <c r="D519" i="7"/>
  <c r="E519" i="7"/>
  <c r="F519" i="7"/>
  <c r="G519" i="7"/>
  <c r="H519" i="7"/>
  <c r="I519" i="7"/>
  <c r="J519" i="7"/>
  <c r="K519" i="7"/>
  <c r="L519" i="7"/>
  <c r="M519" i="7"/>
  <c r="N519" i="7"/>
  <c r="O519" i="7"/>
  <c r="P519" i="7"/>
  <c r="B520" i="7"/>
  <c r="C520" i="7"/>
  <c r="D520" i="7"/>
  <c r="E520" i="7"/>
  <c r="F520" i="7"/>
  <c r="G520" i="7"/>
  <c r="H520" i="7"/>
  <c r="I520" i="7"/>
  <c r="J520" i="7"/>
  <c r="K520" i="7"/>
  <c r="L520" i="7"/>
  <c r="M520" i="7"/>
  <c r="N520" i="7"/>
  <c r="O520" i="7"/>
  <c r="P520" i="7"/>
  <c r="B521" i="7"/>
  <c r="C521" i="7"/>
  <c r="D521" i="7"/>
  <c r="E521" i="7"/>
  <c r="F521" i="7"/>
  <c r="G521" i="7"/>
  <c r="H521" i="7"/>
  <c r="I521" i="7"/>
  <c r="J521" i="7"/>
  <c r="K521" i="7"/>
  <c r="L521" i="7"/>
  <c r="M521" i="7"/>
  <c r="N521" i="7"/>
  <c r="O521" i="7"/>
  <c r="P521" i="7"/>
  <c r="B522" i="7"/>
  <c r="C522" i="7"/>
  <c r="D522" i="7"/>
  <c r="E522" i="7"/>
  <c r="F522" i="7"/>
  <c r="G522" i="7"/>
  <c r="H522" i="7"/>
  <c r="I522" i="7"/>
  <c r="J522" i="7"/>
  <c r="K522" i="7"/>
  <c r="L522" i="7"/>
  <c r="M522" i="7"/>
  <c r="N522" i="7"/>
  <c r="O522" i="7"/>
  <c r="P522" i="7"/>
  <c r="B523" i="7"/>
  <c r="C523" i="7"/>
  <c r="D523" i="7"/>
  <c r="E523" i="7"/>
  <c r="F523" i="7"/>
  <c r="G523" i="7"/>
  <c r="H523" i="7"/>
  <c r="I523" i="7"/>
  <c r="J523" i="7"/>
  <c r="K523" i="7"/>
  <c r="L523" i="7"/>
  <c r="M523" i="7"/>
  <c r="N523" i="7"/>
  <c r="O523" i="7"/>
  <c r="U523" i="7" s="1"/>
  <c r="P523" i="7"/>
  <c r="B524" i="7"/>
  <c r="C524" i="7"/>
  <c r="D524" i="7"/>
  <c r="E524" i="7"/>
  <c r="F524" i="7"/>
  <c r="G524" i="7"/>
  <c r="H524" i="7"/>
  <c r="I524" i="7"/>
  <c r="J524" i="7"/>
  <c r="K524" i="7"/>
  <c r="L524" i="7"/>
  <c r="M524" i="7"/>
  <c r="N524" i="7"/>
  <c r="O524" i="7"/>
  <c r="P524" i="7"/>
  <c r="B525" i="7"/>
  <c r="C525" i="7"/>
  <c r="D525" i="7"/>
  <c r="E525" i="7"/>
  <c r="F525" i="7"/>
  <c r="G525" i="7"/>
  <c r="H525" i="7"/>
  <c r="I525" i="7"/>
  <c r="J525" i="7"/>
  <c r="K525" i="7"/>
  <c r="L525" i="7"/>
  <c r="M525" i="7"/>
  <c r="N525" i="7"/>
  <c r="O525" i="7"/>
  <c r="U525" i="7" s="1"/>
  <c r="P525" i="7"/>
  <c r="B526" i="7"/>
  <c r="C526" i="7"/>
  <c r="D526" i="7"/>
  <c r="E526" i="7"/>
  <c r="F526" i="7"/>
  <c r="G526" i="7"/>
  <c r="H526" i="7"/>
  <c r="I526" i="7"/>
  <c r="J526" i="7"/>
  <c r="K526" i="7"/>
  <c r="L526" i="7"/>
  <c r="M526" i="7"/>
  <c r="N526" i="7"/>
  <c r="O526" i="7"/>
  <c r="P526" i="7"/>
  <c r="B527" i="7"/>
  <c r="C527" i="7"/>
  <c r="D527" i="7"/>
  <c r="E527" i="7"/>
  <c r="F527" i="7"/>
  <c r="G527" i="7"/>
  <c r="H527" i="7"/>
  <c r="I527" i="7"/>
  <c r="J527" i="7"/>
  <c r="K527" i="7"/>
  <c r="L527" i="7"/>
  <c r="M527" i="7"/>
  <c r="N527" i="7"/>
  <c r="O527" i="7"/>
  <c r="P527" i="7"/>
  <c r="B528" i="7"/>
  <c r="C528" i="7"/>
  <c r="D528" i="7"/>
  <c r="E528" i="7"/>
  <c r="F528" i="7"/>
  <c r="G528" i="7"/>
  <c r="H528" i="7"/>
  <c r="I528" i="7"/>
  <c r="J528" i="7"/>
  <c r="K528" i="7"/>
  <c r="L528" i="7"/>
  <c r="M528" i="7"/>
  <c r="N528" i="7"/>
  <c r="O528" i="7"/>
  <c r="P528" i="7"/>
  <c r="B529" i="7"/>
  <c r="C529" i="7"/>
  <c r="D529" i="7"/>
  <c r="E529" i="7"/>
  <c r="F529" i="7"/>
  <c r="G529" i="7"/>
  <c r="H529" i="7"/>
  <c r="I529" i="7"/>
  <c r="J529" i="7"/>
  <c r="K529" i="7"/>
  <c r="L529" i="7"/>
  <c r="M529" i="7"/>
  <c r="N529" i="7"/>
  <c r="O529" i="7"/>
  <c r="U529" i="7" s="1"/>
  <c r="P529" i="7"/>
  <c r="B530" i="7"/>
  <c r="C530" i="7"/>
  <c r="D530" i="7"/>
  <c r="E530" i="7"/>
  <c r="F530" i="7"/>
  <c r="G530" i="7"/>
  <c r="H530" i="7"/>
  <c r="I530" i="7"/>
  <c r="J530" i="7"/>
  <c r="K530" i="7"/>
  <c r="L530" i="7"/>
  <c r="M530" i="7"/>
  <c r="N530" i="7"/>
  <c r="O530" i="7"/>
  <c r="P530" i="7"/>
  <c r="B531" i="7"/>
  <c r="C531" i="7"/>
  <c r="D531" i="7"/>
  <c r="E531" i="7"/>
  <c r="F531" i="7"/>
  <c r="G531" i="7"/>
  <c r="H531" i="7"/>
  <c r="I531" i="7"/>
  <c r="J531" i="7"/>
  <c r="K531" i="7"/>
  <c r="L531" i="7"/>
  <c r="M531" i="7"/>
  <c r="N531" i="7"/>
  <c r="O531" i="7"/>
  <c r="P531" i="7"/>
  <c r="B532" i="7"/>
  <c r="C532" i="7"/>
  <c r="D532" i="7"/>
  <c r="E532" i="7"/>
  <c r="F532" i="7"/>
  <c r="G532" i="7"/>
  <c r="H532" i="7"/>
  <c r="I532" i="7"/>
  <c r="J532" i="7"/>
  <c r="K532" i="7"/>
  <c r="L532" i="7"/>
  <c r="M532" i="7"/>
  <c r="N532" i="7"/>
  <c r="O532" i="7"/>
  <c r="P532" i="7"/>
  <c r="B533" i="7"/>
  <c r="C533" i="7"/>
  <c r="D533" i="7"/>
  <c r="E533" i="7"/>
  <c r="F533" i="7"/>
  <c r="G533" i="7"/>
  <c r="H533" i="7"/>
  <c r="I533" i="7"/>
  <c r="J533" i="7"/>
  <c r="K533" i="7"/>
  <c r="L533" i="7"/>
  <c r="M533" i="7"/>
  <c r="N533" i="7"/>
  <c r="O533" i="7"/>
  <c r="P533" i="7"/>
  <c r="B534" i="7"/>
  <c r="C534" i="7"/>
  <c r="D534" i="7"/>
  <c r="E534" i="7"/>
  <c r="F534" i="7"/>
  <c r="G534" i="7"/>
  <c r="H534" i="7"/>
  <c r="I534" i="7"/>
  <c r="J534" i="7"/>
  <c r="K534" i="7"/>
  <c r="L534" i="7"/>
  <c r="M534" i="7"/>
  <c r="N534" i="7"/>
  <c r="O534" i="7"/>
  <c r="P534" i="7"/>
  <c r="B535" i="7"/>
  <c r="C535" i="7"/>
  <c r="D535" i="7"/>
  <c r="E535" i="7"/>
  <c r="F535" i="7"/>
  <c r="G535" i="7"/>
  <c r="H535" i="7"/>
  <c r="I535" i="7"/>
  <c r="J535" i="7"/>
  <c r="K535" i="7"/>
  <c r="L535" i="7"/>
  <c r="M535" i="7"/>
  <c r="N535" i="7"/>
  <c r="O535" i="7"/>
  <c r="U535" i="7" s="1"/>
  <c r="P535" i="7"/>
  <c r="B536" i="7"/>
  <c r="C536" i="7"/>
  <c r="D536" i="7"/>
  <c r="E536" i="7"/>
  <c r="F536" i="7"/>
  <c r="G536" i="7"/>
  <c r="H536" i="7"/>
  <c r="I536" i="7"/>
  <c r="J536" i="7"/>
  <c r="K536" i="7"/>
  <c r="L536" i="7"/>
  <c r="M536" i="7"/>
  <c r="N536" i="7"/>
  <c r="O536" i="7"/>
  <c r="P536" i="7"/>
  <c r="B537" i="7"/>
  <c r="C537" i="7"/>
  <c r="D537" i="7"/>
  <c r="E537" i="7"/>
  <c r="F537" i="7"/>
  <c r="G537" i="7"/>
  <c r="H537" i="7"/>
  <c r="I537" i="7"/>
  <c r="J537" i="7"/>
  <c r="K537" i="7"/>
  <c r="L537" i="7"/>
  <c r="M537" i="7"/>
  <c r="N537" i="7"/>
  <c r="O537" i="7"/>
  <c r="U537" i="7" s="1"/>
  <c r="P537" i="7"/>
  <c r="B538" i="7"/>
  <c r="C538" i="7"/>
  <c r="D538" i="7"/>
  <c r="E538" i="7"/>
  <c r="F538" i="7"/>
  <c r="G538" i="7"/>
  <c r="H538" i="7"/>
  <c r="I538" i="7"/>
  <c r="J538" i="7"/>
  <c r="K538" i="7"/>
  <c r="L538" i="7"/>
  <c r="M538" i="7"/>
  <c r="N538" i="7"/>
  <c r="O538" i="7"/>
  <c r="P538" i="7"/>
  <c r="B539" i="7"/>
  <c r="C539" i="7"/>
  <c r="D539" i="7"/>
  <c r="E539" i="7"/>
  <c r="F539" i="7"/>
  <c r="G539" i="7"/>
  <c r="H539" i="7"/>
  <c r="I539" i="7"/>
  <c r="J539" i="7"/>
  <c r="K539" i="7"/>
  <c r="L539" i="7"/>
  <c r="M539" i="7"/>
  <c r="N539" i="7"/>
  <c r="O539" i="7"/>
  <c r="P539" i="7"/>
  <c r="B540" i="7"/>
  <c r="C540" i="7"/>
  <c r="D540" i="7"/>
  <c r="E540" i="7"/>
  <c r="F540" i="7"/>
  <c r="G540" i="7"/>
  <c r="H540" i="7"/>
  <c r="I540" i="7"/>
  <c r="J540" i="7"/>
  <c r="K540" i="7"/>
  <c r="L540" i="7"/>
  <c r="M540" i="7"/>
  <c r="N540" i="7"/>
  <c r="O540" i="7"/>
  <c r="P540" i="7"/>
  <c r="B541" i="7"/>
  <c r="C541" i="7"/>
  <c r="D541" i="7"/>
  <c r="E541" i="7"/>
  <c r="F541" i="7"/>
  <c r="G541" i="7"/>
  <c r="H541" i="7"/>
  <c r="I541" i="7"/>
  <c r="J541" i="7"/>
  <c r="K541" i="7"/>
  <c r="L541" i="7"/>
  <c r="M541" i="7"/>
  <c r="N541" i="7"/>
  <c r="O541" i="7"/>
  <c r="U541" i="7" s="1"/>
  <c r="P541" i="7"/>
  <c r="B542" i="7"/>
  <c r="C542" i="7"/>
  <c r="D542" i="7"/>
  <c r="E542" i="7"/>
  <c r="F542" i="7"/>
  <c r="G542" i="7"/>
  <c r="H542" i="7"/>
  <c r="I542" i="7"/>
  <c r="J542" i="7"/>
  <c r="K542" i="7"/>
  <c r="L542" i="7"/>
  <c r="M542" i="7"/>
  <c r="N542" i="7"/>
  <c r="O542" i="7"/>
  <c r="P542" i="7"/>
  <c r="B543" i="7"/>
  <c r="C543" i="7"/>
  <c r="D543" i="7"/>
  <c r="E543" i="7"/>
  <c r="F543" i="7"/>
  <c r="G543" i="7"/>
  <c r="H543" i="7"/>
  <c r="I543" i="7"/>
  <c r="J543" i="7"/>
  <c r="K543" i="7"/>
  <c r="L543" i="7"/>
  <c r="M543" i="7"/>
  <c r="N543" i="7"/>
  <c r="O543" i="7"/>
  <c r="P543" i="7"/>
  <c r="B544" i="7"/>
  <c r="C544" i="7"/>
  <c r="D544" i="7"/>
  <c r="E544" i="7"/>
  <c r="F544" i="7"/>
  <c r="G544" i="7"/>
  <c r="H544" i="7"/>
  <c r="I544" i="7"/>
  <c r="J544" i="7"/>
  <c r="K544" i="7"/>
  <c r="L544" i="7"/>
  <c r="M544" i="7"/>
  <c r="N544" i="7"/>
  <c r="O544" i="7"/>
  <c r="P544" i="7"/>
  <c r="B545" i="7"/>
  <c r="C545" i="7"/>
  <c r="D545" i="7"/>
  <c r="E545" i="7"/>
  <c r="F545" i="7"/>
  <c r="G545" i="7"/>
  <c r="H545" i="7"/>
  <c r="I545" i="7"/>
  <c r="J545" i="7"/>
  <c r="K545" i="7"/>
  <c r="L545" i="7"/>
  <c r="M545" i="7"/>
  <c r="N545" i="7"/>
  <c r="O545" i="7"/>
  <c r="U545" i="7" s="1"/>
  <c r="P545" i="7"/>
  <c r="B546" i="7"/>
  <c r="C546" i="7"/>
  <c r="D546" i="7"/>
  <c r="E546" i="7"/>
  <c r="F546" i="7"/>
  <c r="G546" i="7"/>
  <c r="H546" i="7"/>
  <c r="I546" i="7"/>
  <c r="J546" i="7"/>
  <c r="K546" i="7"/>
  <c r="L546" i="7"/>
  <c r="M546" i="7"/>
  <c r="N546" i="7"/>
  <c r="O546" i="7"/>
  <c r="P546" i="7"/>
  <c r="B547" i="7"/>
  <c r="C547" i="7"/>
  <c r="D547" i="7"/>
  <c r="E547" i="7"/>
  <c r="F547" i="7"/>
  <c r="G547" i="7"/>
  <c r="H547" i="7"/>
  <c r="I547" i="7"/>
  <c r="J547" i="7"/>
  <c r="K547" i="7"/>
  <c r="L547" i="7"/>
  <c r="M547" i="7"/>
  <c r="N547" i="7"/>
  <c r="O547" i="7"/>
  <c r="P547" i="7"/>
  <c r="B548" i="7"/>
  <c r="C548" i="7"/>
  <c r="D548" i="7"/>
  <c r="E548" i="7"/>
  <c r="F548" i="7"/>
  <c r="G548" i="7"/>
  <c r="H548" i="7"/>
  <c r="I548" i="7"/>
  <c r="J548" i="7"/>
  <c r="K548" i="7"/>
  <c r="L548" i="7"/>
  <c r="M548" i="7"/>
  <c r="N548" i="7"/>
  <c r="O548" i="7"/>
  <c r="P548" i="7"/>
  <c r="B549" i="7"/>
  <c r="C549" i="7"/>
  <c r="D549" i="7"/>
  <c r="E549" i="7"/>
  <c r="F549" i="7"/>
  <c r="G549" i="7"/>
  <c r="H549" i="7"/>
  <c r="I549" i="7"/>
  <c r="J549" i="7"/>
  <c r="K549" i="7"/>
  <c r="L549" i="7"/>
  <c r="M549" i="7"/>
  <c r="N549" i="7"/>
  <c r="O549" i="7"/>
  <c r="P549" i="7"/>
  <c r="B550" i="7"/>
  <c r="C550" i="7"/>
  <c r="D550" i="7"/>
  <c r="E550" i="7"/>
  <c r="F550" i="7"/>
  <c r="G550" i="7"/>
  <c r="H550" i="7"/>
  <c r="I550" i="7"/>
  <c r="J550" i="7"/>
  <c r="K550" i="7"/>
  <c r="L550" i="7"/>
  <c r="M550" i="7"/>
  <c r="N550" i="7"/>
  <c r="O550" i="7"/>
  <c r="P550" i="7"/>
  <c r="B551" i="7"/>
  <c r="C551" i="7"/>
  <c r="D551" i="7"/>
  <c r="E551" i="7"/>
  <c r="F551" i="7"/>
  <c r="G551" i="7"/>
  <c r="H551" i="7"/>
  <c r="I551" i="7"/>
  <c r="J551" i="7"/>
  <c r="K551" i="7"/>
  <c r="L551" i="7"/>
  <c r="M551" i="7"/>
  <c r="N551" i="7"/>
  <c r="O551" i="7"/>
  <c r="P551" i="7"/>
  <c r="B552" i="7"/>
  <c r="C552" i="7"/>
  <c r="D552" i="7"/>
  <c r="E552" i="7"/>
  <c r="F552" i="7"/>
  <c r="G552" i="7"/>
  <c r="H552" i="7"/>
  <c r="I552" i="7"/>
  <c r="J552" i="7"/>
  <c r="K552" i="7"/>
  <c r="L552" i="7"/>
  <c r="M552" i="7"/>
  <c r="N552" i="7"/>
  <c r="O552" i="7"/>
  <c r="P552" i="7"/>
  <c r="B553" i="7"/>
  <c r="C553" i="7"/>
  <c r="D553" i="7"/>
  <c r="E553" i="7"/>
  <c r="F553" i="7"/>
  <c r="G553" i="7"/>
  <c r="H553" i="7"/>
  <c r="I553" i="7"/>
  <c r="J553" i="7"/>
  <c r="K553" i="7"/>
  <c r="L553" i="7"/>
  <c r="M553" i="7"/>
  <c r="N553" i="7"/>
  <c r="O553" i="7"/>
  <c r="U553" i="7" s="1"/>
  <c r="P553" i="7"/>
  <c r="B554" i="7"/>
  <c r="C554" i="7"/>
  <c r="D554" i="7"/>
  <c r="E554" i="7"/>
  <c r="F554" i="7"/>
  <c r="G554" i="7"/>
  <c r="H554" i="7"/>
  <c r="I554" i="7"/>
  <c r="J554" i="7"/>
  <c r="K554" i="7"/>
  <c r="L554" i="7"/>
  <c r="M554" i="7"/>
  <c r="N554" i="7"/>
  <c r="O554" i="7"/>
  <c r="P554" i="7"/>
  <c r="B555" i="7"/>
  <c r="C555" i="7"/>
  <c r="D555" i="7"/>
  <c r="E555" i="7"/>
  <c r="F555" i="7"/>
  <c r="G555" i="7"/>
  <c r="H555" i="7"/>
  <c r="I555" i="7"/>
  <c r="J555" i="7"/>
  <c r="K555" i="7"/>
  <c r="L555" i="7"/>
  <c r="M555" i="7"/>
  <c r="N555" i="7"/>
  <c r="O555" i="7"/>
  <c r="P555" i="7"/>
  <c r="B556" i="7"/>
  <c r="C556" i="7"/>
  <c r="D556" i="7"/>
  <c r="E556" i="7"/>
  <c r="F556" i="7"/>
  <c r="G556" i="7"/>
  <c r="H556" i="7"/>
  <c r="I556" i="7"/>
  <c r="J556" i="7"/>
  <c r="K556" i="7"/>
  <c r="L556" i="7"/>
  <c r="M556" i="7"/>
  <c r="N556" i="7"/>
  <c r="O556" i="7"/>
  <c r="U556" i="7" s="1"/>
  <c r="P556" i="7"/>
  <c r="B557" i="7"/>
  <c r="C557" i="7"/>
  <c r="D557" i="7"/>
  <c r="E557" i="7"/>
  <c r="F557" i="7"/>
  <c r="G557" i="7"/>
  <c r="H557" i="7"/>
  <c r="I557" i="7"/>
  <c r="J557" i="7"/>
  <c r="K557" i="7"/>
  <c r="L557" i="7"/>
  <c r="M557" i="7"/>
  <c r="N557" i="7"/>
  <c r="O557" i="7"/>
  <c r="U557" i="7" s="1"/>
  <c r="P557" i="7"/>
  <c r="B558" i="7"/>
  <c r="C558" i="7"/>
  <c r="D558" i="7"/>
  <c r="E558" i="7"/>
  <c r="F558" i="7"/>
  <c r="G558" i="7"/>
  <c r="H558" i="7"/>
  <c r="I558" i="7"/>
  <c r="J558" i="7"/>
  <c r="K558" i="7"/>
  <c r="L558" i="7"/>
  <c r="M558" i="7"/>
  <c r="N558" i="7"/>
  <c r="O558" i="7"/>
  <c r="P558" i="7"/>
  <c r="B559" i="7"/>
  <c r="C559" i="7"/>
  <c r="D559" i="7"/>
  <c r="E559" i="7"/>
  <c r="F559" i="7"/>
  <c r="G559" i="7"/>
  <c r="H559" i="7"/>
  <c r="I559" i="7"/>
  <c r="J559" i="7"/>
  <c r="K559" i="7"/>
  <c r="L559" i="7"/>
  <c r="M559" i="7"/>
  <c r="N559" i="7"/>
  <c r="O559" i="7"/>
  <c r="P559" i="7"/>
  <c r="B560" i="7"/>
  <c r="C560" i="7"/>
  <c r="D560" i="7"/>
  <c r="E560" i="7"/>
  <c r="F560" i="7"/>
  <c r="G560" i="7"/>
  <c r="H560" i="7"/>
  <c r="I560" i="7"/>
  <c r="J560" i="7"/>
  <c r="K560" i="7"/>
  <c r="L560" i="7"/>
  <c r="M560" i="7"/>
  <c r="N560" i="7"/>
  <c r="O560" i="7"/>
  <c r="P560" i="7"/>
  <c r="B561" i="7"/>
  <c r="C561" i="7"/>
  <c r="D561" i="7"/>
  <c r="E561" i="7"/>
  <c r="F561" i="7"/>
  <c r="G561" i="7"/>
  <c r="H561" i="7"/>
  <c r="I561" i="7"/>
  <c r="J561" i="7"/>
  <c r="K561" i="7"/>
  <c r="L561" i="7"/>
  <c r="M561" i="7"/>
  <c r="N561" i="7"/>
  <c r="O561" i="7"/>
  <c r="U561" i="7" s="1"/>
  <c r="P561" i="7"/>
  <c r="B562" i="7"/>
  <c r="C562" i="7"/>
  <c r="D562" i="7"/>
  <c r="E562" i="7"/>
  <c r="F562" i="7"/>
  <c r="G562" i="7"/>
  <c r="H562" i="7"/>
  <c r="I562" i="7"/>
  <c r="J562" i="7"/>
  <c r="K562" i="7"/>
  <c r="L562" i="7"/>
  <c r="M562" i="7"/>
  <c r="N562" i="7"/>
  <c r="O562" i="7"/>
  <c r="P562" i="7"/>
  <c r="B563" i="7"/>
  <c r="C563" i="7"/>
  <c r="D563" i="7"/>
  <c r="E563" i="7"/>
  <c r="F563" i="7"/>
  <c r="G563" i="7"/>
  <c r="H563" i="7"/>
  <c r="I563" i="7"/>
  <c r="J563" i="7"/>
  <c r="K563" i="7"/>
  <c r="L563" i="7"/>
  <c r="M563" i="7"/>
  <c r="N563" i="7"/>
  <c r="O563" i="7"/>
  <c r="U563" i="7" s="1"/>
  <c r="P563" i="7"/>
  <c r="B564" i="7"/>
  <c r="C564" i="7"/>
  <c r="D564" i="7"/>
  <c r="E564" i="7"/>
  <c r="F564" i="7"/>
  <c r="G564" i="7"/>
  <c r="H564" i="7"/>
  <c r="I564" i="7"/>
  <c r="J564" i="7"/>
  <c r="K564" i="7"/>
  <c r="L564" i="7"/>
  <c r="M564" i="7"/>
  <c r="N564" i="7"/>
  <c r="O564" i="7"/>
  <c r="P564" i="7"/>
  <c r="B565" i="7"/>
  <c r="C565" i="7"/>
  <c r="D565" i="7"/>
  <c r="E565" i="7"/>
  <c r="F565" i="7"/>
  <c r="G565" i="7"/>
  <c r="H565" i="7"/>
  <c r="I565" i="7"/>
  <c r="J565" i="7"/>
  <c r="K565" i="7"/>
  <c r="L565" i="7"/>
  <c r="M565" i="7"/>
  <c r="N565" i="7"/>
  <c r="O565" i="7"/>
  <c r="P565" i="7"/>
  <c r="B566" i="7"/>
  <c r="C566" i="7"/>
  <c r="D566" i="7"/>
  <c r="E566" i="7"/>
  <c r="F566" i="7"/>
  <c r="G566" i="7"/>
  <c r="H566" i="7"/>
  <c r="I566" i="7"/>
  <c r="J566" i="7"/>
  <c r="K566" i="7"/>
  <c r="L566" i="7"/>
  <c r="M566" i="7"/>
  <c r="N566" i="7"/>
  <c r="O566" i="7"/>
  <c r="U566" i="7" s="1"/>
  <c r="P566" i="7"/>
  <c r="B567" i="7"/>
  <c r="C567" i="7"/>
  <c r="D567" i="7"/>
  <c r="E567" i="7"/>
  <c r="F567" i="7"/>
  <c r="G567" i="7"/>
  <c r="H567" i="7"/>
  <c r="I567" i="7"/>
  <c r="J567" i="7"/>
  <c r="K567" i="7"/>
  <c r="L567" i="7"/>
  <c r="M567" i="7"/>
  <c r="N567" i="7"/>
  <c r="O567" i="7"/>
  <c r="P567" i="7"/>
  <c r="B568" i="7"/>
  <c r="C568" i="7"/>
  <c r="D568" i="7"/>
  <c r="E568" i="7"/>
  <c r="F568" i="7"/>
  <c r="G568" i="7"/>
  <c r="H568" i="7"/>
  <c r="I568" i="7"/>
  <c r="J568" i="7"/>
  <c r="K568" i="7"/>
  <c r="L568" i="7"/>
  <c r="M568" i="7"/>
  <c r="N568" i="7"/>
  <c r="O568" i="7"/>
  <c r="P568" i="7"/>
  <c r="B569" i="7"/>
  <c r="C569" i="7"/>
  <c r="D569" i="7"/>
  <c r="E569" i="7"/>
  <c r="F569" i="7"/>
  <c r="G569" i="7"/>
  <c r="H569" i="7"/>
  <c r="I569" i="7"/>
  <c r="J569" i="7"/>
  <c r="K569" i="7"/>
  <c r="L569" i="7"/>
  <c r="M569" i="7"/>
  <c r="N569" i="7"/>
  <c r="O569" i="7"/>
  <c r="U569" i="7" s="1"/>
  <c r="P569" i="7"/>
  <c r="B570" i="7"/>
  <c r="C570" i="7"/>
  <c r="D570" i="7"/>
  <c r="E570" i="7"/>
  <c r="F570" i="7"/>
  <c r="G570" i="7"/>
  <c r="H570" i="7"/>
  <c r="I570" i="7"/>
  <c r="J570" i="7"/>
  <c r="K570" i="7"/>
  <c r="L570" i="7"/>
  <c r="M570" i="7"/>
  <c r="N570" i="7"/>
  <c r="O570" i="7"/>
  <c r="U570" i="7" s="1"/>
  <c r="P570" i="7"/>
  <c r="B571" i="7"/>
  <c r="C571" i="7"/>
  <c r="D571" i="7"/>
  <c r="E571" i="7"/>
  <c r="F571" i="7"/>
  <c r="G571" i="7"/>
  <c r="H571" i="7"/>
  <c r="I571" i="7"/>
  <c r="J571" i="7"/>
  <c r="K571" i="7"/>
  <c r="L571" i="7"/>
  <c r="M571" i="7"/>
  <c r="N571" i="7"/>
  <c r="O571" i="7"/>
  <c r="P571" i="7"/>
  <c r="B572" i="7"/>
  <c r="C572" i="7"/>
  <c r="D572" i="7"/>
  <c r="E572" i="7"/>
  <c r="F572" i="7"/>
  <c r="G572" i="7"/>
  <c r="H572" i="7"/>
  <c r="I572" i="7"/>
  <c r="J572" i="7"/>
  <c r="K572" i="7"/>
  <c r="L572" i="7"/>
  <c r="M572" i="7"/>
  <c r="N572" i="7"/>
  <c r="O572" i="7"/>
  <c r="P572" i="7"/>
  <c r="B573" i="7"/>
  <c r="C573" i="7"/>
  <c r="D573" i="7"/>
  <c r="E573" i="7"/>
  <c r="F573" i="7"/>
  <c r="G573" i="7"/>
  <c r="H573" i="7"/>
  <c r="I573" i="7"/>
  <c r="J573" i="7"/>
  <c r="K573" i="7"/>
  <c r="L573" i="7"/>
  <c r="M573" i="7"/>
  <c r="N573" i="7"/>
  <c r="O573" i="7"/>
  <c r="P573" i="7"/>
  <c r="B574" i="7"/>
  <c r="C574" i="7"/>
  <c r="D574" i="7"/>
  <c r="E574" i="7"/>
  <c r="F574" i="7"/>
  <c r="G574" i="7"/>
  <c r="H574" i="7"/>
  <c r="I574" i="7"/>
  <c r="J574" i="7"/>
  <c r="K574" i="7"/>
  <c r="L574" i="7"/>
  <c r="M574" i="7"/>
  <c r="N574" i="7"/>
  <c r="O574" i="7"/>
  <c r="U574" i="7" s="1"/>
  <c r="P574" i="7"/>
  <c r="B575" i="7"/>
  <c r="C575" i="7"/>
  <c r="D575" i="7"/>
  <c r="E575" i="7"/>
  <c r="F575" i="7"/>
  <c r="G575" i="7"/>
  <c r="H575" i="7"/>
  <c r="I575" i="7"/>
  <c r="J575" i="7"/>
  <c r="K575" i="7"/>
  <c r="L575" i="7"/>
  <c r="M575" i="7"/>
  <c r="N575" i="7"/>
  <c r="O575" i="7"/>
  <c r="P575" i="7"/>
  <c r="B576" i="7"/>
  <c r="C576" i="7"/>
  <c r="D576" i="7"/>
  <c r="E576" i="7"/>
  <c r="F576" i="7"/>
  <c r="G576" i="7"/>
  <c r="H576" i="7"/>
  <c r="I576" i="7"/>
  <c r="J576" i="7"/>
  <c r="K576" i="7"/>
  <c r="L576" i="7"/>
  <c r="M576" i="7"/>
  <c r="N576" i="7"/>
  <c r="O576" i="7"/>
  <c r="U576" i="7" s="1"/>
  <c r="P576" i="7"/>
  <c r="B577" i="7"/>
  <c r="C577" i="7"/>
  <c r="D577" i="7"/>
  <c r="E577" i="7"/>
  <c r="F577" i="7"/>
  <c r="G577" i="7"/>
  <c r="H577" i="7"/>
  <c r="I577" i="7"/>
  <c r="J577" i="7"/>
  <c r="K577" i="7"/>
  <c r="L577" i="7"/>
  <c r="M577" i="7"/>
  <c r="N577" i="7"/>
  <c r="O577" i="7"/>
  <c r="U577" i="7" s="1"/>
  <c r="P577" i="7"/>
  <c r="B578" i="7"/>
  <c r="C578" i="7"/>
  <c r="D578" i="7"/>
  <c r="E578" i="7"/>
  <c r="F578" i="7"/>
  <c r="G578" i="7"/>
  <c r="H578" i="7"/>
  <c r="I578" i="7"/>
  <c r="J578" i="7"/>
  <c r="K578" i="7"/>
  <c r="L578" i="7"/>
  <c r="M578" i="7"/>
  <c r="N578" i="7"/>
  <c r="O578" i="7"/>
  <c r="U578" i="7" s="1"/>
  <c r="P578" i="7"/>
  <c r="B579" i="7"/>
  <c r="C579" i="7"/>
  <c r="D579" i="7"/>
  <c r="E579" i="7"/>
  <c r="F579" i="7"/>
  <c r="G579" i="7"/>
  <c r="H579" i="7"/>
  <c r="I579" i="7"/>
  <c r="J579" i="7"/>
  <c r="K579" i="7"/>
  <c r="L579" i="7"/>
  <c r="M579" i="7"/>
  <c r="N579" i="7"/>
  <c r="O579" i="7"/>
  <c r="U579" i="7" s="1"/>
  <c r="P579" i="7"/>
  <c r="B580" i="7"/>
  <c r="C580" i="7"/>
  <c r="D580" i="7"/>
  <c r="E580" i="7"/>
  <c r="F580" i="7"/>
  <c r="G580" i="7"/>
  <c r="H580" i="7"/>
  <c r="I580" i="7"/>
  <c r="J580" i="7"/>
  <c r="K580" i="7"/>
  <c r="L580" i="7"/>
  <c r="M580" i="7"/>
  <c r="N580" i="7"/>
  <c r="O580" i="7"/>
  <c r="P580" i="7"/>
  <c r="B581" i="7"/>
  <c r="C581" i="7"/>
  <c r="D581" i="7"/>
  <c r="E581" i="7"/>
  <c r="F581" i="7"/>
  <c r="G581" i="7"/>
  <c r="H581" i="7"/>
  <c r="I581" i="7"/>
  <c r="J581" i="7"/>
  <c r="K581" i="7"/>
  <c r="L581" i="7"/>
  <c r="M581" i="7"/>
  <c r="N581" i="7"/>
  <c r="O581" i="7"/>
  <c r="P581" i="7"/>
  <c r="B582" i="7"/>
  <c r="C582" i="7"/>
  <c r="D582" i="7"/>
  <c r="E582" i="7"/>
  <c r="F582" i="7"/>
  <c r="G582" i="7"/>
  <c r="H582" i="7"/>
  <c r="I582" i="7"/>
  <c r="J582" i="7"/>
  <c r="K582" i="7"/>
  <c r="L582" i="7"/>
  <c r="M582" i="7"/>
  <c r="N582" i="7"/>
  <c r="O582" i="7"/>
  <c r="U582" i="7" s="1"/>
  <c r="P582" i="7"/>
  <c r="B583" i="7"/>
  <c r="C583" i="7"/>
  <c r="D583" i="7"/>
  <c r="E583" i="7"/>
  <c r="F583" i="7"/>
  <c r="G583" i="7"/>
  <c r="H583" i="7"/>
  <c r="I583" i="7"/>
  <c r="J583" i="7"/>
  <c r="K583" i="7"/>
  <c r="L583" i="7"/>
  <c r="M583" i="7"/>
  <c r="N583" i="7"/>
  <c r="O583" i="7"/>
  <c r="P583" i="7"/>
  <c r="B584" i="7"/>
  <c r="C584" i="7"/>
  <c r="D584" i="7"/>
  <c r="E584" i="7"/>
  <c r="F584" i="7"/>
  <c r="G584" i="7"/>
  <c r="H584" i="7"/>
  <c r="I584" i="7"/>
  <c r="J584" i="7"/>
  <c r="K584" i="7"/>
  <c r="L584" i="7"/>
  <c r="M584" i="7"/>
  <c r="N584" i="7"/>
  <c r="O584" i="7"/>
  <c r="P584" i="7"/>
  <c r="B585" i="7"/>
  <c r="C585" i="7"/>
  <c r="D585" i="7"/>
  <c r="E585" i="7"/>
  <c r="F585" i="7"/>
  <c r="G585" i="7"/>
  <c r="H585" i="7"/>
  <c r="I585" i="7"/>
  <c r="J585" i="7"/>
  <c r="K585" i="7"/>
  <c r="L585" i="7"/>
  <c r="M585" i="7"/>
  <c r="N585" i="7"/>
  <c r="O585" i="7"/>
  <c r="U585" i="7" s="1"/>
  <c r="P585" i="7"/>
  <c r="B586" i="7"/>
  <c r="C586" i="7"/>
  <c r="D586" i="7"/>
  <c r="E586" i="7"/>
  <c r="F586" i="7"/>
  <c r="G586" i="7"/>
  <c r="H586" i="7"/>
  <c r="I586" i="7"/>
  <c r="J586" i="7"/>
  <c r="K586" i="7"/>
  <c r="L586" i="7"/>
  <c r="M586" i="7"/>
  <c r="N586" i="7"/>
  <c r="O586" i="7"/>
  <c r="P586" i="7"/>
  <c r="B587" i="7"/>
  <c r="C587" i="7"/>
  <c r="D587" i="7"/>
  <c r="E587" i="7"/>
  <c r="F587" i="7"/>
  <c r="G587" i="7"/>
  <c r="H587" i="7"/>
  <c r="I587" i="7"/>
  <c r="J587" i="7"/>
  <c r="K587" i="7"/>
  <c r="L587" i="7"/>
  <c r="M587" i="7"/>
  <c r="N587" i="7"/>
  <c r="O587" i="7"/>
  <c r="U587" i="7" s="1"/>
  <c r="P587" i="7"/>
  <c r="B588" i="7"/>
  <c r="C588" i="7"/>
  <c r="D588" i="7"/>
  <c r="E588" i="7"/>
  <c r="F588" i="7"/>
  <c r="G588" i="7"/>
  <c r="H588" i="7"/>
  <c r="I588" i="7"/>
  <c r="J588" i="7"/>
  <c r="K588" i="7"/>
  <c r="L588" i="7"/>
  <c r="M588" i="7"/>
  <c r="N588" i="7"/>
  <c r="O588" i="7"/>
  <c r="U588" i="7" s="1"/>
  <c r="P588" i="7"/>
  <c r="B589" i="7"/>
  <c r="C589" i="7"/>
  <c r="D589" i="7"/>
  <c r="E589" i="7"/>
  <c r="F589" i="7"/>
  <c r="G589" i="7"/>
  <c r="H589" i="7"/>
  <c r="I589" i="7"/>
  <c r="J589" i="7"/>
  <c r="K589" i="7"/>
  <c r="L589" i="7"/>
  <c r="M589" i="7"/>
  <c r="N589" i="7"/>
  <c r="O589" i="7"/>
  <c r="U589" i="7" s="1"/>
  <c r="P589" i="7"/>
  <c r="B590" i="7"/>
  <c r="C590" i="7"/>
  <c r="D590" i="7"/>
  <c r="E590" i="7"/>
  <c r="F590" i="7"/>
  <c r="G590" i="7"/>
  <c r="H590" i="7"/>
  <c r="I590" i="7"/>
  <c r="J590" i="7"/>
  <c r="K590" i="7"/>
  <c r="L590" i="7"/>
  <c r="M590" i="7"/>
  <c r="N590" i="7"/>
  <c r="O590" i="7"/>
  <c r="P590" i="7"/>
  <c r="B591" i="7"/>
  <c r="C591" i="7"/>
  <c r="D591" i="7"/>
  <c r="E591" i="7"/>
  <c r="F591" i="7"/>
  <c r="G591" i="7"/>
  <c r="H591" i="7"/>
  <c r="I591" i="7"/>
  <c r="J591" i="7"/>
  <c r="K591" i="7"/>
  <c r="L591" i="7"/>
  <c r="M591" i="7"/>
  <c r="N591" i="7"/>
  <c r="O591" i="7"/>
  <c r="U591" i="7" s="1"/>
  <c r="P591" i="7"/>
  <c r="B592" i="7"/>
  <c r="C592" i="7"/>
  <c r="D592" i="7"/>
  <c r="E592" i="7"/>
  <c r="F592" i="7"/>
  <c r="G592" i="7"/>
  <c r="H592" i="7"/>
  <c r="I592" i="7"/>
  <c r="J592" i="7"/>
  <c r="K592" i="7"/>
  <c r="L592" i="7"/>
  <c r="M592" i="7"/>
  <c r="N592" i="7"/>
  <c r="O592" i="7"/>
  <c r="P592" i="7"/>
  <c r="B593" i="7"/>
  <c r="C593" i="7"/>
  <c r="D593" i="7"/>
  <c r="E593" i="7"/>
  <c r="F593" i="7"/>
  <c r="G593" i="7"/>
  <c r="H593" i="7"/>
  <c r="I593" i="7"/>
  <c r="J593" i="7"/>
  <c r="K593" i="7"/>
  <c r="L593" i="7"/>
  <c r="M593" i="7"/>
  <c r="N593" i="7"/>
  <c r="O593" i="7"/>
  <c r="U593" i="7" s="1"/>
  <c r="P593" i="7"/>
  <c r="B594" i="7"/>
  <c r="C594" i="7"/>
  <c r="D594" i="7"/>
  <c r="E594" i="7"/>
  <c r="F594" i="7"/>
  <c r="G594" i="7"/>
  <c r="H594" i="7"/>
  <c r="I594" i="7"/>
  <c r="J594" i="7"/>
  <c r="K594" i="7"/>
  <c r="L594" i="7"/>
  <c r="M594" i="7"/>
  <c r="N594" i="7"/>
  <c r="O594" i="7"/>
  <c r="P594" i="7"/>
  <c r="B595" i="7"/>
  <c r="C595" i="7"/>
  <c r="D595" i="7"/>
  <c r="E595" i="7"/>
  <c r="F595" i="7"/>
  <c r="G595" i="7"/>
  <c r="H595" i="7"/>
  <c r="I595" i="7"/>
  <c r="J595" i="7"/>
  <c r="K595" i="7"/>
  <c r="L595" i="7"/>
  <c r="M595" i="7"/>
  <c r="N595" i="7"/>
  <c r="O595" i="7"/>
  <c r="P595" i="7"/>
  <c r="B596" i="7"/>
  <c r="C596" i="7"/>
  <c r="D596" i="7"/>
  <c r="E596" i="7"/>
  <c r="F596" i="7"/>
  <c r="G596" i="7"/>
  <c r="H596" i="7"/>
  <c r="I596" i="7"/>
  <c r="J596" i="7"/>
  <c r="K596" i="7"/>
  <c r="L596" i="7"/>
  <c r="M596" i="7"/>
  <c r="N596" i="7"/>
  <c r="O596" i="7"/>
  <c r="U596" i="7" s="1"/>
  <c r="P596" i="7"/>
  <c r="B597" i="7"/>
  <c r="C597" i="7"/>
  <c r="D597" i="7"/>
  <c r="E597" i="7"/>
  <c r="F597" i="7"/>
  <c r="G597" i="7"/>
  <c r="H597" i="7"/>
  <c r="I597" i="7"/>
  <c r="J597" i="7"/>
  <c r="K597" i="7"/>
  <c r="L597" i="7"/>
  <c r="M597" i="7"/>
  <c r="N597" i="7"/>
  <c r="O597" i="7"/>
  <c r="U597" i="7" s="1"/>
  <c r="P597" i="7"/>
  <c r="B598" i="7"/>
  <c r="C598" i="7"/>
  <c r="D598" i="7"/>
  <c r="E598" i="7"/>
  <c r="F598" i="7"/>
  <c r="G598" i="7"/>
  <c r="H598" i="7"/>
  <c r="I598" i="7"/>
  <c r="J598" i="7"/>
  <c r="K598" i="7"/>
  <c r="L598" i="7"/>
  <c r="M598" i="7"/>
  <c r="N598" i="7"/>
  <c r="O598" i="7"/>
  <c r="P598" i="7"/>
  <c r="B599" i="7"/>
  <c r="C599" i="7"/>
  <c r="D599" i="7"/>
  <c r="E599" i="7"/>
  <c r="F599" i="7"/>
  <c r="G599" i="7"/>
  <c r="H599" i="7"/>
  <c r="I599" i="7"/>
  <c r="J599" i="7"/>
  <c r="K599" i="7"/>
  <c r="L599" i="7"/>
  <c r="M599" i="7"/>
  <c r="N599" i="7"/>
  <c r="O599" i="7"/>
  <c r="U599" i="7" s="1"/>
  <c r="P599" i="7"/>
  <c r="B600" i="7"/>
  <c r="C600" i="7"/>
  <c r="D600" i="7"/>
  <c r="E600" i="7"/>
  <c r="F600" i="7"/>
  <c r="G600" i="7"/>
  <c r="H600" i="7"/>
  <c r="I600" i="7"/>
  <c r="J600" i="7"/>
  <c r="K600" i="7"/>
  <c r="L600" i="7"/>
  <c r="M600" i="7"/>
  <c r="N600" i="7"/>
  <c r="O600" i="7"/>
  <c r="P600" i="7"/>
  <c r="B601" i="7"/>
  <c r="C601" i="7"/>
  <c r="D601" i="7"/>
  <c r="E601" i="7"/>
  <c r="F601" i="7"/>
  <c r="G601" i="7"/>
  <c r="H601" i="7"/>
  <c r="I601" i="7"/>
  <c r="J601" i="7"/>
  <c r="K601" i="7"/>
  <c r="L601" i="7"/>
  <c r="M601" i="7"/>
  <c r="N601" i="7"/>
  <c r="O601" i="7"/>
  <c r="U601" i="7" s="1"/>
  <c r="P601" i="7"/>
  <c r="B602" i="7"/>
  <c r="C602" i="7"/>
  <c r="D602" i="7"/>
  <c r="E602" i="7"/>
  <c r="F602" i="7"/>
  <c r="G602" i="7"/>
  <c r="H602" i="7"/>
  <c r="I602" i="7"/>
  <c r="J602" i="7"/>
  <c r="K602" i="7"/>
  <c r="L602" i="7"/>
  <c r="M602" i="7"/>
  <c r="N602" i="7"/>
  <c r="O602" i="7"/>
  <c r="P602" i="7"/>
  <c r="B603" i="7"/>
  <c r="C603" i="7"/>
  <c r="D603" i="7"/>
  <c r="E603" i="7"/>
  <c r="F603" i="7"/>
  <c r="G603" i="7"/>
  <c r="H603" i="7"/>
  <c r="I603" i="7"/>
  <c r="J603" i="7"/>
  <c r="K603" i="7"/>
  <c r="L603" i="7"/>
  <c r="M603" i="7"/>
  <c r="N603" i="7"/>
  <c r="O603" i="7"/>
  <c r="P603" i="7"/>
  <c r="B604" i="7"/>
  <c r="C604" i="7"/>
  <c r="D604" i="7"/>
  <c r="E604" i="7"/>
  <c r="F604" i="7"/>
  <c r="G604" i="7"/>
  <c r="H604" i="7"/>
  <c r="I604" i="7"/>
  <c r="J604" i="7"/>
  <c r="K604" i="7"/>
  <c r="L604" i="7"/>
  <c r="M604" i="7"/>
  <c r="N604" i="7"/>
  <c r="O604" i="7"/>
  <c r="P604" i="7"/>
  <c r="B605" i="7"/>
  <c r="C605" i="7"/>
  <c r="D605" i="7"/>
  <c r="E605" i="7"/>
  <c r="F605" i="7"/>
  <c r="G605" i="7"/>
  <c r="H605" i="7"/>
  <c r="I605" i="7"/>
  <c r="J605" i="7"/>
  <c r="K605" i="7"/>
  <c r="L605" i="7"/>
  <c r="M605" i="7"/>
  <c r="N605" i="7"/>
  <c r="O605" i="7"/>
  <c r="U605" i="7" s="1"/>
  <c r="P605" i="7"/>
  <c r="B606" i="7"/>
  <c r="C606" i="7"/>
  <c r="D606" i="7"/>
  <c r="E606" i="7"/>
  <c r="F606" i="7"/>
  <c r="G606" i="7"/>
  <c r="H606" i="7"/>
  <c r="I606" i="7"/>
  <c r="J606" i="7"/>
  <c r="K606" i="7"/>
  <c r="L606" i="7"/>
  <c r="M606" i="7"/>
  <c r="N606" i="7"/>
  <c r="O606" i="7"/>
  <c r="U606" i="7" s="1"/>
  <c r="P606" i="7"/>
  <c r="B607" i="7"/>
  <c r="C607" i="7"/>
  <c r="D607" i="7"/>
  <c r="E607" i="7"/>
  <c r="F607" i="7"/>
  <c r="G607" i="7"/>
  <c r="H607" i="7"/>
  <c r="I607" i="7"/>
  <c r="J607" i="7"/>
  <c r="K607" i="7"/>
  <c r="L607" i="7"/>
  <c r="M607" i="7"/>
  <c r="N607" i="7"/>
  <c r="O607" i="7"/>
  <c r="U607" i="7" s="1"/>
  <c r="P607" i="7"/>
  <c r="B608" i="7"/>
  <c r="C608" i="7"/>
  <c r="D608" i="7"/>
  <c r="E608" i="7"/>
  <c r="F608" i="7"/>
  <c r="G608" i="7"/>
  <c r="H608" i="7"/>
  <c r="I608" i="7"/>
  <c r="J608" i="7"/>
  <c r="K608" i="7"/>
  <c r="L608" i="7"/>
  <c r="M608" i="7"/>
  <c r="N608" i="7"/>
  <c r="O608" i="7"/>
  <c r="U608" i="7" s="1"/>
  <c r="P608" i="7"/>
  <c r="B609" i="7"/>
  <c r="C609" i="7"/>
  <c r="D609" i="7"/>
  <c r="E609" i="7"/>
  <c r="F609" i="7"/>
  <c r="G609" i="7"/>
  <c r="H609" i="7"/>
  <c r="I609" i="7"/>
  <c r="J609" i="7"/>
  <c r="K609" i="7"/>
  <c r="L609" i="7"/>
  <c r="M609" i="7"/>
  <c r="N609" i="7"/>
  <c r="O609" i="7"/>
  <c r="U609" i="7" s="1"/>
  <c r="P609" i="7"/>
  <c r="B610" i="7"/>
  <c r="C610" i="7"/>
  <c r="D610" i="7"/>
  <c r="E610" i="7"/>
  <c r="F610" i="7"/>
  <c r="G610" i="7"/>
  <c r="H610" i="7"/>
  <c r="I610" i="7"/>
  <c r="J610" i="7"/>
  <c r="K610" i="7"/>
  <c r="L610" i="7"/>
  <c r="M610" i="7"/>
  <c r="N610" i="7"/>
  <c r="O610" i="7"/>
  <c r="U610" i="7" s="1"/>
  <c r="P610" i="7"/>
  <c r="B611" i="7"/>
  <c r="C611" i="7"/>
  <c r="D611" i="7"/>
  <c r="E611" i="7"/>
  <c r="F611" i="7"/>
  <c r="G611" i="7"/>
  <c r="H611" i="7"/>
  <c r="I611" i="7"/>
  <c r="J611" i="7"/>
  <c r="K611" i="7"/>
  <c r="L611" i="7"/>
  <c r="M611" i="7"/>
  <c r="N611" i="7"/>
  <c r="O611" i="7"/>
  <c r="P611" i="7"/>
  <c r="B612" i="7"/>
  <c r="C612" i="7"/>
  <c r="D612" i="7"/>
  <c r="E612" i="7"/>
  <c r="F612" i="7"/>
  <c r="G612" i="7"/>
  <c r="H612" i="7"/>
  <c r="I612" i="7"/>
  <c r="J612" i="7"/>
  <c r="K612" i="7"/>
  <c r="L612" i="7"/>
  <c r="M612" i="7"/>
  <c r="N612" i="7"/>
  <c r="O612" i="7"/>
  <c r="P612" i="7"/>
  <c r="B613" i="7"/>
  <c r="C613" i="7"/>
  <c r="D613" i="7"/>
  <c r="E613" i="7"/>
  <c r="F613" i="7"/>
  <c r="G613" i="7"/>
  <c r="H613" i="7"/>
  <c r="I613" i="7"/>
  <c r="J613" i="7"/>
  <c r="K613" i="7"/>
  <c r="L613" i="7"/>
  <c r="M613" i="7"/>
  <c r="N613" i="7"/>
  <c r="O613" i="7"/>
  <c r="U613" i="7" s="1"/>
  <c r="P613" i="7"/>
  <c r="B614" i="7"/>
  <c r="C614" i="7"/>
  <c r="D614" i="7"/>
  <c r="E614" i="7"/>
  <c r="F614" i="7"/>
  <c r="G614" i="7"/>
  <c r="H614" i="7"/>
  <c r="I614" i="7"/>
  <c r="J614" i="7"/>
  <c r="K614" i="7"/>
  <c r="L614" i="7"/>
  <c r="M614" i="7"/>
  <c r="N614" i="7"/>
  <c r="O614" i="7"/>
  <c r="U614" i="7" s="1"/>
  <c r="P614" i="7"/>
  <c r="B615" i="7"/>
  <c r="C615" i="7"/>
  <c r="D615" i="7"/>
  <c r="E615" i="7"/>
  <c r="F615" i="7"/>
  <c r="G615" i="7"/>
  <c r="H615" i="7"/>
  <c r="I615" i="7"/>
  <c r="J615" i="7"/>
  <c r="K615" i="7"/>
  <c r="L615" i="7"/>
  <c r="M615" i="7"/>
  <c r="N615" i="7"/>
  <c r="O615" i="7"/>
  <c r="U615" i="7" s="1"/>
  <c r="P615" i="7"/>
  <c r="B616" i="7"/>
  <c r="C616" i="7"/>
  <c r="D616" i="7"/>
  <c r="E616" i="7"/>
  <c r="F616" i="7"/>
  <c r="G616" i="7"/>
  <c r="H616" i="7"/>
  <c r="I616" i="7"/>
  <c r="J616" i="7"/>
  <c r="K616" i="7"/>
  <c r="L616" i="7"/>
  <c r="M616" i="7"/>
  <c r="N616" i="7"/>
  <c r="O616" i="7"/>
  <c r="U616" i="7" s="1"/>
  <c r="P616" i="7"/>
  <c r="B617" i="7"/>
  <c r="C617" i="7"/>
  <c r="D617" i="7"/>
  <c r="E617" i="7"/>
  <c r="F617" i="7"/>
  <c r="G617" i="7"/>
  <c r="H617" i="7"/>
  <c r="I617" i="7"/>
  <c r="J617" i="7"/>
  <c r="K617" i="7"/>
  <c r="L617" i="7"/>
  <c r="M617" i="7"/>
  <c r="N617" i="7"/>
  <c r="O617" i="7"/>
  <c r="U617" i="7" s="1"/>
  <c r="P617" i="7"/>
  <c r="B618" i="7"/>
  <c r="C618" i="7"/>
  <c r="D618" i="7"/>
  <c r="E618" i="7"/>
  <c r="F618" i="7"/>
  <c r="G618" i="7"/>
  <c r="H618" i="7"/>
  <c r="I618" i="7"/>
  <c r="J618" i="7"/>
  <c r="K618" i="7"/>
  <c r="L618" i="7"/>
  <c r="M618" i="7"/>
  <c r="N618" i="7"/>
  <c r="O618" i="7"/>
  <c r="U618" i="7" s="1"/>
  <c r="P618" i="7"/>
  <c r="B619" i="7"/>
  <c r="C619" i="7"/>
  <c r="D619" i="7"/>
  <c r="E619" i="7"/>
  <c r="F619" i="7"/>
  <c r="G619" i="7"/>
  <c r="H619" i="7"/>
  <c r="I619" i="7"/>
  <c r="J619" i="7"/>
  <c r="K619" i="7"/>
  <c r="L619" i="7"/>
  <c r="M619" i="7"/>
  <c r="N619" i="7"/>
  <c r="O619" i="7"/>
  <c r="P619" i="7"/>
  <c r="B620" i="7"/>
  <c r="C620" i="7"/>
  <c r="D620" i="7"/>
  <c r="E620" i="7"/>
  <c r="F620" i="7"/>
  <c r="G620" i="7"/>
  <c r="H620" i="7"/>
  <c r="I620" i="7"/>
  <c r="J620" i="7"/>
  <c r="K620" i="7"/>
  <c r="L620" i="7"/>
  <c r="M620" i="7"/>
  <c r="N620" i="7"/>
  <c r="O620" i="7"/>
  <c r="P620" i="7"/>
  <c r="B621" i="7"/>
  <c r="C621" i="7"/>
  <c r="D621" i="7"/>
  <c r="E621" i="7"/>
  <c r="F621" i="7"/>
  <c r="G621" i="7"/>
  <c r="H621" i="7"/>
  <c r="I621" i="7"/>
  <c r="J621" i="7"/>
  <c r="K621" i="7"/>
  <c r="L621" i="7"/>
  <c r="M621" i="7"/>
  <c r="N621" i="7"/>
  <c r="O621" i="7"/>
  <c r="U621" i="7" s="1"/>
  <c r="P621" i="7"/>
  <c r="B622" i="7"/>
  <c r="C622" i="7"/>
  <c r="D622" i="7"/>
  <c r="E622" i="7"/>
  <c r="F622" i="7"/>
  <c r="G622" i="7"/>
  <c r="H622" i="7"/>
  <c r="I622" i="7"/>
  <c r="J622" i="7"/>
  <c r="K622" i="7"/>
  <c r="L622" i="7"/>
  <c r="M622" i="7"/>
  <c r="N622" i="7"/>
  <c r="O622" i="7"/>
  <c r="U622" i="7" s="1"/>
  <c r="P622" i="7"/>
  <c r="B623" i="7"/>
  <c r="C623" i="7"/>
  <c r="D623" i="7"/>
  <c r="E623" i="7"/>
  <c r="F623" i="7"/>
  <c r="G623" i="7"/>
  <c r="H623" i="7"/>
  <c r="I623" i="7"/>
  <c r="J623" i="7"/>
  <c r="K623" i="7"/>
  <c r="L623" i="7"/>
  <c r="M623" i="7"/>
  <c r="N623" i="7"/>
  <c r="O623" i="7"/>
  <c r="U623" i="7" s="1"/>
  <c r="P623" i="7"/>
  <c r="B624" i="7"/>
  <c r="C624" i="7"/>
  <c r="D624" i="7"/>
  <c r="E624" i="7"/>
  <c r="F624" i="7"/>
  <c r="G624" i="7"/>
  <c r="H624" i="7"/>
  <c r="I624" i="7"/>
  <c r="J624" i="7"/>
  <c r="K624" i="7"/>
  <c r="L624" i="7"/>
  <c r="M624" i="7"/>
  <c r="N624" i="7"/>
  <c r="O624" i="7"/>
  <c r="U624" i="7" s="1"/>
  <c r="P624" i="7"/>
  <c r="B625" i="7"/>
  <c r="C625" i="7"/>
  <c r="D625" i="7"/>
  <c r="E625" i="7"/>
  <c r="F625" i="7"/>
  <c r="G625" i="7"/>
  <c r="H625" i="7"/>
  <c r="I625" i="7"/>
  <c r="J625" i="7"/>
  <c r="K625" i="7"/>
  <c r="L625" i="7"/>
  <c r="M625" i="7"/>
  <c r="N625" i="7"/>
  <c r="O625" i="7"/>
  <c r="U625" i="7" s="1"/>
  <c r="P625" i="7"/>
  <c r="B626" i="7"/>
  <c r="C626" i="7"/>
  <c r="D626" i="7"/>
  <c r="E626" i="7"/>
  <c r="F626" i="7"/>
  <c r="G626" i="7"/>
  <c r="H626" i="7"/>
  <c r="I626" i="7"/>
  <c r="J626" i="7"/>
  <c r="K626" i="7"/>
  <c r="L626" i="7"/>
  <c r="M626" i="7"/>
  <c r="N626" i="7"/>
  <c r="O626" i="7"/>
  <c r="U626" i="7" s="1"/>
  <c r="P626" i="7"/>
  <c r="B627" i="7"/>
  <c r="C627" i="7"/>
  <c r="D627" i="7"/>
  <c r="E627" i="7"/>
  <c r="F627" i="7"/>
  <c r="G627" i="7"/>
  <c r="H627" i="7"/>
  <c r="I627" i="7"/>
  <c r="J627" i="7"/>
  <c r="K627" i="7"/>
  <c r="L627" i="7"/>
  <c r="M627" i="7"/>
  <c r="N627" i="7"/>
  <c r="O627" i="7"/>
  <c r="P627" i="7"/>
  <c r="B628" i="7"/>
  <c r="C628" i="7"/>
  <c r="D628" i="7"/>
  <c r="E628" i="7"/>
  <c r="F628" i="7"/>
  <c r="G628" i="7"/>
  <c r="H628" i="7"/>
  <c r="I628" i="7"/>
  <c r="J628" i="7"/>
  <c r="K628" i="7"/>
  <c r="L628" i="7"/>
  <c r="M628" i="7"/>
  <c r="N628" i="7"/>
  <c r="O628" i="7"/>
  <c r="P628" i="7"/>
  <c r="B629" i="7"/>
  <c r="C629" i="7"/>
  <c r="D629" i="7"/>
  <c r="E629" i="7"/>
  <c r="F629" i="7"/>
  <c r="G629" i="7"/>
  <c r="H629" i="7"/>
  <c r="I629" i="7"/>
  <c r="J629" i="7"/>
  <c r="K629" i="7"/>
  <c r="L629" i="7"/>
  <c r="M629" i="7"/>
  <c r="N629" i="7"/>
  <c r="O629" i="7"/>
  <c r="U629" i="7" s="1"/>
  <c r="P629" i="7"/>
  <c r="B630" i="7"/>
  <c r="C630" i="7"/>
  <c r="D630" i="7"/>
  <c r="E630" i="7"/>
  <c r="F630" i="7"/>
  <c r="G630" i="7"/>
  <c r="H630" i="7"/>
  <c r="I630" i="7"/>
  <c r="J630" i="7"/>
  <c r="K630" i="7"/>
  <c r="L630" i="7"/>
  <c r="M630" i="7"/>
  <c r="N630" i="7"/>
  <c r="O630" i="7"/>
  <c r="U630" i="7" s="1"/>
  <c r="P630" i="7"/>
  <c r="B631" i="7"/>
  <c r="C631" i="7"/>
  <c r="D631" i="7"/>
  <c r="E631" i="7"/>
  <c r="F631" i="7"/>
  <c r="G631" i="7"/>
  <c r="H631" i="7"/>
  <c r="I631" i="7"/>
  <c r="J631" i="7"/>
  <c r="K631" i="7"/>
  <c r="L631" i="7"/>
  <c r="M631" i="7"/>
  <c r="N631" i="7"/>
  <c r="O631" i="7"/>
  <c r="U631" i="7" s="1"/>
  <c r="P631" i="7"/>
  <c r="B632" i="7"/>
  <c r="C632" i="7"/>
  <c r="D632" i="7"/>
  <c r="E632" i="7"/>
  <c r="F632" i="7"/>
  <c r="G632" i="7"/>
  <c r="H632" i="7"/>
  <c r="I632" i="7"/>
  <c r="J632" i="7"/>
  <c r="K632" i="7"/>
  <c r="L632" i="7"/>
  <c r="M632" i="7"/>
  <c r="N632" i="7"/>
  <c r="O632" i="7"/>
  <c r="U632" i="7" s="1"/>
  <c r="P632" i="7"/>
  <c r="B633" i="7"/>
  <c r="C633" i="7"/>
  <c r="D633" i="7"/>
  <c r="E633" i="7"/>
  <c r="F633" i="7"/>
  <c r="G633" i="7"/>
  <c r="H633" i="7"/>
  <c r="I633" i="7"/>
  <c r="J633" i="7"/>
  <c r="K633" i="7"/>
  <c r="L633" i="7"/>
  <c r="M633" i="7"/>
  <c r="N633" i="7"/>
  <c r="O633" i="7"/>
  <c r="U633" i="7" s="1"/>
  <c r="P633" i="7"/>
  <c r="B634" i="7"/>
  <c r="C634" i="7"/>
  <c r="D634" i="7"/>
  <c r="E634" i="7"/>
  <c r="F634" i="7"/>
  <c r="G634" i="7"/>
  <c r="H634" i="7"/>
  <c r="I634" i="7"/>
  <c r="J634" i="7"/>
  <c r="K634" i="7"/>
  <c r="L634" i="7"/>
  <c r="M634" i="7"/>
  <c r="N634" i="7"/>
  <c r="O634" i="7"/>
  <c r="U634" i="7" s="1"/>
  <c r="P634" i="7"/>
  <c r="B635" i="7"/>
  <c r="C635" i="7"/>
  <c r="D635" i="7"/>
  <c r="E635" i="7"/>
  <c r="F635" i="7"/>
  <c r="G635" i="7"/>
  <c r="H635" i="7"/>
  <c r="I635" i="7"/>
  <c r="J635" i="7"/>
  <c r="K635" i="7"/>
  <c r="L635" i="7"/>
  <c r="M635" i="7"/>
  <c r="N635" i="7"/>
  <c r="O635" i="7"/>
  <c r="P635" i="7"/>
  <c r="B636" i="7"/>
  <c r="C636" i="7"/>
  <c r="D636" i="7"/>
  <c r="E636" i="7"/>
  <c r="F636" i="7"/>
  <c r="G636" i="7"/>
  <c r="H636" i="7"/>
  <c r="I636" i="7"/>
  <c r="J636" i="7"/>
  <c r="K636" i="7"/>
  <c r="L636" i="7"/>
  <c r="M636" i="7"/>
  <c r="N636" i="7"/>
  <c r="O636" i="7"/>
  <c r="U636" i="7" s="1"/>
  <c r="P636" i="7"/>
  <c r="B637" i="7"/>
  <c r="C637" i="7"/>
  <c r="D637" i="7"/>
  <c r="E637" i="7"/>
  <c r="F637" i="7"/>
  <c r="G637" i="7"/>
  <c r="H637" i="7"/>
  <c r="I637" i="7"/>
  <c r="J637" i="7"/>
  <c r="K637" i="7"/>
  <c r="L637" i="7"/>
  <c r="M637" i="7"/>
  <c r="N637" i="7"/>
  <c r="O637" i="7"/>
  <c r="U637" i="7" s="1"/>
  <c r="P637" i="7"/>
  <c r="B638" i="7"/>
  <c r="C638" i="7"/>
  <c r="D638" i="7"/>
  <c r="E638" i="7"/>
  <c r="F638" i="7"/>
  <c r="G638" i="7"/>
  <c r="H638" i="7"/>
  <c r="I638" i="7"/>
  <c r="J638" i="7"/>
  <c r="K638" i="7"/>
  <c r="L638" i="7"/>
  <c r="M638" i="7"/>
  <c r="N638" i="7"/>
  <c r="O638" i="7"/>
  <c r="U638" i="7" s="1"/>
  <c r="P638" i="7"/>
  <c r="B639" i="7"/>
  <c r="C639" i="7"/>
  <c r="D639" i="7"/>
  <c r="E639" i="7"/>
  <c r="F639" i="7"/>
  <c r="G639" i="7"/>
  <c r="H639" i="7"/>
  <c r="I639" i="7"/>
  <c r="J639" i="7"/>
  <c r="K639" i="7"/>
  <c r="L639" i="7"/>
  <c r="M639" i="7"/>
  <c r="N639" i="7"/>
  <c r="O639" i="7"/>
  <c r="U639" i="7" s="1"/>
  <c r="P639" i="7"/>
  <c r="B640" i="7"/>
  <c r="C640" i="7"/>
  <c r="D640" i="7"/>
  <c r="E640" i="7"/>
  <c r="F640" i="7"/>
  <c r="G640" i="7"/>
  <c r="H640" i="7"/>
  <c r="I640" i="7"/>
  <c r="J640" i="7"/>
  <c r="K640" i="7"/>
  <c r="L640" i="7"/>
  <c r="M640" i="7"/>
  <c r="N640" i="7"/>
  <c r="O640" i="7"/>
  <c r="U640" i="7" s="1"/>
  <c r="P640" i="7"/>
  <c r="B641" i="7"/>
  <c r="C641" i="7"/>
  <c r="D641" i="7"/>
  <c r="E641" i="7"/>
  <c r="F641" i="7"/>
  <c r="G641" i="7"/>
  <c r="H641" i="7"/>
  <c r="I641" i="7"/>
  <c r="J641" i="7"/>
  <c r="K641" i="7"/>
  <c r="L641" i="7"/>
  <c r="M641" i="7"/>
  <c r="N641" i="7"/>
  <c r="O641" i="7"/>
  <c r="U641" i="7" s="1"/>
  <c r="P641" i="7"/>
  <c r="B642" i="7"/>
  <c r="C642" i="7"/>
  <c r="D642" i="7"/>
  <c r="E642" i="7"/>
  <c r="F642" i="7"/>
  <c r="G642" i="7"/>
  <c r="H642" i="7"/>
  <c r="I642" i="7"/>
  <c r="J642" i="7"/>
  <c r="K642" i="7"/>
  <c r="L642" i="7"/>
  <c r="M642" i="7"/>
  <c r="N642" i="7"/>
  <c r="O642" i="7"/>
  <c r="U642" i="7" s="1"/>
  <c r="P642" i="7"/>
  <c r="B643" i="7"/>
  <c r="C643" i="7"/>
  <c r="D643" i="7"/>
  <c r="E643" i="7"/>
  <c r="F643" i="7"/>
  <c r="G643" i="7"/>
  <c r="H643" i="7"/>
  <c r="I643" i="7"/>
  <c r="J643" i="7"/>
  <c r="K643" i="7"/>
  <c r="L643" i="7"/>
  <c r="M643" i="7"/>
  <c r="N643" i="7"/>
  <c r="O643" i="7"/>
  <c r="P643" i="7"/>
  <c r="B644" i="7"/>
  <c r="C644" i="7"/>
  <c r="D644" i="7"/>
  <c r="E644" i="7"/>
  <c r="F644" i="7"/>
  <c r="G644" i="7"/>
  <c r="H644" i="7"/>
  <c r="I644" i="7"/>
  <c r="J644" i="7"/>
  <c r="K644" i="7"/>
  <c r="L644" i="7"/>
  <c r="M644" i="7"/>
  <c r="N644" i="7"/>
  <c r="O644" i="7"/>
  <c r="U644" i="7" s="1"/>
  <c r="P644" i="7"/>
  <c r="B645" i="7"/>
  <c r="C645" i="7"/>
  <c r="D645" i="7"/>
  <c r="E645" i="7"/>
  <c r="F645" i="7"/>
  <c r="G645" i="7"/>
  <c r="H645" i="7"/>
  <c r="I645" i="7"/>
  <c r="J645" i="7"/>
  <c r="K645" i="7"/>
  <c r="L645" i="7"/>
  <c r="M645" i="7"/>
  <c r="N645" i="7"/>
  <c r="O645" i="7"/>
  <c r="U645" i="7" s="1"/>
  <c r="P645" i="7"/>
  <c r="B646" i="7"/>
  <c r="C646" i="7"/>
  <c r="D646" i="7"/>
  <c r="E646" i="7"/>
  <c r="F646" i="7"/>
  <c r="G646" i="7"/>
  <c r="H646" i="7"/>
  <c r="I646" i="7"/>
  <c r="J646" i="7"/>
  <c r="K646" i="7"/>
  <c r="L646" i="7"/>
  <c r="M646" i="7"/>
  <c r="N646" i="7"/>
  <c r="O646" i="7"/>
  <c r="P646" i="7"/>
  <c r="B647" i="7"/>
  <c r="C647" i="7"/>
  <c r="D647" i="7"/>
  <c r="E647" i="7"/>
  <c r="F647" i="7"/>
  <c r="G647" i="7"/>
  <c r="H647" i="7"/>
  <c r="I647" i="7"/>
  <c r="J647" i="7"/>
  <c r="K647" i="7"/>
  <c r="L647" i="7"/>
  <c r="M647" i="7"/>
  <c r="N647" i="7"/>
  <c r="O647" i="7"/>
  <c r="U647" i="7" s="1"/>
  <c r="P647" i="7"/>
  <c r="B648" i="7"/>
  <c r="C648" i="7"/>
  <c r="D648" i="7"/>
  <c r="E648" i="7"/>
  <c r="F648" i="7"/>
  <c r="G648" i="7"/>
  <c r="H648" i="7"/>
  <c r="I648" i="7"/>
  <c r="J648" i="7"/>
  <c r="K648" i="7"/>
  <c r="L648" i="7"/>
  <c r="M648" i="7"/>
  <c r="N648" i="7"/>
  <c r="O648" i="7"/>
  <c r="U648" i="7" s="1"/>
  <c r="P648" i="7"/>
  <c r="B649" i="7"/>
  <c r="C649" i="7"/>
  <c r="D649" i="7"/>
  <c r="E649" i="7"/>
  <c r="F649" i="7"/>
  <c r="G649" i="7"/>
  <c r="H649" i="7"/>
  <c r="I649" i="7"/>
  <c r="J649" i="7"/>
  <c r="K649" i="7"/>
  <c r="L649" i="7"/>
  <c r="M649" i="7"/>
  <c r="N649" i="7"/>
  <c r="O649" i="7"/>
  <c r="U649" i="7" s="1"/>
  <c r="P649" i="7"/>
  <c r="B650" i="7"/>
  <c r="C650" i="7"/>
  <c r="D650" i="7"/>
  <c r="E650" i="7"/>
  <c r="F650" i="7"/>
  <c r="G650" i="7"/>
  <c r="H650" i="7"/>
  <c r="I650" i="7"/>
  <c r="J650" i="7"/>
  <c r="K650" i="7"/>
  <c r="L650" i="7"/>
  <c r="M650" i="7"/>
  <c r="N650" i="7"/>
  <c r="O650" i="7"/>
  <c r="U650" i="7" s="1"/>
  <c r="P650" i="7"/>
  <c r="B651" i="7"/>
  <c r="C651" i="7"/>
  <c r="D651" i="7"/>
  <c r="E651" i="7"/>
  <c r="F651" i="7"/>
  <c r="G651" i="7"/>
  <c r="H651" i="7"/>
  <c r="I651" i="7"/>
  <c r="J651" i="7"/>
  <c r="K651" i="7"/>
  <c r="L651" i="7"/>
  <c r="M651" i="7"/>
  <c r="N651" i="7"/>
  <c r="O651" i="7"/>
  <c r="P651" i="7"/>
  <c r="B652" i="7"/>
  <c r="C652" i="7"/>
  <c r="D652" i="7"/>
  <c r="E652" i="7"/>
  <c r="F652" i="7"/>
  <c r="G652" i="7"/>
  <c r="H652" i="7"/>
  <c r="I652" i="7"/>
  <c r="J652" i="7"/>
  <c r="K652" i="7"/>
  <c r="L652" i="7"/>
  <c r="M652" i="7"/>
  <c r="N652" i="7"/>
  <c r="O652" i="7"/>
  <c r="U652" i="7" s="1"/>
  <c r="P652" i="7"/>
  <c r="B653" i="7"/>
  <c r="C653" i="7"/>
  <c r="D653" i="7"/>
  <c r="E653" i="7"/>
  <c r="F653" i="7"/>
  <c r="G653" i="7"/>
  <c r="H653" i="7"/>
  <c r="I653" i="7"/>
  <c r="J653" i="7"/>
  <c r="K653" i="7"/>
  <c r="L653" i="7"/>
  <c r="M653" i="7"/>
  <c r="N653" i="7"/>
  <c r="O653" i="7"/>
  <c r="U653" i="7" s="1"/>
  <c r="P653" i="7"/>
  <c r="B654" i="7"/>
  <c r="C654" i="7"/>
  <c r="D654" i="7"/>
  <c r="E654" i="7"/>
  <c r="F654" i="7"/>
  <c r="G654" i="7"/>
  <c r="H654" i="7"/>
  <c r="I654" i="7"/>
  <c r="J654" i="7"/>
  <c r="K654" i="7"/>
  <c r="L654" i="7"/>
  <c r="M654" i="7"/>
  <c r="N654" i="7"/>
  <c r="O654" i="7"/>
  <c r="P654" i="7"/>
  <c r="B655" i="7"/>
  <c r="C655" i="7"/>
  <c r="D655" i="7"/>
  <c r="E655" i="7"/>
  <c r="F655" i="7"/>
  <c r="G655" i="7"/>
  <c r="H655" i="7"/>
  <c r="I655" i="7"/>
  <c r="J655" i="7"/>
  <c r="K655" i="7"/>
  <c r="L655" i="7"/>
  <c r="M655" i="7"/>
  <c r="N655" i="7"/>
  <c r="O655" i="7"/>
  <c r="U655" i="7" s="1"/>
  <c r="P655" i="7"/>
  <c r="B656" i="7"/>
  <c r="C656" i="7"/>
  <c r="D656" i="7"/>
  <c r="E656" i="7"/>
  <c r="F656" i="7"/>
  <c r="G656" i="7"/>
  <c r="H656" i="7"/>
  <c r="I656" i="7"/>
  <c r="J656" i="7"/>
  <c r="K656" i="7"/>
  <c r="L656" i="7"/>
  <c r="M656" i="7"/>
  <c r="N656" i="7"/>
  <c r="O656" i="7"/>
  <c r="U656" i="7" s="1"/>
  <c r="P656" i="7"/>
  <c r="B657" i="7"/>
  <c r="C657" i="7"/>
  <c r="D657" i="7"/>
  <c r="E657" i="7"/>
  <c r="F657" i="7"/>
  <c r="G657" i="7"/>
  <c r="H657" i="7"/>
  <c r="I657" i="7"/>
  <c r="J657" i="7"/>
  <c r="K657" i="7"/>
  <c r="L657" i="7"/>
  <c r="M657" i="7"/>
  <c r="N657" i="7"/>
  <c r="O657" i="7"/>
  <c r="P657" i="7"/>
  <c r="B658" i="7"/>
  <c r="C658" i="7"/>
  <c r="D658" i="7"/>
  <c r="E658" i="7"/>
  <c r="F658" i="7"/>
  <c r="G658" i="7"/>
  <c r="H658" i="7"/>
  <c r="I658" i="7"/>
  <c r="J658" i="7"/>
  <c r="K658" i="7"/>
  <c r="L658" i="7"/>
  <c r="M658" i="7"/>
  <c r="N658" i="7"/>
  <c r="O658" i="7"/>
  <c r="U658" i="7" s="1"/>
  <c r="P658" i="7"/>
  <c r="B659" i="7"/>
  <c r="C659" i="7"/>
  <c r="D659" i="7"/>
  <c r="E659" i="7"/>
  <c r="F659" i="7"/>
  <c r="G659" i="7"/>
  <c r="H659" i="7"/>
  <c r="I659" i="7"/>
  <c r="J659" i="7"/>
  <c r="K659" i="7"/>
  <c r="L659" i="7"/>
  <c r="M659" i="7"/>
  <c r="N659" i="7"/>
  <c r="O659" i="7"/>
  <c r="P659" i="7"/>
  <c r="B660" i="7"/>
  <c r="C660" i="7"/>
  <c r="D660" i="7"/>
  <c r="E660" i="7"/>
  <c r="F660" i="7"/>
  <c r="G660" i="7"/>
  <c r="H660" i="7"/>
  <c r="I660" i="7"/>
  <c r="J660" i="7"/>
  <c r="K660" i="7"/>
  <c r="L660" i="7"/>
  <c r="M660" i="7"/>
  <c r="N660" i="7"/>
  <c r="O660" i="7"/>
  <c r="U660" i="7" s="1"/>
  <c r="P660" i="7"/>
  <c r="B661" i="7"/>
  <c r="C661" i="7"/>
  <c r="D661" i="7"/>
  <c r="E661" i="7"/>
  <c r="F661" i="7"/>
  <c r="G661" i="7"/>
  <c r="H661" i="7"/>
  <c r="I661" i="7"/>
  <c r="J661" i="7"/>
  <c r="K661" i="7"/>
  <c r="L661" i="7"/>
  <c r="M661" i="7"/>
  <c r="N661" i="7"/>
  <c r="O661" i="7"/>
  <c r="U661" i="7" s="1"/>
  <c r="P661" i="7"/>
  <c r="B662" i="7"/>
  <c r="C662" i="7"/>
  <c r="D662" i="7"/>
  <c r="E662" i="7"/>
  <c r="F662" i="7"/>
  <c r="G662" i="7"/>
  <c r="H662" i="7"/>
  <c r="I662" i="7"/>
  <c r="J662" i="7"/>
  <c r="K662" i="7"/>
  <c r="L662" i="7"/>
  <c r="M662" i="7"/>
  <c r="N662" i="7"/>
  <c r="O662" i="7"/>
  <c r="U662" i="7" s="1"/>
  <c r="P662" i="7"/>
  <c r="B663" i="7"/>
  <c r="C663" i="7"/>
  <c r="D663" i="7"/>
  <c r="E663" i="7"/>
  <c r="F663" i="7"/>
  <c r="G663" i="7"/>
  <c r="H663" i="7"/>
  <c r="I663" i="7"/>
  <c r="J663" i="7"/>
  <c r="K663" i="7"/>
  <c r="L663" i="7"/>
  <c r="M663" i="7"/>
  <c r="N663" i="7"/>
  <c r="O663" i="7"/>
  <c r="U663" i="7" s="1"/>
  <c r="P663" i="7"/>
  <c r="B664" i="7"/>
  <c r="C664" i="7"/>
  <c r="D664" i="7"/>
  <c r="E664" i="7"/>
  <c r="F664" i="7"/>
  <c r="G664" i="7"/>
  <c r="H664" i="7"/>
  <c r="I664" i="7"/>
  <c r="J664" i="7"/>
  <c r="K664" i="7"/>
  <c r="L664" i="7"/>
  <c r="M664" i="7"/>
  <c r="N664" i="7"/>
  <c r="O664" i="7"/>
  <c r="U664" i="7" s="1"/>
  <c r="P664" i="7"/>
  <c r="B665" i="7"/>
  <c r="C665" i="7"/>
  <c r="D665" i="7"/>
  <c r="E665" i="7"/>
  <c r="F665" i="7"/>
  <c r="G665" i="7"/>
  <c r="H665" i="7"/>
  <c r="I665" i="7"/>
  <c r="J665" i="7"/>
  <c r="K665" i="7"/>
  <c r="L665" i="7"/>
  <c r="M665" i="7"/>
  <c r="N665" i="7"/>
  <c r="O665" i="7"/>
  <c r="U665" i="7" s="1"/>
  <c r="P665" i="7"/>
  <c r="B666" i="7"/>
  <c r="C666" i="7"/>
  <c r="D666" i="7"/>
  <c r="E666" i="7"/>
  <c r="F666" i="7"/>
  <c r="G666" i="7"/>
  <c r="H666" i="7"/>
  <c r="I666" i="7"/>
  <c r="J666" i="7"/>
  <c r="K666" i="7"/>
  <c r="L666" i="7"/>
  <c r="M666" i="7"/>
  <c r="N666" i="7"/>
  <c r="O666" i="7"/>
  <c r="U666" i="7" s="1"/>
  <c r="P666" i="7"/>
  <c r="B667" i="7"/>
  <c r="C667" i="7"/>
  <c r="D667" i="7"/>
  <c r="E667" i="7"/>
  <c r="F667" i="7"/>
  <c r="G667" i="7"/>
  <c r="H667" i="7"/>
  <c r="I667" i="7"/>
  <c r="J667" i="7"/>
  <c r="K667" i="7"/>
  <c r="L667" i="7"/>
  <c r="M667" i="7"/>
  <c r="N667" i="7"/>
  <c r="O667" i="7"/>
  <c r="P667" i="7"/>
  <c r="B668" i="7"/>
  <c r="C668" i="7"/>
  <c r="D668" i="7"/>
  <c r="E668" i="7"/>
  <c r="F668" i="7"/>
  <c r="G668" i="7"/>
  <c r="H668" i="7"/>
  <c r="I668" i="7"/>
  <c r="J668" i="7"/>
  <c r="K668" i="7"/>
  <c r="L668" i="7"/>
  <c r="M668" i="7"/>
  <c r="N668" i="7"/>
  <c r="O668" i="7"/>
  <c r="U668" i="7" s="1"/>
  <c r="P668" i="7"/>
  <c r="B669" i="7"/>
  <c r="C669" i="7"/>
  <c r="D669" i="7"/>
  <c r="E669" i="7"/>
  <c r="F669" i="7"/>
  <c r="G669" i="7"/>
  <c r="H669" i="7"/>
  <c r="I669" i="7"/>
  <c r="J669" i="7"/>
  <c r="K669" i="7"/>
  <c r="L669" i="7"/>
  <c r="M669" i="7"/>
  <c r="N669" i="7"/>
  <c r="O669" i="7"/>
  <c r="U669" i="7" s="1"/>
  <c r="P669" i="7"/>
  <c r="B670" i="7"/>
  <c r="C670" i="7"/>
  <c r="D670" i="7"/>
  <c r="E670" i="7"/>
  <c r="F670" i="7"/>
  <c r="G670" i="7"/>
  <c r="H670" i="7"/>
  <c r="I670" i="7"/>
  <c r="J670" i="7"/>
  <c r="K670" i="7"/>
  <c r="L670" i="7"/>
  <c r="M670" i="7"/>
  <c r="N670" i="7"/>
  <c r="O670" i="7"/>
  <c r="P670" i="7"/>
  <c r="B671" i="7"/>
  <c r="C671" i="7"/>
  <c r="D671" i="7"/>
  <c r="E671" i="7"/>
  <c r="F671" i="7"/>
  <c r="G671" i="7"/>
  <c r="H671" i="7"/>
  <c r="I671" i="7"/>
  <c r="J671" i="7"/>
  <c r="K671" i="7"/>
  <c r="L671" i="7"/>
  <c r="M671" i="7"/>
  <c r="N671" i="7"/>
  <c r="O671" i="7"/>
  <c r="U671" i="7" s="1"/>
  <c r="P671" i="7"/>
  <c r="B672" i="7"/>
  <c r="C672" i="7"/>
  <c r="D672" i="7"/>
  <c r="E672" i="7"/>
  <c r="F672" i="7"/>
  <c r="G672" i="7"/>
  <c r="H672" i="7"/>
  <c r="I672" i="7"/>
  <c r="J672" i="7"/>
  <c r="K672" i="7"/>
  <c r="L672" i="7"/>
  <c r="M672" i="7"/>
  <c r="N672" i="7"/>
  <c r="O672" i="7"/>
  <c r="U672" i="7" s="1"/>
  <c r="P672" i="7"/>
  <c r="B673" i="7"/>
  <c r="C673" i="7"/>
  <c r="D673" i="7"/>
  <c r="E673" i="7"/>
  <c r="F673" i="7"/>
  <c r="G673" i="7"/>
  <c r="H673" i="7"/>
  <c r="I673" i="7"/>
  <c r="J673" i="7"/>
  <c r="K673" i="7"/>
  <c r="L673" i="7"/>
  <c r="M673" i="7"/>
  <c r="N673" i="7"/>
  <c r="O673" i="7"/>
  <c r="U673" i="7" s="1"/>
  <c r="P673" i="7"/>
  <c r="B674" i="7"/>
  <c r="C674" i="7"/>
  <c r="D674" i="7"/>
  <c r="E674" i="7"/>
  <c r="F674" i="7"/>
  <c r="G674" i="7"/>
  <c r="H674" i="7"/>
  <c r="I674" i="7"/>
  <c r="J674" i="7"/>
  <c r="K674" i="7"/>
  <c r="L674" i="7"/>
  <c r="M674" i="7"/>
  <c r="N674" i="7"/>
  <c r="O674" i="7"/>
  <c r="U674" i="7" s="1"/>
  <c r="P674" i="7"/>
  <c r="B675" i="7"/>
  <c r="C675" i="7"/>
  <c r="D675" i="7"/>
  <c r="E675" i="7"/>
  <c r="F675" i="7"/>
  <c r="G675" i="7"/>
  <c r="H675" i="7"/>
  <c r="I675" i="7"/>
  <c r="J675" i="7"/>
  <c r="K675" i="7"/>
  <c r="L675" i="7"/>
  <c r="M675" i="7"/>
  <c r="N675" i="7"/>
  <c r="O675" i="7"/>
  <c r="P675" i="7"/>
  <c r="B676" i="7"/>
  <c r="C676" i="7"/>
  <c r="D676" i="7"/>
  <c r="E676" i="7"/>
  <c r="F676" i="7"/>
  <c r="G676" i="7"/>
  <c r="H676" i="7"/>
  <c r="I676" i="7"/>
  <c r="J676" i="7"/>
  <c r="K676" i="7"/>
  <c r="L676" i="7"/>
  <c r="M676" i="7"/>
  <c r="N676" i="7"/>
  <c r="O676" i="7"/>
  <c r="U676" i="7" s="1"/>
  <c r="P676" i="7"/>
  <c r="B677" i="7"/>
  <c r="C677" i="7"/>
  <c r="D677" i="7"/>
  <c r="E677" i="7"/>
  <c r="F677" i="7"/>
  <c r="G677" i="7"/>
  <c r="H677" i="7"/>
  <c r="I677" i="7"/>
  <c r="J677" i="7"/>
  <c r="K677" i="7"/>
  <c r="L677" i="7"/>
  <c r="M677" i="7"/>
  <c r="N677" i="7"/>
  <c r="O677" i="7"/>
  <c r="U677" i="7" s="1"/>
  <c r="P677" i="7"/>
  <c r="B678" i="7"/>
  <c r="C678" i="7"/>
  <c r="D678" i="7"/>
  <c r="E678" i="7"/>
  <c r="F678" i="7"/>
  <c r="G678" i="7"/>
  <c r="H678" i="7"/>
  <c r="I678" i="7"/>
  <c r="J678" i="7"/>
  <c r="K678" i="7"/>
  <c r="L678" i="7"/>
  <c r="M678" i="7"/>
  <c r="N678" i="7"/>
  <c r="O678" i="7"/>
  <c r="P678" i="7"/>
  <c r="B679" i="7"/>
  <c r="C679" i="7"/>
  <c r="D679" i="7"/>
  <c r="E679" i="7"/>
  <c r="F679" i="7"/>
  <c r="G679" i="7"/>
  <c r="H679" i="7"/>
  <c r="I679" i="7"/>
  <c r="J679" i="7"/>
  <c r="K679" i="7"/>
  <c r="L679" i="7"/>
  <c r="M679" i="7"/>
  <c r="N679" i="7"/>
  <c r="O679" i="7"/>
  <c r="U679" i="7" s="1"/>
  <c r="P679" i="7"/>
  <c r="B680" i="7"/>
  <c r="C680" i="7"/>
  <c r="D680" i="7"/>
  <c r="E680" i="7"/>
  <c r="F680" i="7"/>
  <c r="G680" i="7"/>
  <c r="H680" i="7"/>
  <c r="I680" i="7"/>
  <c r="J680" i="7"/>
  <c r="K680" i="7"/>
  <c r="L680" i="7"/>
  <c r="M680" i="7"/>
  <c r="N680" i="7"/>
  <c r="O680" i="7"/>
  <c r="P680" i="7"/>
  <c r="B681" i="7"/>
  <c r="C681" i="7"/>
  <c r="D681" i="7"/>
  <c r="E681" i="7"/>
  <c r="F681" i="7"/>
  <c r="G681" i="7"/>
  <c r="H681" i="7"/>
  <c r="I681" i="7"/>
  <c r="J681" i="7"/>
  <c r="K681" i="7"/>
  <c r="L681" i="7"/>
  <c r="M681" i="7"/>
  <c r="N681" i="7"/>
  <c r="O681" i="7"/>
  <c r="P681" i="7"/>
  <c r="B682" i="7"/>
  <c r="C682" i="7"/>
  <c r="D682" i="7"/>
  <c r="E682" i="7"/>
  <c r="F682" i="7"/>
  <c r="G682" i="7"/>
  <c r="H682" i="7"/>
  <c r="I682" i="7"/>
  <c r="J682" i="7"/>
  <c r="K682" i="7"/>
  <c r="L682" i="7"/>
  <c r="M682" i="7"/>
  <c r="N682" i="7"/>
  <c r="O682" i="7"/>
  <c r="U682" i="7" s="1"/>
  <c r="P682" i="7"/>
  <c r="B683" i="7"/>
  <c r="C683" i="7"/>
  <c r="D683" i="7"/>
  <c r="E683" i="7"/>
  <c r="F683" i="7"/>
  <c r="G683" i="7"/>
  <c r="H683" i="7"/>
  <c r="I683" i="7"/>
  <c r="J683" i="7"/>
  <c r="K683" i="7"/>
  <c r="L683" i="7"/>
  <c r="M683" i="7"/>
  <c r="N683" i="7"/>
  <c r="O683" i="7"/>
  <c r="P683" i="7"/>
  <c r="B684" i="7"/>
  <c r="C684" i="7"/>
  <c r="D684" i="7"/>
  <c r="E684" i="7"/>
  <c r="F684" i="7"/>
  <c r="G684" i="7"/>
  <c r="H684" i="7"/>
  <c r="I684" i="7"/>
  <c r="J684" i="7"/>
  <c r="K684" i="7"/>
  <c r="L684" i="7"/>
  <c r="M684" i="7"/>
  <c r="N684" i="7"/>
  <c r="O684" i="7"/>
  <c r="U684" i="7" s="1"/>
  <c r="P684" i="7"/>
  <c r="B685" i="7"/>
  <c r="C685" i="7"/>
  <c r="D685" i="7"/>
  <c r="E685" i="7"/>
  <c r="F685" i="7"/>
  <c r="G685" i="7"/>
  <c r="H685" i="7"/>
  <c r="I685" i="7"/>
  <c r="J685" i="7"/>
  <c r="K685" i="7"/>
  <c r="L685" i="7"/>
  <c r="M685" i="7"/>
  <c r="N685" i="7"/>
  <c r="O685" i="7"/>
  <c r="U685" i="7" s="1"/>
  <c r="P685" i="7"/>
  <c r="B686" i="7"/>
  <c r="C686" i="7"/>
  <c r="D686" i="7"/>
  <c r="E686" i="7"/>
  <c r="F686" i="7"/>
  <c r="G686" i="7"/>
  <c r="H686" i="7"/>
  <c r="I686" i="7"/>
  <c r="J686" i="7"/>
  <c r="K686" i="7"/>
  <c r="L686" i="7"/>
  <c r="M686" i="7"/>
  <c r="N686" i="7"/>
  <c r="O686" i="7"/>
  <c r="U686" i="7" s="1"/>
  <c r="P686" i="7"/>
  <c r="B687" i="7"/>
  <c r="C687" i="7"/>
  <c r="D687" i="7"/>
  <c r="E687" i="7"/>
  <c r="F687" i="7"/>
  <c r="G687" i="7"/>
  <c r="H687" i="7"/>
  <c r="I687" i="7"/>
  <c r="J687" i="7"/>
  <c r="K687" i="7"/>
  <c r="L687" i="7"/>
  <c r="M687" i="7"/>
  <c r="N687" i="7"/>
  <c r="O687" i="7"/>
  <c r="U687" i="7" s="1"/>
  <c r="P687" i="7"/>
  <c r="B688" i="7"/>
  <c r="C688" i="7"/>
  <c r="D688" i="7"/>
  <c r="E688" i="7"/>
  <c r="F688" i="7"/>
  <c r="G688" i="7"/>
  <c r="H688" i="7"/>
  <c r="I688" i="7"/>
  <c r="J688" i="7"/>
  <c r="K688" i="7"/>
  <c r="L688" i="7"/>
  <c r="M688" i="7"/>
  <c r="N688" i="7"/>
  <c r="O688" i="7"/>
  <c r="U688" i="7" s="1"/>
  <c r="P688" i="7"/>
  <c r="B689" i="7"/>
  <c r="C689" i="7"/>
  <c r="D689" i="7"/>
  <c r="E689" i="7"/>
  <c r="F689" i="7"/>
  <c r="G689" i="7"/>
  <c r="H689" i="7"/>
  <c r="I689" i="7"/>
  <c r="J689" i="7"/>
  <c r="K689" i="7"/>
  <c r="L689" i="7"/>
  <c r="M689" i="7"/>
  <c r="N689" i="7"/>
  <c r="O689" i="7"/>
  <c r="U689" i="7" s="1"/>
  <c r="P689" i="7"/>
  <c r="B690" i="7"/>
  <c r="C690" i="7"/>
  <c r="D690" i="7"/>
  <c r="E690" i="7"/>
  <c r="F690" i="7"/>
  <c r="G690" i="7"/>
  <c r="H690" i="7"/>
  <c r="I690" i="7"/>
  <c r="J690" i="7"/>
  <c r="K690" i="7"/>
  <c r="L690" i="7"/>
  <c r="M690" i="7"/>
  <c r="N690" i="7"/>
  <c r="O690" i="7"/>
  <c r="U690" i="7" s="1"/>
  <c r="P690" i="7"/>
  <c r="B691" i="7"/>
  <c r="C691" i="7"/>
  <c r="D691" i="7"/>
  <c r="E691" i="7"/>
  <c r="F691" i="7"/>
  <c r="G691" i="7"/>
  <c r="H691" i="7"/>
  <c r="I691" i="7"/>
  <c r="J691" i="7"/>
  <c r="K691" i="7"/>
  <c r="L691" i="7"/>
  <c r="M691" i="7"/>
  <c r="N691" i="7"/>
  <c r="O691" i="7"/>
  <c r="U691" i="7" s="1"/>
  <c r="P691" i="7"/>
  <c r="B692" i="7"/>
  <c r="C692" i="7"/>
  <c r="D692" i="7"/>
  <c r="E692" i="7"/>
  <c r="F692" i="7"/>
  <c r="G692" i="7"/>
  <c r="H692" i="7"/>
  <c r="I692" i="7"/>
  <c r="J692" i="7"/>
  <c r="K692" i="7"/>
  <c r="L692" i="7"/>
  <c r="M692" i="7"/>
  <c r="N692" i="7"/>
  <c r="O692" i="7"/>
  <c r="U692" i="7" s="1"/>
  <c r="P692" i="7"/>
  <c r="B693" i="7"/>
  <c r="C693" i="7"/>
  <c r="D693" i="7"/>
  <c r="E693" i="7"/>
  <c r="F693" i="7"/>
  <c r="G693" i="7"/>
  <c r="H693" i="7"/>
  <c r="I693" i="7"/>
  <c r="J693" i="7"/>
  <c r="K693" i="7"/>
  <c r="L693" i="7"/>
  <c r="M693" i="7"/>
  <c r="N693" i="7"/>
  <c r="O693" i="7"/>
  <c r="P693" i="7"/>
  <c r="B694" i="7"/>
  <c r="C694" i="7"/>
  <c r="D694" i="7"/>
  <c r="E694" i="7"/>
  <c r="F694" i="7"/>
  <c r="G694" i="7"/>
  <c r="H694" i="7"/>
  <c r="I694" i="7"/>
  <c r="J694" i="7"/>
  <c r="K694" i="7"/>
  <c r="L694" i="7"/>
  <c r="M694" i="7"/>
  <c r="N694" i="7"/>
  <c r="O694" i="7"/>
  <c r="P694" i="7"/>
  <c r="B695" i="7"/>
  <c r="C695" i="7"/>
  <c r="D695" i="7"/>
  <c r="E695" i="7"/>
  <c r="F695" i="7"/>
  <c r="G695" i="7"/>
  <c r="H695" i="7"/>
  <c r="I695" i="7"/>
  <c r="J695" i="7"/>
  <c r="K695" i="7"/>
  <c r="L695" i="7"/>
  <c r="M695" i="7"/>
  <c r="N695" i="7"/>
  <c r="O695" i="7"/>
  <c r="P695" i="7"/>
  <c r="B696" i="7"/>
  <c r="C696" i="7"/>
  <c r="D696" i="7"/>
  <c r="E696" i="7"/>
  <c r="F696" i="7"/>
  <c r="G696" i="7"/>
  <c r="H696" i="7"/>
  <c r="I696" i="7"/>
  <c r="J696" i="7"/>
  <c r="K696" i="7"/>
  <c r="L696" i="7"/>
  <c r="M696" i="7"/>
  <c r="N696" i="7"/>
  <c r="O696" i="7"/>
  <c r="P696" i="7"/>
  <c r="B697" i="7"/>
  <c r="C697" i="7"/>
  <c r="D697" i="7"/>
  <c r="E697" i="7"/>
  <c r="F697" i="7"/>
  <c r="G697" i="7"/>
  <c r="H697" i="7"/>
  <c r="I697" i="7"/>
  <c r="J697" i="7"/>
  <c r="K697" i="7"/>
  <c r="L697" i="7"/>
  <c r="M697" i="7"/>
  <c r="N697" i="7"/>
  <c r="O697" i="7"/>
  <c r="P697" i="7"/>
  <c r="B698" i="7"/>
  <c r="C698" i="7"/>
  <c r="D698" i="7"/>
  <c r="E698" i="7"/>
  <c r="F698" i="7"/>
  <c r="G698" i="7"/>
  <c r="H698" i="7"/>
  <c r="I698" i="7"/>
  <c r="J698" i="7"/>
  <c r="K698" i="7"/>
  <c r="L698" i="7"/>
  <c r="M698" i="7"/>
  <c r="N698" i="7"/>
  <c r="O698" i="7"/>
  <c r="P698" i="7"/>
  <c r="B699" i="7"/>
  <c r="C699" i="7"/>
  <c r="D699" i="7"/>
  <c r="E699" i="7"/>
  <c r="F699" i="7"/>
  <c r="G699" i="7"/>
  <c r="H699" i="7"/>
  <c r="I699" i="7"/>
  <c r="J699" i="7"/>
  <c r="K699" i="7"/>
  <c r="L699" i="7"/>
  <c r="M699" i="7"/>
  <c r="N699" i="7"/>
  <c r="O699" i="7"/>
  <c r="P699" i="7"/>
  <c r="B700" i="7"/>
  <c r="C700" i="7"/>
  <c r="D700" i="7"/>
  <c r="E700" i="7"/>
  <c r="F700" i="7"/>
  <c r="G700" i="7"/>
  <c r="H700" i="7"/>
  <c r="I700" i="7"/>
  <c r="J700" i="7"/>
  <c r="K700" i="7"/>
  <c r="L700" i="7"/>
  <c r="M700" i="7"/>
  <c r="N700" i="7"/>
  <c r="O700" i="7"/>
  <c r="U700" i="7" s="1"/>
  <c r="P700" i="7"/>
  <c r="B701" i="7"/>
  <c r="C701" i="7"/>
  <c r="D701" i="7"/>
  <c r="E701" i="7"/>
  <c r="F701" i="7"/>
  <c r="G701" i="7"/>
  <c r="H701" i="7"/>
  <c r="I701" i="7"/>
  <c r="J701" i="7"/>
  <c r="K701" i="7"/>
  <c r="L701" i="7"/>
  <c r="M701" i="7"/>
  <c r="N701" i="7"/>
  <c r="O701" i="7"/>
  <c r="P701" i="7"/>
  <c r="B702" i="7"/>
  <c r="C702" i="7"/>
  <c r="D702" i="7"/>
  <c r="E702" i="7"/>
  <c r="F702" i="7"/>
  <c r="G702" i="7"/>
  <c r="H702" i="7"/>
  <c r="I702" i="7"/>
  <c r="J702" i="7"/>
  <c r="K702" i="7"/>
  <c r="L702" i="7"/>
  <c r="M702" i="7"/>
  <c r="N702" i="7"/>
  <c r="O702" i="7"/>
  <c r="P702" i="7"/>
  <c r="B703" i="7"/>
  <c r="C703" i="7"/>
  <c r="D703" i="7"/>
  <c r="E703" i="7"/>
  <c r="F703" i="7"/>
  <c r="G703" i="7"/>
  <c r="H703" i="7"/>
  <c r="I703" i="7"/>
  <c r="J703" i="7"/>
  <c r="K703" i="7"/>
  <c r="L703" i="7"/>
  <c r="M703" i="7"/>
  <c r="N703" i="7"/>
  <c r="O703" i="7"/>
  <c r="P703" i="7"/>
  <c r="B704" i="7"/>
  <c r="C704" i="7"/>
  <c r="D704" i="7"/>
  <c r="E704" i="7"/>
  <c r="F704" i="7"/>
  <c r="G704" i="7"/>
  <c r="H704" i="7"/>
  <c r="I704" i="7"/>
  <c r="J704" i="7"/>
  <c r="K704" i="7"/>
  <c r="L704" i="7"/>
  <c r="M704" i="7"/>
  <c r="N704" i="7"/>
  <c r="O704" i="7"/>
  <c r="P704" i="7"/>
  <c r="B705" i="7"/>
  <c r="C705" i="7"/>
  <c r="D705" i="7"/>
  <c r="E705" i="7"/>
  <c r="F705" i="7"/>
  <c r="G705" i="7"/>
  <c r="H705" i="7"/>
  <c r="I705" i="7"/>
  <c r="J705" i="7"/>
  <c r="K705" i="7"/>
  <c r="L705" i="7"/>
  <c r="M705" i="7"/>
  <c r="N705" i="7"/>
  <c r="O705" i="7"/>
  <c r="P705" i="7"/>
  <c r="B706" i="7"/>
  <c r="C706" i="7"/>
  <c r="D706" i="7"/>
  <c r="E706" i="7"/>
  <c r="F706" i="7"/>
  <c r="G706" i="7"/>
  <c r="H706" i="7"/>
  <c r="I706" i="7"/>
  <c r="J706" i="7"/>
  <c r="K706" i="7"/>
  <c r="L706" i="7"/>
  <c r="M706" i="7"/>
  <c r="N706" i="7"/>
  <c r="O706" i="7"/>
  <c r="P706" i="7"/>
  <c r="B707" i="7"/>
  <c r="C707" i="7"/>
  <c r="D707" i="7"/>
  <c r="E707" i="7"/>
  <c r="F707" i="7"/>
  <c r="G707" i="7"/>
  <c r="H707" i="7"/>
  <c r="I707" i="7"/>
  <c r="J707" i="7"/>
  <c r="K707" i="7"/>
  <c r="L707" i="7"/>
  <c r="M707" i="7"/>
  <c r="N707" i="7"/>
  <c r="O707" i="7"/>
  <c r="P707" i="7"/>
  <c r="B708" i="7"/>
  <c r="C708" i="7"/>
  <c r="D708" i="7"/>
  <c r="E708" i="7"/>
  <c r="F708" i="7"/>
  <c r="G708" i="7"/>
  <c r="H708" i="7"/>
  <c r="I708" i="7"/>
  <c r="J708" i="7"/>
  <c r="K708" i="7"/>
  <c r="L708" i="7"/>
  <c r="M708" i="7"/>
  <c r="N708" i="7"/>
  <c r="O708" i="7"/>
  <c r="U708" i="7" s="1"/>
  <c r="P708" i="7"/>
  <c r="B709" i="7"/>
  <c r="C709" i="7"/>
  <c r="D709" i="7"/>
  <c r="E709" i="7"/>
  <c r="F709" i="7"/>
  <c r="G709" i="7"/>
  <c r="H709" i="7"/>
  <c r="I709" i="7"/>
  <c r="J709" i="7"/>
  <c r="K709" i="7"/>
  <c r="L709" i="7"/>
  <c r="M709" i="7"/>
  <c r="N709" i="7"/>
  <c r="O709" i="7"/>
  <c r="U709" i="7" s="1"/>
  <c r="P709" i="7"/>
  <c r="B710" i="7"/>
  <c r="C710" i="7"/>
  <c r="D710" i="7"/>
  <c r="E710" i="7"/>
  <c r="F710" i="7"/>
  <c r="G710" i="7"/>
  <c r="H710" i="7"/>
  <c r="I710" i="7"/>
  <c r="J710" i="7"/>
  <c r="K710" i="7"/>
  <c r="L710" i="7"/>
  <c r="M710" i="7"/>
  <c r="N710" i="7"/>
  <c r="O710" i="7"/>
  <c r="U710" i="7" s="1"/>
  <c r="P710" i="7"/>
  <c r="B711" i="7"/>
  <c r="C711" i="7"/>
  <c r="D711" i="7"/>
  <c r="E711" i="7"/>
  <c r="F711" i="7"/>
  <c r="G711" i="7"/>
  <c r="H711" i="7"/>
  <c r="I711" i="7"/>
  <c r="J711" i="7"/>
  <c r="K711" i="7"/>
  <c r="L711" i="7"/>
  <c r="M711" i="7"/>
  <c r="N711" i="7"/>
  <c r="O711" i="7"/>
  <c r="P711" i="7"/>
  <c r="B712" i="7"/>
  <c r="C712" i="7"/>
  <c r="D712" i="7"/>
  <c r="E712" i="7"/>
  <c r="F712" i="7"/>
  <c r="G712" i="7"/>
  <c r="H712" i="7"/>
  <c r="I712" i="7"/>
  <c r="J712" i="7"/>
  <c r="K712" i="7"/>
  <c r="L712" i="7"/>
  <c r="M712" i="7"/>
  <c r="N712" i="7"/>
  <c r="O712" i="7"/>
  <c r="P712" i="7"/>
  <c r="B713" i="7"/>
  <c r="C713" i="7"/>
  <c r="D713" i="7"/>
  <c r="E713" i="7"/>
  <c r="F713" i="7"/>
  <c r="G713" i="7"/>
  <c r="H713" i="7"/>
  <c r="I713" i="7"/>
  <c r="J713" i="7"/>
  <c r="K713" i="7"/>
  <c r="L713" i="7"/>
  <c r="M713" i="7"/>
  <c r="N713" i="7"/>
  <c r="O713" i="7"/>
  <c r="P713" i="7"/>
  <c r="B714" i="7"/>
  <c r="C714" i="7"/>
  <c r="D714" i="7"/>
  <c r="E714" i="7"/>
  <c r="F714" i="7"/>
  <c r="G714" i="7"/>
  <c r="H714" i="7"/>
  <c r="I714" i="7"/>
  <c r="J714" i="7"/>
  <c r="K714" i="7"/>
  <c r="L714" i="7"/>
  <c r="M714" i="7"/>
  <c r="N714" i="7"/>
  <c r="O714" i="7"/>
  <c r="P714" i="7"/>
  <c r="B715" i="7"/>
  <c r="C715" i="7"/>
  <c r="D715" i="7"/>
  <c r="E715" i="7"/>
  <c r="F715" i="7"/>
  <c r="G715" i="7"/>
  <c r="H715" i="7"/>
  <c r="I715" i="7"/>
  <c r="J715" i="7"/>
  <c r="K715" i="7"/>
  <c r="L715" i="7"/>
  <c r="M715" i="7"/>
  <c r="N715" i="7"/>
  <c r="O715" i="7"/>
  <c r="P715" i="7"/>
  <c r="B716" i="7"/>
  <c r="C716" i="7"/>
  <c r="D716" i="7"/>
  <c r="E716" i="7"/>
  <c r="F716" i="7"/>
  <c r="G716" i="7"/>
  <c r="H716" i="7"/>
  <c r="I716" i="7"/>
  <c r="J716" i="7"/>
  <c r="K716" i="7"/>
  <c r="L716" i="7"/>
  <c r="M716" i="7"/>
  <c r="N716" i="7"/>
  <c r="O716" i="7"/>
  <c r="P716" i="7"/>
  <c r="B717" i="7"/>
  <c r="C717" i="7"/>
  <c r="D717" i="7"/>
  <c r="E717" i="7"/>
  <c r="F717" i="7"/>
  <c r="G717" i="7"/>
  <c r="H717" i="7"/>
  <c r="I717" i="7"/>
  <c r="J717" i="7"/>
  <c r="K717" i="7"/>
  <c r="L717" i="7"/>
  <c r="M717" i="7"/>
  <c r="N717" i="7"/>
  <c r="O717" i="7"/>
  <c r="U717" i="7" s="1"/>
  <c r="P717" i="7"/>
  <c r="B718" i="7"/>
  <c r="C718" i="7"/>
  <c r="D718" i="7"/>
  <c r="E718" i="7"/>
  <c r="F718" i="7"/>
  <c r="G718" i="7"/>
  <c r="H718" i="7"/>
  <c r="I718" i="7"/>
  <c r="J718" i="7"/>
  <c r="K718" i="7"/>
  <c r="L718" i="7"/>
  <c r="M718" i="7"/>
  <c r="N718" i="7"/>
  <c r="O718" i="7"/>
  <c r="U718" i="7" s="1"/>
  <c r="P718" i="7"/>
  <c r="B719" i="7"/>
  <c r="C719" i="7"/>
  <c r="D719" i="7"/>
  <c r="E719" i="7"/>
  <c r="F719" i="7"/>
  <c r="G719" i="7"/>
  <c r="H719" i="7"/>
  <c r="I719" i="7"/>
  <c r="J719" i="7"/>
  <c r="K719" i="7"/>
  <c r="L719" i="7"/>
  <c r="M719" i="7"/>
  <c r="N719" i="7"/>
  <c r="O719" i="7"/>
  <c r="P719" i="7"/>
  <c r="B720" i="7"/>
  <c r="C720" i="7"/>
  <c r="D720" i="7"/>
  <c r="E720" i="7"/>
  <c r="F720" i="7"/>
  <c r="G720" i="7"/>
  <c r="H720" i="7"/>
  <c r="I720" i="7"/>
  <c r="J720" i="7"/>
  <c r="K720" i="7"/>
  <c r="L720" i="7"/>
  <c r="M720" i="7"/>
  <c r="N720" i="7"/>
  <c r="O720" i="7"/>
  <c r="P720" i="7"/>
  <c r="B721" i="7"/>
  <c r="C721" i="7"/>
  <c r="D721" i="7"/>
  <c r="E721" i="7"/>
  <c r="F721" i="7"/>
  <c r="G721" i="7"/>
  <c r="H721" i="7"/>
  <c r="I721" i="7"/>
  <c r="J721" i="7"/>
  <c r="K721" i="7"/>
  <c r="L721" i="7"/>
  <c r="M721" i="7"/>
  <c r="N721" i="7"/>
  <c r="O721" i="7"/>
  <c r="P721" i="7"/>
  <c r="B722" i="7"/>
  <c r="C722" i="7"/>
  <c r="D722" i="7"/>
  <c r="E722" i="7"/>
  <c r="F722" i="7"/>
  <c r="G722" i="7"/>
  <c r="H722" i="7"/>
  <c r="I722" i="7"/>
  <c r="J722" i="7"/>
  <c r="K722" i="7"/>
  <c r="L722" i="7"/>
  <c r="M722" i="7"/>
  <c r="N722" i="7"/>
  <c r="O722" i="7"/>
  <c r="P722" i="7"/>
  <c r="B723" i="7"/>
  <c r="C723" i="7"/>
  <c r="D723" i="7"/>
  <c r="E723" i="7"/>
  <c r="F723" i="7"/>
  <c r="G723" i="7"/>
  <c r="H723" i="7"/>
  <c r="I723" i="7"/>
  <c r="J723" i="7"/>
  <c r="K723" i="7"/>
  <c r="L723" i="7"/>
  <c r="M723" i="7"/>
  <c r="N723" i="7"/>
  <c r="O723" i="7"/>
  <c r="P723" i="7"/>
  <c r="B724" i="7"/>
  <c r="C724" i="7"/>
  <c r="D724" i="7"/>
  <c r="E724" i="7"/>
  <c r="F724" i="7"/>
  <c r="G724" i="7"/>
  <c r="H724" i="7"/>
  <c r="I724" i="7"/>
  <c r="J724" i="7"/>
  <c r="K724" i="7"/>
  <c r="L724" i="7"/>
  <c r="M724" i="7"/>
  <c r="N724" i="7"/>
  <c r="O724" i="7"/>
  <c r="U724" i="7" s="1"/>
  <c r="P724" i="7"/>
  <c r="B725" i="7"/>
  <c r="C725" i="7"/>
  <c r="D725" i="7"/>
  <c r="E725" i="7"/>
  <c r="F725" i="7"/>
  <c r="G725" i="7"/>
  <c r="H725" i="7"/>
  <c r="I725" i="7"/>
  <c r="J725" i="7"/>
  <c r="K725" i="7"/>
  <c r="L725" i="7"/>
  <c r="M725" i="7"/>
  <c r="N725" i="7"/>
  <c r="O725" i="7"/>
  <c r="P725" i="7"/>
  <c r="B726" i="7"/>
  <c r="C726" i="7"/>
  <c r="D726" i="7"/>
  <c r="E726" i="7"/>
  <c r="F726" i="7"/>
  <c r="G726" i="7"/>
  <c r="H726" i="7"/>
  <c r="I726" i="7"/>
  <c r="J726" i="7"/>
  <c r="K726" i="7"/>
  <c r="L726" i="7"/>
  <c r="M726" i="7"/>
  <c r="N726" i="7"/>
  <c r="O726" i="7"/>
  <c r="P726" i="7"/>
  <c r="B727" i="7"/>
  <c r="C727" i="7"/>
  <c r="D727" i="7"/>
  <c r="E727" i="7"/>
  <c r="F727" i="7"/>
  <c r="G727" i="7"/>
  <c r="H727" i="7"/>
  <c r="I727" i="7"/>
  <c r="J727" i="7"/>
  <c r="K727" i="7"/>
  <c r="L727" i="7"/>
  <c r="M727" i="7"/>
  <c r="N727" i="7"/>
  <c r="O727" i="7"/>
  <c r="P727" i="7"/>
  <c r="B728" i="7"/>
  <c r="C728" i="7"/>
  <c r="D728" i="7"/>
  <c r="E728" i="7"/>
  <c r="F728" i="7"/>
  <c r="G728" i="7"/>
  <c r="H728" i="7"/>
  <c r="I728" i="7"/>
  <c r="J728" i="7"/>
  <c r="K728" i="7"/>
  <c r="L728" i="7"/>
  <c r="M728" i="7"/>
  <c r="N728" i="7"/>
  <c r="O728" i="7"/>
  <c r="P728" i="7"/>
  <c r="B729" i="7"/>
  <c r="C729" i="7"/>
  <c r="D729" i="7"/>
  <c r="E729" i="7"/>
  <c r="F729" i="7"/>
  <c r="G729" i="7"/>
  <c r="H729" i="7"/>
  <c r="I729" i="7"/>
  <c r="J729" i="7"/>
  <c r="K729" i="7"/>
  <c r="L729" i="7"/>
  <c r="M729" i="7"/>
  <c r="N729" i="7"/>
  <c r="O729" i="7"/>
  <c r="P729" i="7"/>
  <c r="B730" i="7"/>
  <c r="C730" i="7"/>
  <c r="D730" i="7"/>
  <c r="E730" i="7"/>
  <c r="F730" i="7"/>
  <c r="G730" i="7"/>
  <c r="H730" i="7"/>
  <c r="I730" i="7"/>
  <c r="J730" i="7"/>
  <c r="K730" i="7"/>
  <c r="L730" i="7"/>
  <c r="M730" i="7"/>
  <c r="N730" i="7"/>
  <c r="O730" i="7"/>
  <c r="P730" i="7"/>
  <c r="B731" i="7"/>
  <c r="C731" i="7"/>
  <c r="D731" i="7"/>
  <c r="E731" i="7"/>
  <c r="F731" i="7"/>
  <c r="G731" i="7"/>
  <c r="H731" i="7"/>
  <c r="I731" i="7"/>
  <c r="J731" i="7"/>
  <c r="K731" i="7"/>
  <c r="L731" i="7"/>
  <c r="M731" i="7"/>
  <c r="N731" i="7"/>
  <c r="O731" i="7"/>
  <c r="P731" i="7"/>
  <c r="B732" i="7"/>
  <c r="C732" i="7"/>
  <c r="D732" i="7"/>
  <c r="E732" i="7"/>
  <c r="F732" i="7"/>
  <c r="G732" i="7"/>
  <c r="H732" i="7"/>
  <c r="I732" i="7"/>
  <c r="J732" i="7"/>
  <c r="K732" i="7"/>
  <c r="L732" i="7"/>
  <c r="M732" i="7"/>
  <c r="N732" i="7"/>
  <c r="O732" i="7"/>
  <c r="P732" i="7"/>
  <c r="B733" i="7"/>
  <c r="C733" i="7"/>
  <c r="D733" i="7"/>
  <c r="E733" i="7"/>
  <c r="F733" i="7"/>
  <c r="G733" i="7"/>
  <c r="H733" i="7"/>
  <c r="I733" i="7"/>
  <c r="J733" i="7"/>
  <c r="K733" i="7"/>
  <c r="L733" i="7"/>
  <c r="M733" i="7"/>
  <c r="N733" i="7"/>
  <c r="O733" i="7"/>
  <c r="U733" i="7" s="1"/>
  <c r="P733" i="7"/>
  <c r="B734" i="7"/>
  <c r="C734" i="7"/>
  <c r="D734" i="7"/>
  <c r="E734" i="7"/>
  <c r="F734" i="7"/>
  <c r="G734" i="7"/>
  <c r="H734" i="7"/>
  <c r="I734" i="7"/>
  <c r="J734" i="7"/>
  <c r="K734" i="7"/>
  <c r="L734" i="7"/>
  <c r="M734" i="7"/>
  <c r="N734" i="7"/>
  <c r="O734" i="7"/>
  <c r="U734" i="7" s="1"/>
  <c r="P734" i="7"/>
  <c r="B735" i="7"/>
  <c r="C735" i="7"/>
  <c r="D735" i="7"/>
  <c r="E735" i="7"/>
  <c r="F735" i="7"/>
  <c r="G735" i="7"/>
  <c r="H735" i="7"/>
  <c r="I735" i="7"/>
  <c r="J735" i="7"/>
  <c r="K735" i="7"/>
  <c r="L735" i="7"/>
  <c r="M735" i="7"/>
  <c r="N735" i="7"/>
  <c r="O735" i="7"/>
  <c r="P735" i="7"/>
  <c r="B736" i="7"/>
  <c r="C736" i="7"/>
  <c r="D736" i="7"/>
  <c r="E736" i="7"/>
  <c r="F736" i="7"/>
  <c r="G736" i="7"/>
  <c r="H736" i="7"/>
  <c r="I736" i="7"/>
  <c r="J736" i="7"/>
  <c r="K736" i="7"/>
  <c r="L736" i="7"/>
  <c r="M736" i="7"/>
  <c r="N736" i="7"/>
  <c r="O736" i="7"/>
  <c r="P736" i="7"/>
  <c r="B737" i="7"/>
  <c r="C737" i="7"/>
  <c r="D737" i="7"/>
  <c r="E737" i="7"/>
  <c r="F737" i="7"/>
  <c r="G737" i="7"/>
  <c r="H737" i="7"/>
  <c r="I737" i="7"/>
  <c r="J737" i="7"/>
  <c r="K737" i="7"/>
  <c r="L737" i="7"/>
  <c r="M737" i="7"/>
  <c r="N737" i="7"/>
  <c r="O737" i="7"/>
  <c r="P737" i="7"/>
  <c r="B738" i="7"/>
  <c r="C738" i="7"/>
  <c r="D738" i="7"/>
  <c r="E738" i="7"/>
  <c r="F738" i="7"/>
  <c r="G738" i="7"/>
  <c r="H738" i="7"/>
  <c r="I738" i="7"/>
  <c r="J738" i="7"/>
  <c r="K738" i="7"/>
  <c r="L738" i="7"/>
  <c r="M738" i="7"/>
  <c r="N738" i="7"/>
  <c r="O738" i="7"/>
  <c r="P738" i="7"/>
  <c r="B739" i="7"/>
  <c r="C739" i="7"/>
  <c r="D739" i="7"/>
  <c r="E739" i="7"/>
  <c r="F739" i="7"/>
  <c r="G739" i="7"/>
  <c r="H739" i="7"/>
  <c r="I739" i="7"/>
  <c r="J739" i="7"/>
  <c r="K739" i="7"/>
  <c r="L739" i="7"/>
  <c r="M739" i="7"/>
  <c r="N739" i="7"/>
  <c r="O739" i="7"/>
  <c r="P739" i="7"/>
  <c r="B740" i="7"/>
  <c r="C740" i="7"/>
  <c r="D740" i="7"/>
  <c r="E740" i="7"/>
  <c r="F740" i="7"/>
  <c r="G740" i="7"/>
  <c r="H740" i="7"/>
  <c r="I740" i="7"/>
  <c r="J740" i="7"/>
  <c r="K740" i="7"/>
  <c r="L740" i="7"/>
  <c r="M740" i="7"/>
  <c r="N740" i="7"/>
  <c r="O740" i="7"/>
  <c r="U740" i="7" s="1"/>
  <c r="P740" i="7"/>
  <c r="B741" i="7"/>
  <c r="C741" i="7"/>
  <c r="D741" i="7"/>
  <c r="E741" i="7"/>
  <c r="F741" i="7"/>
  <c r="G741" i="7"/>
  <c r="H741" i="7"/>
  <c r="I741" i="7"/>
  <c r="J741" i="7"/>
  <c r="K741" i="7"/>
  <c r="L741" i="7"/>
  <c r="M741" i="7"/>
  <c r="N741" i="7"/>
  <c r="O741" i="7"/>
  <c r="U741" i="7" s="1"/>
  <c r="P741" i="7"/>
  <c r="B742" i="7"/>
  <c r="C742" i="7"/>
  <c r="D742" i="7"/>
  <c r="E742" i="7"/>
  <c r="F742" i="7"/>
  <c r="G742" i="7"/>
  <c r="H742" i="7"/>
  <c r="I742" i="7"/>
  <c r="J742" i="7"/>
  <c r="K742" i="7"/>
  <c r="L742" i="7"/>
  <c r="M742" i="7"/>
  <c r="N742" i="7"/>
  <c r="O742" i="7"/>
  <c r="U742" i="7" s="1"/>
  <c r="P742" i="7"/>
  <c r="B743" i="7"/>
  <c r="C743" i="7"/>
  <c r="D743" i="7"/>
  <c r="E743" i="7"/>
  <c r="F743" i="7"/>
  <c r="G743" i="7"/>
  <c r="H743" i="7"/>
  <c r="I743" i="7"/>
  <c r="J743" i="7"/>
  <c r="K743" i="7"/>
  <c r="L743" i="7"/>
  <c r="M743" i="7"/>
  <c r="N743" i="7"/>
  <c r="O743" i="7"/>
  <c r="P743" i="7"/>
  <c r="B744" i="7"/>
  <c r="C744" i="7"/>
  <c r="D744" i="7"/>
  <c r="E744" i="7"/>
  <c r="F744" i="7"/>
  <c r="G744" i="7"/>
  <c r="H744" i="7"/>
  <c r="I744" i="7"/>
  <c r="J744" i="7"/>
  <c r="K744" i="7"/>
  <c r="L744" i="7"/>
  <c r="M744" i="7"/>
  <c r="N744" i="7"/>
  <c r="O744" i="7"/>
  <c r="P744" i="7"/>
  <c r="B745" i="7"/>
  <c r="C745" i="7"/>
  <c r="D745" i="7"/>
  <c r="E745" i="7"/>
  <c r="F745" i="7"/>
  <c r="G745" i="7"/>
  <c r="H745" i="7"/>
  <c r="I745" i="7"/>
  <c r="J745" i="7"/>
  <c r="K745" i="7"/>
  <c r="L745" i="7"/>
  <c r="M745" i="7"/>
  <c r="N745" i="7"/>
  <c r="O745" i="7"/>
  <c r="P745" i="7"/>
  <c r="B746" i="7"/>
  <c r="C746" i="7"/>
  <c r="D746" i="7"/>
  <c r="E746" i="7"/>
  <c r="F746" i="7"/>
  <c r="G746" i="7"/>
  <c r="H746" i="7"/>
  <c r="I746" i="7"/>
  <c r="J746" i="7"/>
  <c r="K746" i="7"/>
  <c r="L746" i="7"/>
  <c r="M746" i="7"/>
  <c r="N746" i="7"/>
  <c r="O746" i="7"/>
  <c r="P746" i="7"/>
  <c r="B747" i="7"/>
  <c r="C747" i="7"/>
  <c r="D747" i="7"/>
  <c r="E747" i="7"/>
  <c r="F747" i="7"/>
  <c r="G747" i="7"/>
  <c r="H747" i="7"/>
  <c r="I747" i="7"/>
  <c r="J747" i="7"/>
  <c r="K747" i="7"/>
  <c r="L747" i="7"/>
  <c r="M747" i="7"/>
  <c r="N747" i="7"/>
  <c r="O747" i="7"/>
  <c r="P747" i="7"/>
  <c r="B748" i="7"/>
  <c r="C748" i="7"/>
  <c r="D748" i="7"/>
  <c r="E748" i="7"/>
  <c r="F748" i="7"/>
  <c r="G748" i="7"/>
  <c r="H748" i="7"/>
  <c r="I748" i="7"/>
  <c r="J748" i="7"/>
  <c r="K748" i="7"/>
  <c r="L748" i="7"/>
  <c r="M748" i="7"/>
  <c r="N748" i="7"/>
  <c r="O748" i="7"/>
  <c r="P748" i="7"/>
  <c r="B749" i="7"/>
  <c r="C749" i="7"/>
  <c r="D749" i="7"/>
  <c r="E749" i="7"/>
  <c r="F749" i="7"/>
  <c r="G749" i="7"/>
  <c r="H749" i="7"/>
  <c r="I749" i="7"/>
  <c r="J749" i="7"/>
  <c r="K749" i="7"/>
  <c r="L749" i="7"/>
  <c r="M749" i="7"/>
  <c r="N749" i="7"/>
  <c r="O749" i="7"/>
  <c r="U749" i="7" s="1"/>
  <c r="P749" i="7"/>
  <c r="B750" i="7"/>
  <c r="C750" i="7"/>
  <c r="D750" i="7"/>
  <c r="E750" i="7"/>
  <c r="F750" i="7"/>
  <c r="G750" i="7"/>
  <c r="H750" i="7"/>
  <c r="I750" i="7"/>
  <c r="J750" i="7"/>
  <c r="K750" i="7"/>
  <c r="L750" i="7"/>
  <c r="M750" i="7"/>
  <c r="N750" i="7"/>
  <c r="O750" i="7"/>
  <c r="U750" i="7" s="1"/>
  <c r="P750" i="7"/>
  <c r="B751" i="7"/>
  <c r="C751" i="7"/>
  <c r="D751" i="7"/>
  <c r="E751" i="7"/>
  <c r="F751" i="7"/>
  <c r="G751" i="7"/>
  <c r="H751" i="7"/>
  <c r="I751" i="7"/>
  <c r="J751" i="7"/>
  <c r="K751" i="7"/>
  <c r="L751" i="7"/>
  <c r="M751" i="7"/>
  <c r="N751" i="7"/>
  <c r="O751" i="7"/>
  <c r="P751" i="7"/>
  <c r="B752" i="7"/>
  <c r="C752" i="7"/>
  <c r="D752" i="7"/>
  <c r="E752" i="7"/>
  <c r="F752" i="7"/>
  <c r="G752" i="7"/>
  <c r="H752" i="7"/>
  <c r="I752" i="7"/>
  <c r="J752" i="7"/>
  <c r="K752" i="7"/>
  <c r="L752" i="7"/>
  <c r="M752" i="7"/>
  <c r="N752" i="7"/>
  <c r="O752" i="7"/>
  <c r="P752" i="7"/>
  <c r="B753" i="7"/>
  <c r="C753" i="7"/>
  <c r="D753" i="7"/>
  <c r="E753" i="7"/>
  <c r="F753" i="7"/>
  <c r="G753" i="7"/>
  <c r="H753" i="7"/>
  <c r="I753" i="7"/>
  <c r="J753" i="7"/>
  <c r="K753" i="7"/>
  <c r="L753" i="7"/>
  <c r="M753" i="7"/>
  <c r="N753" i="7"/>
  <c r="O753" i="7"/>
  <c r="P753" i="7"/>
  <c r="B754" i="7"/>
  <c r="C754" i="7"/>
  <c r="D754" i="7"/>
  <c r="E754" i="7"/>
  <c r="F754" i="7"/>
  <c r="G754" i="7"/>
  <c r="H754" i="7"/>
  <c r="I754" i="7"/>
  <c r="J754" i="7"/>
  <c r="K754" i="7"/>
  <c r="L754" i="7"/>
  <c r="M754" i="7"/>
  <c r="N754" i="7"/>
  <c r="O754" i="7"/>
  <c r="P754" i="7"/>
  <c r="B755" i="7"/>
  <c r="C755" i="7"/>
  <c r="D755" i="7"/>
  <c r="E755" i="7"/>
  <c r="F755" i="7"/>
  <c r="G755" i="7"/>
  <c r="H755" i="7"/>
  <c r="I755" i="7"/>
  <c r="J755" i="7"/>
  <c r="K755" i="7"/>
  <c r="L755" i="7"/>
  <c r="M755" i="7"/>
  <c r="N755" i="7"/>
  <c r="O755" i="7"/>
  <c r="P755" i="7"/>
  <c r="B756" i="7"/>
  <c r="C756" i="7"/>
  <c r="D756" i="7"/>
  <c r="E756" i="7"/>
  <c r="F756" i="7"/>
  <c r="G756" i="7"/>
  <c r="H756" i="7"/>
  <c r="I756" i="7"/>
  <c r="J756" i="7"/>
  <c r="K756" i="7"/>
  <c r="L756" i="7"/>
  <c r="M756" i="7"/>
  <c r="N756" i="7"/>
  <c r="O756" i="7"/>
  <c r="U756" i="7" s="1"/>
  <c r="P756" i="7"/>
  <c r="B757" i="7"/>
  <c r="C757" i="7"/>
  <c r="D757" i="7"/>
  <c r="E757" i="7"/>
  <c r="F757" i="7"/>
  <c r="G757" i="7"/>
  <c r="H757" i="7"/>
  <c r="I757" i="7"/>
  <c r="J757" i="7"/>
  <c r="K757" i="7"/>
  <c r="L757" i="7"/>
  <c r="M757" i="7"/>
  <c r="N757" i="7"/>
  <c r="O757" i="7"/>
  <c r="P757" i="7"/>
  <c r="B758" i="7"/>
  <c r="C758" i="7"/>
  <c r="D758" i="7"/>
  <c r="E758" i="7"/>
  <c r="F758" i="7"/>
  <c r="G758" i="7"/>
  <c r="H758" i="7"/>
  <c r="I758" i="7"/>
  <c r="J758" i="7"/>
  <c r="K758" i="7"/>
  <c r="L758" i="7"/>
  <c r="M758" i="7"/>
  <c r="N758" i="7"/>
  <c r="O758" i="7"/>
  <c r="P758" i="7"/>
  <c r="B759" i="7"/>
  <c r="C759" i="7"/>
  <c r="D759" i="7"/>
  <c r="E759" i="7"/>
  <c r="F759" i="7"/>
  <c r="G759" i="7"/>
  <c r="H759" i="7"/>
  <c r="I759" i="7"/>
  <c r="J759" i="7"/>
  <c r="K759" i="7"/>
  <c r="L759" i="7"/>
  <c r="M759" i="7"/>
  <c r="N759" i="7"/>
  <c r="O759" i="7"/>
  <c r="P759" i="7"/>
  <c r="B760" i="7"/>
  <c r="C760" i="7"/>
  <c r="D760" i="7"/>
  <c r="E760" i="7"/>
  <c r="F760" i="7"/>
  <c r="G760" i="7"/>
  <c r="H760" i="7"/>
  <c r="I760" i="7"/>
  <c r="J760" i="7"/>
  <c r="K760" i="7"/>
  <c r="L760" i="7"/>
  <c r="M760" i="7"/>
  <c r="N760" i="7"/>
  <c r="O760" i="7"/>
  <c r="P760" i="7"/>
  <c r="B761" i="7"/>
  <c r="C761" i="7"/>
  <c r="D761" i="7"/>
  <c r="E761" i="7"/>
  <c r="F761" i="7"/>
  <c r="G761" i="7"/>
  <c r="H761" i="7"/>
  <c r="I761" i="7"/>
  <c r="J761" i="7"/>
  <c r="K761" i="7"/>
  <c r="L761" i="7"/>
  <c r="M761" i="7"/>
  <c r="N761" i="7"/>
  <c r="O761" i="7"/>
  <c r="P761" i="7"/>
  <c r="B762" i="7"/>
  <c r="C762" i="7"/>
  <c r="D762" i="7"/>
  <c r="E762" i="7"/>
  <c r="F762" i="7"/>
  <c r="G762" i="7"/>
  <c r="H762" i="7"/>
  <c r="I762" i="7"/>
  <c r="J762" i="7"/>
  <c r="K762" i="7"/>
  <c r="L762" i="7"/>
  <c r="M762" i="7"/>
  <c r="N762" i="7"/>
  <c r="O762" i="7"/>
  <c r="P762" i="7"/>
  <c r="B763" i="7"/>
  <c r="C763" i="7"/>
  <c r="D763" i="7"/>
  <c r="E763" i="7"/>
  <c r="F763" i="7"/>
  <c r="G763" i="7"/>
  <c r="H763" i="7"/>
  <c r="I763" i="7"/>
  <c r="J763" i="7"/>
  <c r="K763" i="7"/>
  <c r="L763" i="7"/>
  <c r="M763" i="7"/>
  <c r="N763" i="7"/>
  <c r="O763" i="7"/>
  <c r="P763" i="7"/>
  <c r="B764" i="7"/>
  <c r="C764" i="7"/>
  <c r="D764" i="7"/>
  <c r="E764" i="7"/>
  <c r="F764" i="7"/>
  <c r="G764" i="7"/>
  <c r="H764" i="7"/>
  <c r="I764" i="7"/>
  <c r="J764" i="7"/>
  <c r="K764" i="7"/>
  <c r="L764" i="7"/>
  <c r="M764" i="7"/>
  <c r="N764" i="7"/>
  <c r="O764" i="7"/>
  <c r="P764" i="7"/>
  <c r="B765" i="7"/>
  <c r="C765" i="7"/>
  <c r="D765" i="7"/>
  <c r="E765" i="7"/>
  <c r="F765" i="7"/>
  <c r="G765" i="7"/>
  <c r="H765" i="7"/>
  <c r="I765" i="7"/>
  <c r="J765" i="7"/>
  <c r="K765" i="7"/>
  <c r="L765" i="7"/>
  <c r="M765" i="7"/>
  <c r="N765" i="7"/>
  <c r="O765" i="7"/>
  <c r="P765" i="7"/>
  <c r="B766" i="7"/>
  <c r="C766" i="7"/>
  <c r="D766" i="7"/>
  <c r="E766" i="7"/>
  <c r="F766" i="7"/>
  <c r="G766" i="7"/>
  <c r="H766" i="7"/>
  <c r="I766" i="7"/>
  <c r="J766" i="7"/>
  <c r="K766" i="7"/>
  <c r="L766" i="7"/>
  <c r="M766" i="7"/>
  <c r="N766" i="7"/>
  <c r="O766" i="7"/>
  <c r="P766" i="7"/>
  <c r="B767" i="7"/>
  <c r="C767" i="7"/>
  <c r="D767" i="7"/>
  <c r="E767" i="7"/>
  <c r="F767" i="7"/>
  <c r="G767" i="7"/>
  <c r="H767" i="7"/>
  <c r="I767" i="7"/>
  <c r="J767" i="7"/>
  <c r="K767" i="7"/>
  <c r="L767" i="7"/>
  <c r="M767" i="7"/>
  <c r="N767" i="7"/>
  <c r="O767" i="7"/>
  <c r="P767" i="7"/>
  <c r="B768" i="7"/>
  <c r="C768" i="7"/>
  <c r="D768" i="7"/>
  <c r="E768" i="7"/>
  <c r="F768" i="7"/>
  <c r="G768" i="7"/>
  <c r="H768" i="7"/>
  <c r="I768" i="7"/>
  <c r="J768" i="7"/>
  <c r="K768" i="7"/>
  <c r="L768" i="7"/>
  <c r="M768" i="7"/>
  <c r="N768" i="7"/>
  <c r="O768" i="7"/>
  <c r="P768" i="7"/>
  <c r="B769" i="7"/>
  <c r="C769" i="7"/>
  <c r="D769" i="7"/>
  <c r="E769" i="7"/>
  <c r="F769" i="7"/>
  <c r="G769" i="7"/>
  <c r="H769" i="7"/>
  <c r="I769" i="7"/>
  <c r="J769" i="7"/>
  <c r="K769" i="7"/>
  <c r="L769" i="7"/>
  <c r="M769" i="7"/>
  <c r="N769" i="7"/>
  <c r="O769" i="7"/>
  <c r="P769" i="7"/>
  <c r="B770" i="7"/>
  <c r="C770" i="7"/>
  <c r="D770" i="7"/>
  <c r="E770" i="7"/>
  <c r="F770" i="7"/>
  <c r="G770" i="7"/>
  <c r="H770" i="7"/>
  <c r="I770" i="7"/>
  <c r="J770" i="7"/>
  <c r="K770" i="7"/>
  <c r="L770" i="7"/>
  <c r="M770" i="7"/>
  <c r="N770" i="7"/>
  <c r="O770" i="7"/>
  <c r="P770" i="7"/>
  <c r="B771" i="7"/>
  <c r="C771" i="7"/>
  <c r="D771" i="7"/>
  <c r="E771" i="7"/>
  <c r="F771" i="7"/>
  <c r="G771" i="7"/>
  <c r="H771" i="7"/>
  <c r="I771" i="7"/>
  <c r="J771" i="7"/>
  <c r="K771" i="7"/>
  <c r="L771" i="7"/>
  <c r="M771" i="7"/>
  <c r="N771" i="7"/>
  <c r="O771" i="7"/>
  <c r="P771" i="7"/>
  <c r="B772" i="7"/>
  <c r="C772" i="7"/>
  <c r="D772" i="7"/>
  <c r="E772" i="7"/>
  <c r="F772" i="7"/>
  <c r="G772" i="7"/>
  <c r="H772" i="7"/>
  <c r="I772" i="7"/>
  <c r="J772" i="7"/>
  <c r="K772" i="7"/>
  <c r="L772" i="7"/>
  <c r="M772" i="7"/>
  <c r="N772" i="7"/>
  <c r="O772" i="7"/>
  <c r="P772" i="7"/>
  <c r="B773" i="7"/>
  <c r="C773" i="7"/>
  <c r="D773" i="7"/>
  <c r="E773" i="7"/>
  <c r="F773" i="7"/>
  <c r="G773" i="7"/>
  <c r="H773" i="7"/>
  <c r="I773" i="7"/>
  <c r="J773" i="7"/>
  <c r="K773" i="7"/>
  <c r="L773" i="7"/>
  <c r="M773" i="7"/>
  <c r="N773" i="7"/>
  <c r="O773" i="7"/>
  <c r="U773" i="7" s="1"/>
  <c r="P773" i="7"/>
  <c r="B774" i="7"/>
  <c r="C774" i="7"/>
  <c r="D774" i="7"/>
  <c r="E774" i="7"/>
  <c r="F774" i="7"/>
  <c r="G774" i="7"/>
  <c r="H774" i="7"/>
  <c r="I774" i="7"/>
  <c r="J774" i="7"/>
  <c r="K774" i="7"/>
  <c r="L774" i="7"/>
  <c r="M774" i="7"/>
  <c r="N774" i="7"/>
  <c r="O774" i="7"/>
  <c r="P774" i="7"/>
  <c r="B775" i="7"/>
  <c r="C775" i="7"/>
  <c r="D775" i="7"/>
  <c r="E775" i="7"/>
  <c r="F775" i="7"/>
  <c r="G775" i="7"/>
  <c r="H775" i="7"/>
  <c r="I775" i="7"/>
  <c r="J775" i="7"/>
  <c r="K775" i="7"/>
  <c r="L775" i="7"/>
  <c r="M775" i="7"/>
  <c r="N775" i="7"/>
  <c r="O775" i="7"/>
  <c r="P775" i="7"/>
  <c r="B776" i="7"/>
  <c r="C776" i="7"/>
  <c r="D776" i="7"/>
  <c r="E776" i="7"/>
  <c r="F776" i="7"/>
  <c r="G776" i="7"/>
  <c r="H776" i="7"/>
  <c r="I776" i="7"/>
  <c r="J776" i="7"/>
  <c r="K776" i="7"/>
  <c r="L776" i="7"/>
  <c r="M776" i="7"/>
  <c r="N776" i="7"/>
  <c r="O776" i="7"/>
  <c r="P776" i="7"/>
  <c r="B777" i="7"/>
  <c r="C777" i="7"/>
  <c r="D777" i="7"/>
  <c r="E777" i="7"/>
  <c r="F777" i="7"/>
  <c r="G777" i="7"/>
  <c r="H777" i="7"/>
  <c r="I777" i="7"/>
  <c r="J777" i="7"/>
  <c r="K777" i="7"/>
  <c r="L777" i="7"/>
  <c r="M777" i="7"/>
  <c r="N777" i="7"/>
  <c r="O777" i="7"/>
  <c r="U777" i="7" s="1"/>
  <c r="P777" i="7"/>
  <c r="B778" i="7"/>
  <c r="C778" i="7"/>
  <c r="D778" i="7"/>
  <c r="E778" i="7"/>
  <c r="F778" i="7"/>
  <c r="G778" i="7"/>
  <c r="H778" i="7"/>
  <c r="I778" i="7"/>
  <c r="J778" i="7"/>
  <c r="K778" i="7"/>
  <c r="L778" i="7"/>
  <c r="M778" i="7"/>
  <c r="N778" i="7"/>
  <c r="O778" i="7"/>
  <c r="P778" i="7"/>
  <c r="B779" i="7"/>
  <c r="C779" i="7"/>
  <c r="D779" i="7"/>
  <c r="E779" i="7"/>
  <c r="F779" i="7"/>
  <c r="G779" i="7"/>
  <c r="H779" i="7"/>
  <c r="I779" i="7"/>
  <c r="J779" i="7"/>
  <c r="K779" i="7"/>
  <c r="L779" i="7"/>
  <c r="M779" i="7"/>
  <c r="N779" i="7"/>
  <c r="O779" i="7"/>
  <c r="P779" i="7"/>
  <c r="B780" i="7"/>
  <c r="C780" i="7"/>
  <c r="D780" i="7"/>
  <c r="E780" i="7"/>
  <c r="F780" i="7"/>
  <c r="G780" i="7"/>
  <c r="H780" i="7"/>
  <c r="I780" i="7"/>
  <c r="J780" i="7"/>
  <c r="K780" i="7"/>
  <c r="L780" i="7"/>
  <c r="M780" i="7"/>
  <c r="N780" i="7"/>
  <c r="O780" i="7"/>
  <c r="P780" i="7"/>
  <c r="B781" i="7"/>
  <c r="C781" i="7"/>
  <c r="D781" i="7"/>
  <c r="E781" i="7"/>
  <c r="F781" i="7"/>
  <c r="G781" i="7"/>
  <c r="H781" i="7"/>
  <c r="I781" i="7"/>
  <c r="J781" i="7"/>
  <c r="K781" i="7"/>
  <c r="L781" i="7"/>
  <c r="M781" i="7"/>
  <c r="N781" i="7"/>
  <c r="O781" i="7"/>
  <c r="U781" i="7" s="1"/>
  <c r="P781" i="7"/>
  <c r="B782" i="7"/>
  <c r="C782" i="7"/>
  <c r="D782" i="7"/>
  <c r="E782" i="7"/>
  <c r="F782" i="7"/>
  <c r="G782" i="7"/>
  <c r="H782" i="7"/>
  <c r="I782" i="7"/>
  <c r="J782" i="7"/>
  <c r="K782" i="7"/>
  <c r="L782" i="7"/>
  <c r="M782" i="7"/>
  <c r="N782" i="7"/>
  <c r="O782" i="7"/>
  <c r="U782" i="7" s="1"/>
  <c r="P782" i="7"/>
  <c r="B783" i="7"/>
  <c r="C783" i="7"/>
  <c r="D783" i="7"/>
  <c r="E783" i="7"/>
  <c r="F783" i="7"/>
  <c r="G783" i="7"/>
  <c r="H783" i="7"/>
  <c r="I783" i="7"/>
  <c r="J783" i="7"/>
  <c r="K783" i="7"/>
  <c r="L783" i="7"/>
  <c r="M783" i="7"/>
  <c r="N783" i="7"/>
  <c r="O783" i="7"/>
  <c r="P783" i="7"/>
  <c r="B784" i="7"/>
  <c r="C784" i="7"/>
  <c r="D784" i="7"/>
  <c r="E784" i="7"/>
  <c r="F784" i="7"/>
  <c r="G784" i="7"/>
  <c r="H784" i="7"/>
  <c r="I784" i="7"/>
  <c r="J784" i="7"/>
  <c r="K784" i="7"/>
  <c r="L784" i="7"/>
  <c r="M784" i="7"/>
  <c r="N784" i="7"/>
  <c r="O784" i="7"/>
  <c r="P784" i="7"/>
  <c r="B785" i="7"/>
  <c r="C785" i="7"/>
  <c r="D785" i="7"/>
  <c r="E785" i="7"/>
  <c r="F785" i="7"/>
  <c r="G785" i="7"/>
  <c r="H785" i="7"/>
  <c r="I785" i="7"/>
  <c r="J785" i="7"/>
  <c r="K785" i="7"/>
  <c r="L785" i="7"/>
  <c r="M785" i="7"/>
  <c r="N785" i="7"/>
  <c r="O785" i="7"/>
  <c r="P785" i="7"/>
  <c r="B786" i="7"/>
  <c r="C786" i="7"/>
  <c r="D786" i="7"/>
  <c r="E786" i="7"/>
  <c r="F786" i="7"/>
  <c r="G786" i="7"/>
  <c r="H786" i="7"/>
  <c r="I786" i="7"/>
  <c r="J786" i="7"/>
  <c r="K786" i="7"/>
  <c r="L786" i="7"/>
  <c r="M786" i="7"/>
  <c r="N786" i="7"/>
  <c r="O786" i="7"/>
  <c r="P786" i="7"/>
  <c r="B787" i="7"/>
  <c r="C787" i="7"/>
  <c r="D787" i="7"/>
  <c r="E787" i="7"/>
  <c r="F787" i="7"/>
  <c r="G787" i="7"/>
  <c r="H787" i="7"/>
  <c r="I787" i="7"/>
  <c r="J787" i="7"/>
  <c r="K787" i="7"/>
  <c r="L787" i="7"/>
  <c r="M787" i="7"/>
  <c r="N787" i="7"/>
  <c r="O787" i="7"/>
  <c r="U787" i="7" s="1"/>
  <c r="P787" i="7"/>
  <c r="B788" i="7"/>
  <c r="C788" i="7"/>
  <c r="D788" i="7"/>
  <c r="E788" i="7"/>
  <c r="F788" i="7"/>
  <c r="G788" i="7"/>
  <c r="H788" i="7"/>
  <c r="I788" i="7"/>
  <c r="J788" i="7"/>
  <c r="K788" i="7"/>
  <c r="L788" i="7"/>
  <c r="M788" i="7"/>
  <c r="N788" i="7"/>
  <c r="O788" i="7"/>
  <c r="P788" i="7"/>
  <c r="B789" i="7"/>
  <c r="C789" i="7"/>
  <c r="D789" i="7"/>
  <c r="E789" i="7"/>
  <c r="F789" i="7"/>
  <c r="G789" i="7"/>
  <c r="H789" i="7"/>
  <c r="I789" i="7"/>
  <c r="J789" i="7"/>
  <c r="K789" i="7"/>
  <c r="L789" i="7"/>
  <c r="M789" i="7"/>
  <c r="N789" i="7"/>
  <c r="O789" i="7"/>
  <c r="U789" i="7" s="1"/>
  <c r="P789" i="7"/>
  <c r="B790" i="7"/>
  <c r="C790" i="7"/>
  <c r="D790" i="7"/>
  <c r="E790" i="7"/>
  <c r="F790" i="7"/>
  <c r="G790" i="7"/>
  <c r="H790" i="7"/>
  <c r="I790" i="7"/>
  <c r="J790" i="7"/>
  <c r="K790" i="7"/>
  <c r="L790" i="7"/>
  <c r="M790" i="7"/>
  <c r="N790" i="7"/>
  <c r="O790" i="7"/>
  <c r="U790" i="7" s="1"/>
  <c r="P790" i="7"/>
  <c r="B791" i="7"/>
  <c r="C791" i="7"/>
  <c r="D791" i="7"/>
  <c r="E791" i="7"/>
  <c r="F791" i="7"/>
  <c r="G791" i="7"/>
  <c r="H791" i="7"/>
  <c r="I791" i="7"/>
  <c r="J791" i="7"/>
  <c r="K791" i="7"/>
  <c r="L791" i="7"/>
  <c r="M791" i="7"/>
  <c r="N791" i="7"/>
  <c r="O791" i="7"/>
  <c r="P791" i="7"/>
  <c r="B792" i="7"/>
  <c r="C792" i="7"/>
  <c r="D792" i="7"/>
  <c r="E792" i="7"/>
  <c r="F792" i="7"/>
  <c r="G792" i="7"/>
  <c r="H792" i="7"/>
  <c r="I792" i="7"/>
  <c r="J792" i="7"/>
  <c r="K792" i="7"/>
  <c r="L792" i="7"/>
  <c r="M792" i="7"/>
  <c r="N792" i="7"/>
  <c r="O792" i="7"/>
  <c r="U792" i="7" s="1"/>
  <c r="P792" i="7"/>
  <c r="B793" i="7"/>
  <c r="C793" i="7"/>
  <c r="D793" i="7"/>
  <c r="E793" i="7"/>
  <c r="F793" i="7"/>
  <c r="G793" i="7"/>
  <c r="H793" i="7"/>
  <c r="I793" i="7"/>
  <c r="J793" i="7"/>
  <c r="K793" i="7"/>
  <c r="L793" i="7"/>
  <c r="M793" i="7"/>
  <c r="N793" i="7"/>
  <c r="O793" i="7"/>
  <c r="U793" i="7" s="1"/>
  <c r="P793" i="7"/>
  <c r="B794" i="7"/>
  <c r="C794" i="7"/>
  <c r="D794" i="7"/>
  <c r="E794" i="7"/>
  <c r="F794" i="7"/>
  <c r="G794" i="7"/>
  <c r="H794" i="7"/>
  <c r="I794" i="7"/>
  <c r="J794" i="7"/>
  <c r="K794" i="7"/>
  <c r="L794" i="7"/>
  <c r="M794" i="7"/>
  <c r="N794" i="7"/>
  <c r="O794" i="7"/>
  <c r="U794" i="7" s="1"/>
  <c r="P794" i="7"/>
  <c r="B795" i="7"/>
  <c r="C795" i="7"/>
  <c r="D795" i="7"/>
  <c r="E795" i="7"/>
  <c r="F795" i="7"/>
  <c r="G795" i="7"/>
  <c r="H795" i="7"/>
  <c r="I795" i="7"/>
  <c r="J795" i="7"/>
  <c r="K795" i="7"/>
  <c r="L795" i="7"/>
  <c r="M795" i="7"/>
  <c r="N795" i="7"/>
  <c r="O795" i="7"/>
  <c r="P795" i="7"/>
  <c r="B796" i="7"/>
  <c r="C796" i="7"/>
  <c r="D796" i="7"/>
  <c r="E796" i="7"/>
  <c r="F796" i="7"/>
  <c r="G796" i="7"/>
  <c r="H796" i="7"/>
  <c r="I796" i="7"/>
  <c r="J796" i="7"/>
  <c r="K796" i="7"/>
  <c r="L796" i="7"/>
  <c r="M796" i="7"/>
  <c r="N796" i="7"/>
  <c r="O796" i="7"/>
  <c r="U796" i="7" s="1"/>
  <c r="P796" i="7"/>
  <c r="B797" i="7"/>
  <c r="C797" i="7"/>
  <c r="D797" i="7"/>
  <c r="E797" i="7"/>
  <c r="F797" i="7"/>
  <c r="G797" i="7"/>
  <c r="H797" i="7"/>
  <c r="I797" i="7"/>
  <c r="J797" i="7"/>
  <c r="K797" i="7"/>
  <c r="L797" i="7"/>
  <c r="M797" i="7"/>
  <c r="N797" i="7"/>
  <c r="O797" i="7"/>
  <c r="P797" i="7"/>
  <c r="B798" i="7"/>
  <c r="C798" i="7"/>
  <c r="D798" i="7"/>
  <c r="E798" i="7"/>
  <c r="F798" i="7"/>
  <c r="G798" i="7"/>
  <c r="H798" i="7"/>
  <c r="I798" i="7"/>
  <c r="J798" i="7"/>
  <c r="K798" i="7"/>
  <c r="L798" i="7"/>
  <c r="M798" i="7"/>
  <c r="N798" i="7"/>
  <c r="O798" i="7"/>
  <c r="U798" i="7" s="1"/>
  <c r="P798" i="7"/>
  <c r="B799" i="7"/>
  <c r="C799" i="7"/>
  <c r="D799" i="7"/>
  <c r="E799" i="7"/>
  <c r="F799" i="7"/>
  <c r="G799" i="7"/>
  <c r="H799" i="7"/>
  <c r="I799" i="7"/>
  <c r="J799" i="7"/>
  <c r="K799" i="7"/>
  <c r="L799" i="7"/>
  <c r="M799" i="7"/>
  <c r="N799" i="7"/>
  <c r="O799" i="7"/>
  <c r="P799" i="7"/>
  <c r="B800" i="7"/>
  <c r="C800" i="7"/>
  <c r="D800" i="7"/>
  <c r="E800" i="7"/>
  <c r="F800" i="7"/>
  <c r="G800" i="7"/>
  <c r="H800" i="7"/>
  <c r="I800" i="7"/>
  <c r="J800" i="7"/>
  <c r="K800" i="7"/>
  <c r="L800" i="7"/>
  <c r="M800" i="7"/>
  <c r="N800" i="7"/>
  <c r="O800" i="7"/>
  <c r="P800" i="7"/>
  <c r="B801" i="7"/>
  <c r="C801" i="7"/>
  <c r="D801" i="7"/>
  <c r="E801" i="7"/>
  <c r="F801" i="7"/>
  <c r="G801" i="7"/>
  <c r="H801" i="7"/>
  <c r="I801" i="7"/>
  <c r="J801" i="7"/>
  <c r="K801" i="7"/>
  <c r="L801" i="7"/>
  <c r="M801" i="7"/>
  <c r="N801" i="7"/>
  <c r="O801" i="7"/>
  <c r="P801" i="7"/>
  <c r="B802" i="7"/>
  <c r="C802" i="7"/>
  <c r="D802" i="7"/>
  <c r="E802" i="7"/>
  <c r="F802" i="7"/>
  <c r="G802" i="7"/>
  <c r="H802" i="7"/>
  <c r="I802" i="7"/>
  <c r="J802" i="7"/>
  <c r="K802" i="7"/>
  <c r="L802" i="7"/>
  <c r="M802" i="7"/>
  <c r="N802" i="7"/>
  <c r="O802" i="7"/>
  <c r="U802" i="7" s="1"/>
  <c r="P802" i="7"/>
  <c r="B803" i="7"/>
  <c r="C803" i="7"/>
  <c r="D803" i="7"/>
  <c r="E803" i="7"/>
  <c r="F803" i="7"/>
  <c r="G803" i="7"/>
  <c r="H803" i="7"/>
  <c r="I803" i="7"/>
  <c r="J803" i="7"/>
  <c r="K803" i="7"/>
  <c r="L803" i="7"/>
  <c r="M803" i="7"/>
  <c r="N803" i="7"/>
  <c r="O803" i="7"/>
  <c r="U803" i="7" s="1"/>
  <c r="P803" i="7"/>
  <c r="B804" i="7"/>
  <c r="C804" i="7"/>
  <c r="D804" i="7"/>
  <c r="E804" i="7"/>
  <c r="F804" i="7"/>
  <c r="G804" i="7"/>
  <c r="H804" i="7"/>
  <c r="I804" i="7"/>
  <c r="J804" i="7"/>
  <c r="K804" i="7"/>
  <c r="L804" i="7"/>
  <c r="M804" i="7"/>
  <c r="N804" i="7"/>
  <c r="O804" i="7"/>
  <c r="U804" i="7" s="1"/>
  <c r="P804" i="7"/>
  <c r="B805" i="7"/>
  <c r="C805" i="7"/>
  <c r="D805" i="7"/>
  <c r="E805" i="7"/>
  <c r="F805" i="7"/>
  <c r="G805" i="7"/>
  <c r="H805" i="7"/>
  <c r="I805" i="7"/>
  <c r="J805" i="7"/>
  <c r="K805" i="7"/>
  <c r="L805" i="7"/>
  <c r="M805" i="7"/>
  <c r="N805" i="7"/>
  <c r="O805" i="7"/>
  <c r="U805" i="7" s="1"/>
  <c r="P805" i="7"/>
  <c r="B806" i="7"/>
  <c r="C806" i="7"/>
  <c r="D806" i="7"/>
  <c r="E806" i="7"/>
  <c r="F806" i="7"/>
  <c r="G806" i="7"/>
  <c r="H806" i="7"/>
  <c r="I806" i="7"/>
  <c r="J806" i="7"/>
  <c r="K806" i="7"/>
  <c r="L806" i="7"/>
  <c r="M806" i="7"/>
  <c r="N806" i="7"/>
  <c r="O806" i="7"/>
  <c r="P806" i="7"/>
  <c r="B807" i="7"/>
  <c r="C807" i="7"/>
  <c r="D807" i="7"/>
  <c r="E807" i="7"/>
  <c r="F807" i="7"/>
  <c r="G807" i="7"/>
  <c r="H807" i="7"/>
  <c r="I807" i="7"/>
  <c r="J807" i="7"/>
  <c r="K807" i="7"/>
  <c r="L807" i="7"/>
  <c r="M807" i="7"/>
  <c r="N807" i="7"/>
  <c r="O807" i="7"/>
  <c r="P807" i="7"/>
  <c r="B808" i="7"/>
  <c r="C808" i="7"/>
  <c r="D808" i="7"/>
  <c r="E808" i="7"/>
  <c r="F808" i="7"/>
  <c r="G808" i="7"/>
  <c r="H808" i="7"/>
  <c r="I808" i="7"/>
  <c r="J808" i="7"/>
  <c r="K808" i="7"/>
  <c r="L808" i="7"/>
  <c r="M808" i="7"/>
  <c r="N808" i="7"/>
  <c r="O808" i="7"/>
  <c r="P808" i="7"/>
  <c r="B809" i="7"/>
  <c r="C809" i="7"/>
  <c r="D809" i="7"/>
  <c r="E809" i="7"/>
  <c r="F809" i="7"/>
  <c r="G809" i="7"/>
  <c r="H809" i="7"/>
  <c r="I809" i="7"/>
  <c r="J809" i="7"/>
  <c r="K809" i="7"/>
  <c r="L809" i="7"/>
  <c r="M809" i="7"/>
  <c r="N809" i="7"/>
  <c r="O809" i="7"/>
  <c r="U809" i="7" s="1"/>
  <c r="P809" i="7"/>
  <c r="B810" i="7"/>
  <c r="C810" i="7"/>
  <c r="D810" i="7"/>
  <c r="E810" i="7"/>
  <c r="F810" i="7"/>
  <c r="G810" i="7"/>
  <c r="H810" i="7"/>
  <c r="I810" i="7"/>
  <c r="J810" i="7"/>
  <c r="K810" i="7"/>
  <c r="L810" i="7"/>
  <c r="M810" i="7"/>
  <c r="N810" i="7"/>
  <c r="O810" i="7"/>
  <c r="P810" i="7"/>
  <c r="B811" i="7"/>
  <c r="C811" i="7"/>
  <c r="D811" i="7"/>
  <c r="E811" i="7"/>
  <c r="F811" i="7"/>
  <c r="G811" i="7"/>
  <c r="H811" i="7"/>
  <c r="I811" i="7"/>
  <c r="J811" i="7"/>
  <c r="K811" i="7"/>
  <c r="L811" i="7"/>
  <c r="M811" i="7"/>
  <c r="N811" i="7"/>
  <c r="O811" i="7"/>
  <c r="U811" i="7" s="1"/>
  <c r="P811" i="7"/>
  <c r="B812" i="7"/>
  <c r="C812" i="7"/>
  <c r="D812" i="7"/>
  <c r="E812" i="7"/>
  <c r="F812" i="7"/>
  <c r="G812" i="7"/>
  <c r="H812" i="7"/>
  <c r="I812" i="7"/>
  <c r="J812" i="7"/>
  <c r="K812" i="7"/>
  <c r="L812" i="7"/>
  <c r="M812" i="7"/>
  <c r="N812" i="7"/>
  <c r="O812" i="7"/>
  <c r="U812" i="7" s="1"/>
  <c r="P812" i="7"/>
  <c r="B813" i="7"/>
  <c r="C813" i="7"/>
  <c r="D813" i="7"/>
  <c r="E813" i="7"/>
  <c r="F813" i="7"/>
  <c r="G813" i="7"/>
  <c r="H813" i="7"/>
  <c r="I813" i="7"/>
  <c r="J813" i="7"/>
  <c r="K813" i="7"/>
  <c r="L813" i="7"/>
  <c r="M813" i="7"/>
  <c r="N813" i="7"/>
  <c r="O813" i="7"/>
  <c r="U813" i="7" s="1"/>
  <c r="P813" i="7"/>
  <c r="B814" i="7"/>
  <c r="C814" i="7"/>
  <c r="D814" i="7"/>
  <c r="E814" i="7"/>
  <c r="F814" i="7"/>
  <c r="G814" i="7"/>
  <c r="H814" i="7"/>
  <c r="I814" i="7"/>
  <c r="J814" i="7"/>
  <c r="K814" i="7"/>
  <c r="L814" i="7"/>
  <c r="M814" i="7"/>
  <c r="N814" i="7"/>
  <c r="O814" i="7"/>
  <c r="U814" i="7" s="1"/>
  <c r="P814" i="7"/>
  <c r="B815" i="7"/>
  <c r="C815" i="7"/>
  <c r="D815" i="7"/>
  <c r="E815" i="7"/>
  <c r="F815" i="7"/>
  <c r="G815" i="7"/>
  <c r="H815" i="7"/>
  <c r="I815" i="7"/>
  <c r="J815" i="7"/>
  <c r="K815" i="7"/>
  <c r="L815" i="7"/>
  <c r="M815" i="7"/>
  <c r="N815" i="7"/>
  <c r="O815" i="7"/>
  <c r="U815" i="7" s="1"/>
  <c r="P815" i="7"/>
  <c r="B816" i="7"/>
  <c r="C816" i="7"/>
  <c r="D816" i="7"/>
  <c r="E816" i="7"/>
  <c r="F816" i="7"/>
  <c r="G816" i="7"/>
  <c r="H816" i="7"/>
  <c r="I816" i="7"/>
  <c r="J816" i="7"/>
  <c r="K816" i="7"/>
  <c r="L816" i="7"/>
  <c r="M816" i="7"/>
  <c r="N816" i="7"/>
  <c r="O816" i="7"/>
  <c r="U816" i="7" s="1"/>
  <c r="P816" i="7"/>
  <c r="B817" i="7"/>
  <c r="C817" i="7"/>
  <c r="D817" i="7"/>
  <c r="E817" i="7"/>
  <c r="F817" i="7"/>
  <c r="G817" i="7"/>
  <c r="H817" i="7"/>
  <c r="I817" i="7"/>
  <c r="J817" i="7"/>
  <c r="K817" i="7"/>
  <c r="L817" i="7"/>
  <c r="M817" i="7"/>
  <c r="N817" i="7"/>
  <c r="O817" i="7"/>
  <c r="U817" i="7" s="1"/>
  <c r="P817" i="7"/>
  <c r="B818" i="7"/>
  <c r="C818" i="7"/>
  <c r="D818" i="7"/>
  <c r="E818" i="7"/>
  <c r="F818" i="7"/>
  <c r="G818" i="7"/>
  <c r="H818" i="7"/>
  <c r="I818" i="7"/>
  <c r="J818" i="7"/>
  <c r="K818" i="7"/>
  <c r="L818" i="7"/>
  <c r="M818" i="7"/>
  <c r="N818" i="7"/>
  <c r="O818" i="7"/>
  <c r="U818" i="7" s="1"/>
  <c r="P818" i="7"/>
  <c r="B819" i="7"/>
  <c r="C819" i="7"/>
  <c r="D819" i="7"/>
  <c r="E819" i="7"/>
  <c r="F819" i="7"/>
  <c r="G819" i="7"/>
  <c r="H819" i="7"/>
  <c r="I819" i="7"/>
  <c r="J819" i="7"/>
  <c r="K819" i="7"/>
  <c r="L819" i="7"/>
  <c r="M819" i="7"/>
  <c r="N819" i="7"/>
  <c r="O819" i="7"/>
  <c r="U819" i="7" s="1"/>
  <c r="P819" i="7"/>
  <c r="B820" i="7"/>
  <c r="C820" i="7"/>
  <c r="D820" i="7"/>
  <c r="E820" i="7"/>
  <c r="F820" i="7"/>
  <c r="G820" i="7"/>
  <c r="H820" i="7"/>
  <c r="I820" i="7"/>
  <c r="J820" i="7"/>
  <c r="K820" i="7"/>
  <c r="L820" i="7"/>
  <c r="M820" i="7"/>
  <c r="N820" i="7"/>
  <c r="O820" i="7"/>
  <c r="U820" i="7" s="1"/>
  <c r="P820" i="7"/>
  <c r="B821" i="7"/>
  <c r="C821" i="7"/>
  <c r="D821" i="7"/>
  <c r="E821" i="7"/>
  <c r="F821" i="7"/>
  <c r="G821" i="7"/>
  <c r="H821" i="7"/>
  <c r="I821" i="7"/>
  <c r="J821" i="7"/>
  <c r="K821" i="7"/>
  <c r="L821" i="7"/>
  <c r="M821" i="7"/>
  <c r="N821" i="7"/>
  <c r="O821" i="7"/>
  <c r="U821" i="7" s="1"/>
  <c r="P821" i="7"/>
  <c r="B822" i="7"/>
  <c r="C822" i="7"/>
  <c r="D822" i="7"/>
  <c r="E822" i="7"/>
  <c r="F822" i="7"/>
  <c r="G822" i="7"/>
  <c r="H822" i="7"/>
  <c r="I822" i="7"/>
  <c r="J822" i="7"/>
  <c r="K822" i="7"/>
  <c r="L822" i="7"/>
  <c r="M822" i="7"/>
  <c r="N822" i="7"/>
  <c r="O822" i="7"/>
  <c r="P822" i="7"/>
  <c r="B823" i="7"/>
  <c r="C823" i="7"/>
  <c r="D823" i="7"/>
  <c r="E823" i="7"/>
  <c r="F823" i="7"/>
  <c r="G823" i="7"/>
  <c r="H823" i="7"/>
  <c r="I823" i="7"/>
  <c r="J823" i="7"/>
  <c r="K823" i="7"/>
  <c r="L823" i="7"/>
  <c r="M823" i="7"/>
  <c r="N823" i="7"/>
  <c r="O823" i="7"/>
  <c r="U823" i="7" s="1"/>
  <c r="P823" i="7"/>
  <c r="B824" i="7"/>
  <c r="C824" i="7"/>
  <c r="D824" i="7"/>
  <c r="E824" i="7"/>
  <c r="F824" i="7"/>
  <c r="G824" i="7"/>
  <c r="H824" i="7"/>
  <c r="I824" i="7"/>
  <c r="J824" i="7"/>
  <c r="K824" i="7"/>
  <c r="L824" i="7"/>
  <c r="M824" i="7"/>
  <c r="N824" i="7"/>
  <c r="O824" i="7"/>
  <c r="U824" i="7" s="1"/>
  <c r="P824" i="7"/>
  <c r="B825" i="7"/>
  <c r="C825" i="7"/>
  <c r="D825" i="7"/>
  <c r="E825" i="7"/>
  <c r="F825" i="7"/>
  <c r="G825" i="7"/>
  <c r="H825" i="7"/>
  <c r="I825" i="7"/>
  <c r="J825" i="7"/>
  <c r="K825" i="7"/>
  <c r="L825" i="7"/>
  <c r="M825" i="7"/>
  <c r="N825" i="7"/>
  <c r="O825" i="7"/>
  <c r="U825" i="7" s="1"/>
  <c r="P825" i="7"/>
  <c r="B826" i="7"/>
  <c r="C826" i="7"/>
  <c r="D826" i="7"/>
  <c r="E826" i="7"/>
  <c r="F826" i="7"/>
  <c r="G826" i="7"/>
  <c r="H826" i="7"/>
  <c r="I826" i="7"/>
  <c r="J826" i="7"/>
  <c r="K826" i="7"/>
  <c r="L826" i="7"/>
  <c r="M826" i="7"/>
  <c r="N826" i="7"/>
  <c r="O826" i="7"/>
  <c r="P826" i="7"/>
  <c r="B827" i="7"/>
  <c r="C827" i="7"/>
  <c r="D827" i="7"/>
  <c r="E827" i="7"/>
  <c r="F827" i="7"/>
  <c r="G827" i="7"/>
  <c r="H827" i="7"/>
  <c r="I827" i="7"/>
  <c r="J827" i="7"/>
  <c r="K827" i="7"/>
  <c r="L827" i="7"/>
  <c r="M827" i="7"/>
  <c r="N827" i="7"/>
  <c r="O827" i="7"/>
  <c r="U827" i="7" s="1"/>
  <c r="P827" i="7"/>
  <c r="B828" i="7"/>
  <c r="C828" i="7"/>
  <c r="D828" i="7"/>
  <c r="E828" i="7"/>
  <c r="F828" i="7"/>
  <c r="G828" i="7"/>
  <c r="H828" i="7"/>
  <c r="I828" i="7"/>
  <c r="J828" i="7"/>
  <c r="K828" i="7"/>
  <c r="L828" i="7"/>
  <c r="M828" i="7"/>
  <c r="N828" i="7"/>
  <c r="O828" i="7"/>
  <c r="U828" i="7" s="1"/>
  <c r="P828" i="7"/>
  <c r="B829" i="7"/>
  <c r="C829" i="7"/>
  <c r="D829" i="7"/>
  <c r="E829" i="7"/>
  <c r="F829" i="7"/>
  <c r="G829" i="7"/>
  <c r="H829" i="7"/>
  <c r="I829" i="7"/>
  <c r="J829" i="7"/>
  <c r="K829" i="7"/>
  <c r="L829" i="7"/>
  <c r="M829" i="7"/>
  <c r="N829" i="7"/>
  <c r="O829" i="7"/>
  <c r="U829" i="7" s="1"/>
  <c r="P829" i="7"/>
  <c r="B830" i="7"/>
  <c r="C830" i="7"/>
  <c r="D830" i="7"/>
  <c r="E830" i="7"/>
  <c r="F830" i="7"/>
  <c r="G830" i="7"/>
  <c r="H830" i="7"/>
  <c r="I830" i="7"/>
  <c r="J830" i="7"/>
  <c r="K830" i="7"/>
  <c r="L830" i="7"/>
  <c r="M830" i="7"/>
  <c r="N830" i="7"/>
  <c r="O830" i="7"/>
  <c r="P830" i="7"/>
  <c r="B831" i="7"/>
  <c r="C831" i="7"/>
  <c r="D831" i="7"/>
  <c r="E831" i="7"/>
  <c r="F831" i="7"/>
  <c r="G831" i="7"/>
  <c r="H831" i="7"/>
  <c r="I831" i="7"/>
  <c r="J831" i="7"/>
  <c r="K831" i="7"/>
  <c r="L831" i="7"/>
  <c r="M831" i="7"/>
  <c r="N831" i="7"/>
  <c r="O831" i="7"/>
  <c r="U831" i="7" s="1"/>
  <c r="P831" i="7"/>
  <c r="B832" i="7"/>
  <c r="C832" i="7"/>
  <c r="D832" i="7"/>
  <c r="E832" i="7"/>
  <c r="F832" i="7"/>
  <c r="G832" i="7"/>
  <c r="H832" i="7"/>
  <c r="I832" i="7"/>
  <c r="J832" i="7"/>
  <c r="K832" i="7"/>
  <c r="L832" i="7"/>
  <c r="M832" i="7"/>
  <c r="N832" i="7"/>
  <c r="O832" i="7"/>
  <c r="U832" i="7" s="1"/>
  <c r="P832" i="7"/>
  <c r="B833" i="7"/>
  <c r="C833" i="7"/>
  <c r="D833" i="7"/>
  <c r="E833" i="7"/>
  <c r="F833" i="7"/>
  <c r="G833" i="7"/>
  <c r="H833" i="7"/>
  <c r="I833" i="7"/>
  <c r="J833" i="7"/>
  <c r="K833" i="7"/>
  <c r="L833" i="7"/>
  <c r="M833" i="7"/>
  <c r="N833" i="7"/>
  <c r="O833" i="7"/>
  <c r="U833" i="7" s="1"/>
  <c r="P833" i="7"/>
  <c r="B834" i="7"/>
  <c r="C834" i="7"/>
  <c r="D834" i="7"/>
  <c r="E834" i="7"/>
  <c r="F834" i="7"/>
  <c r="G834" i="7"/>
  <c r="H834" i="7"/>
  <c r="I834" i="7"/>
  <c r="J834" i="7"/>
  <c r="K834" i="7"/>
  <c r="L834" i="7"/>
  <c r="M834" i="7"/>
  <c r="N834" i="7"/>
  <c r="O834" i="7"/>
  <c r="U834" i="7" s="1"/>
  <c r="P834" i="7"/>
  <c r="B835" i="7"/>
  <c r="C835" i="7"/>
  <c r="D835" i="7"/>
  <c r="E835" i="7"/>
  <c r="F835" i="7"/>
  <c r="G835" i="7"/>
  <c r="H835" i="7"/>
  <c r="I835" i="7"/>
  <c r="J835" i="7"/>
  <c r="K835" i="7"/>
  <c r="L835" i="7"/>
  <c r="M835" i="7"/>
  <c r="N835" i="7"/>
  <c r="O835" i="7"/>
  <c r="U835" i="7" s="1"/>
  <c r="P835" i="7"/>
  <c r="B836" i="7"/>
  <c r="C836" i="7"/>
  <c r="D836" i="7"/>
  <c r="E836" i="7"/>
  <c r="F836" i="7"/>
  <c r="G836" i="7"/>
  <c r="H836" i="7"/>
  <c r="I836" i="7"/>
  <c r="J836" i="7"/>
  <c r="K836" i="7"/>
  <c r="L836" i="7"/>
  <c r="M836" i="7"/>
  <c r="N836" i="7"/>
  <c r="O836" i="7"/>
  <c r="U836" i="7" s="1"/>
  <c r="P836" i="7"/>
  <c r="B837" i="7"/>
  <c r="C837" i="7"/>
  <c r="D837" i="7"/>
  <c r="E837" i="7"/>
  <c r="F837" i="7"/>
  <c r="G837" i="7"/>
  <c r="H837" i="7"/>
  <c r="I837" i="7"/>
  <c r="J837" i="7"/>
  <c r="K837" i="7"/>
  <c r="L837" i="7"/>
  <c r="M837" i="7"/>
  <c r="N837" i="7"/>
  <c r="O837" i="7"/>
  <c r="U837" i="7" s="1"/>
  <c r="P837" i="7"/>
  <c r="B838" i="7"/>
  <c r="C838" i="7"/>
  <c r="D838" i="7"/>
  <c r="E838" i="7"/>
  <c r="F838" i="7"/>
  <c r="G838" i="7"/>
  <c r="H838" i="7"/>
  <c r="I838" i="7"/>
  <c r="J838" i="7"/>
  <c r="K838" i="7"/>
  <c r="L838" i="7"/>
  <c r="M838" i="7"/>
  <c r="N838" i="7"/>
  <c r="O838" i="7"/>
  <c r="P838" i="7"/>
  <c r="B839" i="7"/>
  <c r="C839" i="7"/>
  <c r="D839" i="7"/>
  <c r="E839" i="7"/>
  <c r="F839" i="7"/>
  <c r="G839" i="7"/>
  <c r="H839" i="7"/>
  <c r="I839" i="7"/>
  <c r="J839" i="7"/>
  <c r="K839" i="7"/>
  <c r="L839" i="7"/>
  <c r="M839" i="7"/>
  <c r="N839" i="7"/>
  <c r="O839" i="7"/>
  <c r="U839" i="7" s="1"/>
  <c r="P839" i="7"/>
  <c r="B840" i="7"/>
  <c r="C840" i="7"/>
  <c r="D840" i="7"/>
  <c r="E840" i="7"/>
  <c r="F840" i="7"/>
  <c r="G840" i="7"/>
  <c r="H840" i="7"/>
  <c r="I840" i="7"/>
  <c r="J840" i="7"/>
  <c r="K840" i="7"/>
  <c r="L840" i="7"/>
  <c r="M840" i="7"/>
  <c r="N840" i="7"/>
  <c r="O840" i="7"/>
  <c r="U840" i="7" s="1"/>
  <c r="P840" i="7"/>
  <c r="B841" i="7"/>
  <c r="C841" i="7"/>
  <c r="D841" i="7"/>
  <c r="E841" i="7"/>
  <c r="F841" i="7"/>
  <c r="G841" i="7"/>
  <c r="H841" i="7"/>
  <c r="I841" i="7"/>
  <c r="J841" i="7"/>
  <c r="K841" i="7"/>
  <c r="L841" i="7"/>
  <c r="M841" i="7"/>
  <c r="N841" i="7"/>
  <c r="O841" i="7"/>
  <c r="U841" i="7" s="1"/>
  <c r="P841" i="7"/>
  <c r="B842" i="7"/>
  <c r="C842" i="7"/>
  <c r="D842" i="7"/>
  <c r="E842" i="7"/>
  <c r="F842" i="7"/>
  <c r="G842" i="7"/>
  <c r="H842" i="7"/>
  <c r="I842" i="7"/>
  <c r="J842" i="7"/>
  <c r="K842" i="7"/>
  <c r="L842" i="7"/>
  <c r="M842" i="7"/>
  <c r="N842" i="7"/>
  <c r="O842" i="7"/>
  <c r="U842" i="7" s="1"/>
  <c r="P842" i="7"/>
  <c r="B843" i="7"/>
  <c r="C843" i="7"/>
  <c r="D843" i="7"/>
  <c r="E843" i="7"/>
  <c r="F843" i="7"/>
  <c r="G843" i="7"/>
  <c r="H843" i="7"/>
  <c r="I843" i="7"/>
  <c r="J843" i="7"/>
  <c r="K843" i="7"/>
  <c r="L843" i="7"/>
  <c r="M843" i="7"/>
  <c r="N843" i="7"/>
  <c r="O843" i="7"/>
  <c r="U843" i="7" s="1"/>
  <c r="P843" i="7"/>
  <c r="B844" i="7"/>
  <c r="C844" i="7"/>
  <c r="D844" i="7"/>
  <c r="E844" i="7"/>
  <c r="F844" i="7"/>
  <c r="G844" i="7"/>
  <c r="H844" i="7"/>
  <c r="I844" i="7"/>
  <c r="J844" i="7"/>
  <c r="K844" i="7"/>
  <c r="L844" i="7"/>
  <c r="M844" i="7"/>
  <c r="N844" i="7"/>
  <c r="O844" i="7"/>
  <c r="U844" i="7" s="1"/>
  <c r="P844" i="7"/>
  <c r="B845" i="7"/>
  <c r="C845" i="7"/>
  <c r="D845" i="7"/>
  <c r="E845" i="7"/>
  <c r="F845" i="7"/>
  <c r="G845" i="7"/>
  <c r="H845" i="7"/>
  <c r="I845" i="7"/>
  <c r="J845" i="7"/>
  <c r="K845" i="7"/>
  <c r="L845" i="7"/>
  <c r="M845" i="7"/>
  <c r="N845" i="7"/>
  <c r="O845" i="7"/>
  <c r="U845" i="7" s="1"/>
  <c r="P845" i="7"/>
  <c r="B846" i="7"/>
  <c r="C846" i="7"/>
  <c r="D846" i="7"/>
  <c r="E846" i="7"/>
  <c r="F846" i="7"/>
  <c r="G846" i="7"/>
  <c r="H846" i="7"/>
  <c r="I846" i="7"/>
  <c r="J846" i="7"/>
  <c r="K846" i="7"/>
  <c r="L846" i="7"/>
  <c r="M846" i="7"/>
  <c r="N846" i="7"/>
  <c r="O846" i="7"/>
  <c r="U846" i="7" s="1"/>
  <c r="P846" i="7"/>
  <c r="B847" i="7"/>
  <c r="C847" i="7"/>
  <c r="D847" i="7"/>
  <c r="E847" i="7"/>
  <c r="F847" i="7"/>
  <c r="G847" i="7"/>
  <c r="H847" i="7"/>
  <c r="I847" i="7"/>
  <c r="J847" i="7"/>
  <c r="K847" i="7"/>
  <c r="L847" i="7"/>
  <c r="M847" i="7"/>
  <c r="N847" i="7"/>
  <c r="O847" i="7"/>
  <c r="U847" i="7" s="1"/>
  <c r="P847" i="7"/>
  <c r="B848" i="7"/>
  <c r="C848" i="7"/>
  <c r="D848" i="7"/>
  <c r="E848" i="7"/>
  <c r="F848" i="7"/>
  <c r="G848" i="7"/>
  <c r="H848" i="7"/>
  <c r="I848" i="7"/>
  <c r="J848" i="7"/>
  <c r="K848" i="7"/>
  <c r="L848" i="7"/>
  <c r="M848" i="7"/>
  <c r="N848" i="7"/>
  <c r="O848" i="7"/>
  <c r="U848" i="7" s="1"/>
  <c r="P848" i="7"/>
  <c r="B849" i="7"/>
  <c r="C849" i="7"/>
  <c r="D849" i="7"/>
  <c r="E849" i="7"/>
  <c r="F849" i="7"/>
  <c r="G849" i="7"/>
  <c r="H849" i="7"/>
  <c r="I849" i="7"/>
  <c r="J849" i="7"/>
  <c r="K849" i="7"/>
  <c r="L849" i="7"/>
  <c r="M849" i="7"/>
  <c r="N849" i="7"/>
  <c r="O849" i="7"/>
  <c r="U849" i="7" s="1"/>
  <c r="P849" i="7"/>
  <c r="B850" i="7"/>
  <c r="C850" i="7"/>
  <c r="D850" i="7"/>
  <c r="E850" i="7"/>
  <c r="F850" i="7"/>
  <c r="G850" i="7"/>
  <c r="H850" i="7"/>
  <c r="I850" i="7"/>
  <c r="J850" i="7"/>
  <c r="K850" i="7"/>
  <c r="L850" i="7"/>
  <c r="M850" i="7"/>
  <c r="N850" i="7"/>
  <c r="O850" i="7"/>
  <c r="P850" i="7"/>
  <c r="B851" i="7"/>
  <c r="C851" i="7"/>
  <c r="D851" i="7"/>
  <c r="E851" i="7"/>
  <c r="F851" i="7"/>
  <c r="G851" i="7"/>
  <c r="H851" i="7"/>
  <c r="I851" i="7"/>
  <c r="J851" i="7"/>
  <c r="K851" i="7"/>
  <c r="L851" i="7"/>
  <c r="M851" i="7"/>
  <c r="N851" i="7"/>
  <c r="O851" i="7"/>
  <c r="U851" i="7" s="1"/>
  <c r="P851" i="7"/>
  <c r="B852" i="7"/>
  <c r="C852" i="7"/>
  <c r="D852" i="7"/>
  <c r="E852" i="7"/>
  <c r="F852" i="7"/>
  <c r="G852" i="7"/>
  <c r="H852" i="7"/>
  <c r="I852" i="7"/>
  <c r="J852" i="7"/>
  <c r="K852" i="7"/>
  <c r="L852" i="7"/>
  <c r="M852" i="7"/>
  <c r="N852" i="7"/>
  <c r="O852" i="7"/>
  <c r="U852" i="7" s="1"/>
  <c r="P852" i="7"/>
  <c r="B853" i="7"/>
  <c r="C853" i="7"/>
  <c r="D853" i="7"/>
  <c r="E853" i="7"/>
  <c r="F853" i="7"/>
  <c r="G853" i="7"/>
  <c r="H853" i="7"/>
  <c r="I853" i="7"/>
  <c r="J853" i="7"/>
  <c r="K853" i="7"/>
  <c r="L853" i="7"/>
  <c r="M853" i="7"/>
  <c r="N853" i="7"/>
  <c r="O853" i="7"/>
  <c r="U853" i="7" s="1"/>
  <c r="P853" i="7"/>
  <c r="B854" i="7"/>
  <c r="C854" i="7"/>
  <c r="D854" i="7"/>
  <c r="E854" i="7"/>
  <c r="F854" i="7"/>
  <c r="G854" i="7"/>
  <c r="H854" i="7"/>
  <c r="I854" i="7"/>
  <c r="J854" i="7"/>
  <c r="K854" i="7"/>
  <c r="L854" i="7"/>
  <c r="M854" i="7"/>
  <c r="N854" i="7"/>
  <c r="O854" i="7"/>
  <c r="P854" i="7"/>
  <c r="B855" i="7"/>
  <c r="C855" i="7"/>
  <c r="D855" i="7"/>
  <c r="E855" i="7"/>
  <c r="F855" i="7"/>
  <c r="G855" i="7"/>
  <c r="H855" i="7"/>
  <c r="I855" i="7"/>
  <c r="J855" i="7"/>
  <c r="K855" i="7"/>
  <c r="L855" i="7"/>
  <c r="M855" i="7"/>
  <c r="N855" i="7"/>
  <c r="O855" i="7"/>
  <c r="U855" i="7" s="1"/>
  <c r="P855" i="7"/>
  <c r="B856" i="7"/>
  <c r="C856" i="7"/>
  <c r="D856" i="7"/>
  <c r="E856" i="7"/>
  <c r="F856" i="7"/>
  <c r="G856" i="7"/>
  <c r="H856" i="7"/>
  <c r="I856" i="7"/>
  <c r="J856" i="7"/>
  <c r="K856" i="7"/>
  <c r="L856" i="7"/>
  <c r="M856" i="7"/>
  <c r="N856" i="7"/>
  <c r="O856" i="7"/>
  <c r="U856" i="7" s="1"/>
  <c r="P856" i="7"/>
  <c r="B857" i="7"/>
  <c r="C857" i="7"/>
  <c r="D857" i="7"/>
  <c r="E857" i="7"/>
  <c r="F857" i="7"/>
  <c r="G857" i="7"/>
  <c r="H857" i="7"/>
  <c r="I857" i="7"/>
  <c r="J857" i="7"/>
  <c r="K857" i="7"/>
  <c r="L857" i="7"/>
  <c r="M857" i="7"/>
  <c r="N857" i="7"/>
  <c r="O857" i="7"/>
  <c r="U857" i="7" s="1"/>
  <c r="P857" i="7"/>
  <c r="B858" i="7"/>
  <c r="C858" i="7"/>
  <c r="D858" i="7"/>
  <c r="E858" i="7"/>
  <c r="F858" i="7"/>
  <c r="G858" i="7"/>
  <c r="H858" i="7"/>
  <c r="I858" i="7"/>
  <c r="J858" i="7"/>
  <c r="K858" i="7"/>
  <c r="L858" i="7"/>
  <c r="M858" i="7"/>
  <c r="N858" i="7"/>
  <c r="O858" i="7"/>
  <c r="U858" i="7" s="1"/>
  <c r="P858" i="7"/>
  <c r="B859" i="7"/>
  <c r="C859" i="7"/>
  <c r="D859" i="7"/>
  <c r="E859" i="7"/>
  <c r="F859" i="7"/>
  <c r="G859" i="7"/>
  <c r="H859" i="7"/>
  <c r="I859" i="7"/>
  <c r="J859" i="7"/>
  <c r="K859" i="7"/>
  <c r="L859" i="7"/>
  <c r="M859" i="7"/>
  <c r="N859" i="7"/>
  <c r="O859" i="7"/>
  <c r="U859" i="7" s="1"/>
  <c r="P859" i="7"/>
  <c r="B860" i="7"/>
  <c r="C860" i="7"/>
  <c r="D860" i="7"/>
  <c r="E860" i="7"/>
  <c r="F860" i="7"/>
  <c r="G860" i="7"/>
  <c r="H860" i="7"/>
  <c r="I860" i="7"/>
  <c r="J860" i="7"/>
  <c r="K860" i="7"/>
  <c r="L860" i="7"/>
  <c r="M860" i="7"/>
  <c r="N860" i="7"/>
  <c r="O860" i="7"/>
  <c r="U860" i="7" s="1"/>
  <c r="P860" i="7"/>
  <c r="B861" i="7"/>
  <c r="C861" i="7"/>
  <c r="D861" i="7"/>
  <c r="E861" i="7"/>
  <c r="F861" i="7"/>
  <c r="G861" i="7"/>
  <c r="H861" i="7"/>
  <c r="I861" i="7"/>
  <c r="J861" i="7"/>
  <c r="K861" i="7"/>
  <c r="L861" i="7"/>
  <c r="M861" i="7"/>
  <c r="N861" i="7"/>
  <c r="O861" i="7"/>
  <c r="U861" i="7" s="1"/>
  <c r="P861" i="7"/>
  <c r="B862" i="7"/>
  <c r="C862" i="7"/>
  <c r="D862" i="7"/>
  <c r="E862" i="7"/>
  <c r="F862" i="7"/>
  <c r="G862" i="7"/>
  <c r="H862" i="7"/>
  <c r="I862" i="7"/>
  <c r="J862" i="7"/>
  <c r="K862" i="7"/>
  <c r="L862" i="7"/>
  <c r="M862" i="7"/>
  <c r="N862" i="7"/>
  <c r="O862" i="7"/>
  <c r="P862" i="7"/>
  <c r="B863" i="7"/>
  <c r="C863" i="7"/>
  <c r="D863" i="7"/>
  <c r="E863" i="7"/>
  <c r="F863" i="7"/>
  <c r="G863" i="7"/>
  <c r="H863" i="7"/>
  <c r="I863" i="7"/>
  <c r="J863" i="7"/>
  <c r="K863" i="7"/>
  <c r="L863" i="7"/>
  <c r="M863" i="7"/>
  <c r="N863" i="7"/>
  <c r="O863" i="7"/>
  <c r="U863" i="7" s="1"/>
  <c r="P863" i="7"/>
  <c r="B864" i="7"/>
  <c r="C864" i="7"/>
  <c r="D864" i="7"/>
  <c r="E864" i="7"/>
  <c r="F864" i="7"/>
  <c r="G864" i="7"/>
  <c r="H864" i="7"/>
  <c r="I864" i="7"/>
  <c r="J864" i="7"/>
  <c r="K864" i="7"/>
  <c r="L864" i="7"/>
  <c r="M864" i="7"/>
  <c r="N864" i="7"/>
  <c r="O864" i="7"/>
  <c r="U864" i="7" s="1"/>
  <c r="P864" i="7"/>
  <c r="B865" i="7"/>
  <c r="C865" i="7"/>
  <c r="D865" i="7"/>
  <c r="E865" i="7"/>
  <c r="F865" i="7"/>
  <c r="G865" i="7"/>
  <c r="H865" i="7"/>
  <c r="I865" i="7"/>
  <c r="J865" i="7"/>
  <c r="K865" i="7"/>
  <c r="L865" i="7"/>
  <c r="M865" i="7"/>
  <c r="N865" i="7"/>
  <c r="O865" i="7"/>
  <c r="U865" i="7" s="1"/>
  <c r="P865" i="7"/>
  <c r="B866" i="7"/>
  <c r="C866" i="7"/>
  <c r="D866" i="7"/>
  <c r="E866" i="7"/>
  <c r="F866" i="7"/>
  <c r="G866" i="7"/>
  <c r="H866" i="7"/>
  <c r="I866" i="7"/>
  <c r="J866" i="7"/>
  <c r="K866" i="7"/>
  <c r="L866" i="7"/>
  <c r="M866" i="7"/>
  <c r="N866" i="7"/>
  <c r="O866" i="7"/>
  <c r="U866" i="7" s="1"/>
  <c r="P866" i="7"/>
  <c r="B867" i="7"/>
  <c r="C867" i="7"/>
  <c r="D867" i="7"/>
  <c r="E867" i="7"/>
  <c r="F867" i="7"/>
  <c r="G867" i="7"/>
  <c r="H867" i="7"/>
  <c r="I867" i="7"/>
  <c r="J867" i="7"/>
  <c r="K867" i="7"/>
  <c r="L867" i="7"/>
  <c r="M867" i="7"/>
  <c r="N867" i="7"/>
  <c r="O867" i="7"/>
  <c r="U867" i="7" s="1"/>
  <c r="P867" i="7"/>
  <c r="B868" i="7"/>
  <c r="C868" i="7"/>
  <c r="D868" i="7"/>
  <c r="E868" i="7"/>
  <c r="F868" i="7"/>
  <c r="G868" i="7"/>
  <c r="H868" i="7"/>
  <c r="I868" i="7"/>
  <c r="J868" i="7"/>
  <c r="K868" i="7"/>
  <c r="L868" i="7"/>
  <c r="M868" i="7"/>
  <c r="N868" i="7"/>
  <c r="O868" i="7"/>
  <c r="U868" i="7" s="1"/>
  <c r="P868" i="7"/>
  <c r="B869" i="7"/>
  <c r="C869" i="7"/>
  <c r="D869" i="7"/>
  <c r="E869" i="7"/>
  <c r="F869" i="7"/>
  <c r="G869" i="7"/>
  <c r="H869" i="7"/>
  <c r="I869" i="7"/>
  <c r="J869" i="7"/>
  <c r="K869" i="7"/>
  <c r="L869" i="7"/>
  <c r="M869" i="7"/>
  <c r="N869" i="7"/>
  <c r="O869" i="7"/>
  <c r="U869" i="7" s="1"/>
  <c r="P869" i="7"/>
  <c r="B870" i="7"/>
  <c r="C870" i="7"/>
  <c r="D870" i="7"/>
  <c r="E870" i="7"/>
  <c r="F870" i="7"/>
  <c r="G870" i="7"/>
  <c r="H870" i="7"/>
  <c r="I870" i="7"/>
  <c r="J870" i="7"/>
  <c r="K870" i="7"/>
  <c r="L870" i="7"/>
  <c r="M870" i="7"/>
  <c r="N870" i="7"/>
  <c r="O870" i="7"/>
  <c r="P870" i="7"/>
  <c r="B871" i="7"/>
  <c r="C871" i="7"/>
  <c r="D871" i="7"/>
  <c r="E871" i="7"/>
  <c r="F871" i="7"/>
  <c r="G871" i="7"/>
  <c r="H871" i="7"/>
  <c r="I871" i="7"/>
  <c r="J871" i="7"/>
  <c r="K871" i="7"/>
  <c r="L871" i="7"/>
  <c r="M871" i="7"/>
  <c r="N871" i="7"/>
  <c r="O871" i="7"/>
  <c r="U871" i="7" s="1"/>
  <c r="P871" i="7"/>
  <c r="B872" i="7"/>
  <c r="C872" i="7"/>
  <c r="D872" i="7"/>
  <c r="E872" i="7"/>
  <c r="F872" i="7"/>
  <c r="G872" i="7"/>
  <c r="H872" i="7"/>
  <c r="I872" i="7"/>
  <c r="J872" i="7"/>
  <c r="K872" i="7"/>
  <c r="L872" i="7"/>
  <c r="M872" i="7"/>
  <c r="N872" i="7"/>
  <c r="O872" i="7"/>
  <c r="U872" i="7" s="1"/>
  <c r="P872" i="7"/>
  <c r="B873" i="7"/>
  <c r="C873" i="7"/>
  <c r="D873" i="7"/>
  <c r="E873" i="7"/>
  <c r="F873" i="7"/>
  <c r="G873" i="7"/>
  <c r="H873" i="7"/>
  <c r="I873" i="7"/>
  <c r="J873" i="7"/>
  <c r="K873" i="7"/>
  <c r="L873" i="7"/>
  <c r="M873" i="7"/>
  <c r="N873" i="7"/>
  <c r="O873" i="7"/>
  <c r="U873" i="7" s="1"/>
  <c r="P873" i="7"/>
  <c r="B874" i="7"/>
  <c r="C874" i="7"/>
  <c r="D874" i="7"/>
  <c r="E874" i="7"/>
  <c r="F874" i="7"/>
  <c r="G874" i="7"/>
  <c r="H874" i="7"/>
  <c r="I874" i="7"/>
  <c r="J874" i="7"/>
  <c r="K874" i="7"/>
  <c r="L874" i="7"/>
  <c r="M874" i="7"/>
  <c r="N874" i="7"/>
  <c r="O874" i="7"/>
  <c r="U874" i="7" s="1"/>
  <c r="P874" i="7"/>
  <c r="B875" i="7"/>
  <c r="C875" i="7"/>
  <c r="D875" i="7"/>
  <c r="E875" i="7"/>
  <c r="F875" i="7"/>
  <c r="G875" i="7"/>
  <c r="H875" i="7"/>
  <c r="I875" i="7"/>
  <c r="J875" i="7"/>
  <c r="K875" i="7"/>
  <c r="L875" i="7"/>
  <c r="M875" i="7"/>
  <c r="N875" i="7"/>
  <c r="O875" i="7"/>
  <c r="U875" i="7" s="1"/>
  <c r="P875" i="7"/>
  <c r="B876" i="7"/>
  <c r="C876" i="7"/>
  <c r="D876" i="7"/>
  <c r="E876" i="7"/>
  <c r="F876" i="7"/>
  <c r="G876" i="7"/>
  <c r="H876" i="7"/>
  <c r="I876" i="7"/>
  <c r="J876" i="7"/>
  <c r="K876" i="7"/>
  <c r="L876" i="7"/>
  <c r="M876" i="7"/>
  <c r="N876" i="7"/>
  <c r="O876" i="7"/>
  <c r="U876" i="7" s="1"/>
  <c r="P876" i="7"/>
  <c r="B877" i="7"/>
  <c r="C877" i="7"/>
  <c r="D877" i="7"/>
  <c r="E877" i="7"/>
  <c r="F877" i="7"/>
  <c r="G877" i="7"/>
  <c r="H877" i="7"/>
  <c r="I877" i="7"/>
  <c r="J877" i="7"/>
  <c r="K877" i="7"/>
  <c r="L877" i="7"/>
  <c r="M877" i="7"/>
  <c r="N877" i="7"/>
  <c r="O877" i="7"/>
  <c r="U877" i="7" s="1"/>
  <c r="P877" i="7"/>
  <c r="B878" i="7"/>
  <c r="C878" i="7"/>
  <c r="D878" i="7"/>
  <c r="E878" i="7"/>
  <c r="F878" i="7"/>
  <c r="G878" i="7"/>
  <c r="H878" i="7"/>
  <c r="I878" i="7"/>
  <c r="J878" i="7"/>
  <c r="K878" i="7"/>
  <c r="L878" i="7"/>
  <c r="M878" i="7"/>
  <c r="N878" i="7"/>
  <c r="O878" i="7"/>
  <c r="U878" i="7" s="1"/>
  <c r="P878" i="7"/>
  <c r="B879" i="7"/>
  <c r="C879" i="7"/>
  <c r="D879" i="7"/>
  <c r="E879" i="7"/>
  <c r="F879" i="7"/>
  <c r="G879" i="7"/>
  <c r="H879" i="7"/>
  <c r="I879" i="7"/>
  <c r="J879" i="7"/>
  <c r="K879" i="7"/>
  <c r="L879" i="7"/>
  <c r="M879" i="7"/>
  <c r="N879" i="7"/>
  <c r="O879" i="7"/>
  <c r="U879" i="7" s="1"/>
  <c r="P879" i="7"/>
  <c r="B880" i="7"/>
  <c r="C880" i="7"/>
  <c r="D880" i="7"/>
  <c r="E880" i="7"/>
  <c r="F880" i="7"/>
  <c r="G880" i="7"/>
  <c r="H880" i="7"/>
  <c r="I880" i="7"/>
  <c r="J880" i="7"/>
  <c r="K880" i="7"/>
  <c r="L880" i="7"/>
  <c r="M880" i="7"/>
  <c r="N880" i="7"/>
  <c r="O880" i="7"/>
  <c r="U880" i="7" s="1"/>
  <c r="P880" i="7"/>
  <c r="B881" i="7"/>
  <c r="C881" i="7"/>
  <c r="D881" i="7"/>
  <c r="E881" i="7"/>
  <c r="F881" i="7"/>
  <c r="G881" i="7"/>
  <c r="H881" i="7"/>
  <c r="I881" i="7"/>
  <c r="J881" i="7"/>
  <c r="K881" i="7"/>
  <c r="L881" i="7"/>
  <c r="M881" i="7"/>
  <c r="N881" i="7"/>
  <c r="O881" i="7"/>
  <c r="U881" i="7" s="1"/>
  <c r="P881" i="7"/>
  <c r="B882" i="7"/>
  <c r="C882" i="7"/>
  <c r="D882" i="7"/>
  <c r="E882" i="7"/>
  <c r="F882" i="7"/>
  <c r="G882" i="7"/>
  <c r="H882" i="7"/>
  <c r="I882" i="7"/>
  <c r="J882" i="7"/>
  <c r="K882" i="7"/>
  <c r="L882" i="7"/>
  <c r="M882" i="7"/>
  <c r="N882" i="7"/>
  <c r="O882" i="7"/>
  <c r="U882" i="7" s="1"/>
  <c r="P882" i="7"/>
  <c r="B883" i="7"/>
  <c r="C883" i="7"/>
  <c r="D883" i="7"/>
  <c r="E883" i="7"/>
  <c r="F883" i="7"/>
  <c r="G883" i="7"/>
  <c r="H883" i="7"/>
  <c r="I883" i="7"/>
  <c r="J883" i="7"/>
  <c r="K883" i="7"/>
  <c r="L883" i="7"/>
  <c r="M883" i="7"/>
  <c r="N883" i="7"/>
  <c r="O883" i="7"/>
  <c r="U883" i="7" s="1"/>
  <c r="P883" i="7"/>
  <c r="B884" i="7"/>
  <c r="C884" i="7"/>
  <c r="D884" i="7"/>
  <c r="E884" i="7"/>
  <c r="F884" i="7"/>
  <c r="G884" i="7"/>
  <c r="H884" i="7"/>
  <c r="I884" i="7"/>
  <c r="J884" i="7"/>
  <c r="K884" i="7"/>
  <c r="L884" i="7"/>
  <c r="M884" i="7"/>
  <c r="N884" i="7"/>
  <c r="O884" i="7"/>
  <c r="U884" i="7" s="1"/>
  <c r="P884" i="7"/>
  <c r="B885" i="7"/>
  <c r="C885" i="7"/>
  <c r="D885" i="7"/>
  <c r="E885" i="7"/>
  <c r="F885" i="7"/>
  <c r="G885" i="7"/>
  <c r="H885" i="7"/>
  <c r="I885" i="7"/>
  <c r="J885" i="7"/>
  <c r="K885" i="7"/>
  <c r="L885" i="7"/>
  <c r="M885" i="7"/>
  <c r="N885" i="7"/>
  <c r="O885" i="7"/>
  <c r="U885" i="7" s="1"/>
  <c r="P885" i="7"/>
  <c r="B886" i="7"/>
  <c r="C886" i="7"/>
  <c r="D886" i="7"/>
  <c r="E886" i="7"/>
  <c r="F886" i="7"/>
  <c r="G886" i="7"/>
  <c r="H886" i="7"/>
  <c r="I886" i="7"/>
  <c r="J886" i="7"/>
  <c r="K886" i="7"/>
  <c r="L886" i="7"/>
  <c r="M886" i="7"/>
  <c r="N886" i="7"/>
  <c r="O886" i="7"/>
  <c r="U886" i="7" s="1"/>
  <c r="P886" i="7"/>
  <c r="B887" i="7"/>
  <c r="C887" i="7"/>
  <c r="D887" i="7"/>
  <c r="E887" i="7"/>
  <c r="F887" i="7"/>
  <c r="G887" i="7"/>
  <c r="H887" i="7"/>
  <c r="I887" i="7"/>
  <c r="J887" i="7"/>
  <c r="K887" i="7"/>
  <c r="L887" i="7"/>
  <c r="M887" i="7"/>
  <c r="N887" i="7"/>
  <c r="O887" i="7"/>
  <c r="U887" i="7" s="1"/>
  <c r="P887" i="7"/>
  <c r="B888" i="7"/>
  <c r="C888" i="7"/>
  <c r="D888" i="7"/>
  <c r="E888" i="7"/>
  <c r="F888" i="7"/>
  <c r="G888" i="7"/>
  <c r="H888" i="7"/>
  <c r="I888" i="7"/>
  <c r="J888" i="7"/>
  <c r="K888" i="7"/>
  <c r="L888" i="7"/>
  <c r="M888" i="7"/>
  <c r="N888" i="7"/>
  <c r="O888" i="7"/>
  <c r="U888" i="7" s="1"/>
  <c r="P888" i="7"/>
  <c r="B889" i="7"/>
  <c r="C889" i="7"/>
  <c r="D889" i="7"/>
  <c r="E889" i="7"/>
  <c r="F889" i="7"/>
  <c r="G889" i="7"/>
  <c r="H889" i="7"/>
  <c r="I889" i="7"/>
  <c r="J889" i="7"/>
  <c r="K889" i="7"/>
  <c r="L889" i="7"/>
  <c r="M889" i="7"/>
  <c r="N889" i="7"/>
  <c r="O889" i="7"/>
  <c r="U889" i="7" s="1"/>
  <c r="P889" i="7"/>
  <c r="B890" i="7"/>
  <c r="C890" i="7"/>
  <c r="D890" i="7"/>
  <c r="E890" i="7"/>
  <c r="F890" i="7"/>
  <c r="G890" i="7"/>
  <c r="H890" i="7"/>
  <c r="I890" i="7"/>
  <c r="J890" i="7"/>
  <c r="K890" i="7"/>
  <c r="L890" i="7"/>
  <c r="M890" i="7"/>
  <c r="N890" i="7"/>
  <c r="O890" i="7"/>
  <c r="P890" i="7"/>
  <c r="B891" i="7"/>
  <c r="C891" i="7"/>
  <c r="D891" i="7"/>
  <c r="E891" i="7"/>
  <c r="F891" i="7"/>
  <c r="G891" i="7"/>
  <c r="H891" i="7"/>
  <c r="I891" i="7"/>
  <c r="J891" i="7"/>
  <c r="K891" i="7"/>
  <c r="L891" i="7"/>
  <c r="M891" i="7"/>
  <c r="N891" i="7"/>
  <c r="O891" i="7"/>
  <c r="U891" i="7" s="1"/>
  <c r="P891" i="7"/>
  <c r="B892" i="7"/>
  <c r="C892" i="7"/>
  <c r="D892" i="7"/>
  <c r="E892" i="7"/>
  <c r="F892" i="7"/>
  <c r="G892" i="7"/>
  <c r="H892" i="7"/>
  <c r="I892" i="7"/>
  <c r="J892" i="7"/>
  <c r="K892" i="7"/>
  <c r="L892" i="7"/>
  <c r="M892" i="7"/>
  <c r="N892" i="7"/>
  <c r="O892" i="7"/>
  <c r="U892" i="7" s="1"/>
  <c r="P892" i="7"/>
  <c r="B893" i="7"/>
  <c r="C893" i="7"/>
  <c r="D893" i="7"/>
  <c r="E893" i="7"/>
  <c r="F893" i="7"/>
  <c r="G893" i="7"/>
  <c r="H893" i="7"/>
  <c r="I893" i="7"/>
  <c r="J893" i="7"/>
  <c r="K893" i="7"/>
  <c r="L893" i="7"/>
  <c r="M893" i="7"/>
  <c r="N893" i="7"/>
  <c r="O893" i="7"/>
  <c r="U893" i="7" s="1"/>
  <c r="P893" i="7"/>
  <c r="B894" i="7"/>
  <c r="C894" i="7"/>
  <c r="D894" i="7"/>
  <c r="E894" i="7"/>
  <c r="F894" i="7"/>
  <c r="G894" i="7"/>
  <c r="H894" i="7"/>
  <c r="I894" i="7"/>
  <c r="J894" i="7"/>
  <c r="K894" i="7"/>
  <c r="L894" i="7"/>
  <c r="M894" i="7"/>
  <c r="N894" i="7"/>
  <c r="O894" i="7"/>
  <c r="U894" i="7" s="1"/>
  <c r="P894" i="7"/>
  <c r="B895" i="7"/>
  <c r="C895" i="7"/>
  <c r="D895" i="7"/>
  <c r="E895" i="7"/>
  <c r="F895" i="7"/>
  <c r="G895" i="7"/>
  <c r="H895" i="7"/>
  <c r="I895" i="7"/>
  <c r="J895" i="7"/>
  <c r="K895" i="7"/>
  <c r="L895" i="7"/>
  <c r="M895" i="7"/>
  <c r="N895" i="7"/>
  <c r="O895" i="7"/>
  <c r="U895" i="7" s="1"/>
  <c r="P895" i="7"/>
  <c r="B896" i="7"/>
  <c r="C896" i="7"/>
  <c r="D896" i="7"/>
  <c r="E896" i="7"/>
  <c r="F896" i="7"/>
  <c r="G896" i="7"/>
  <c r="H896" i="7"/>
  <c r="I896" i="7"/>
  <c r="J896" i="7"/>
  <c r="K896" i="7"/>
  <c r="L896" i="7"/>
  <c r="M896" i="7"/>
  <c r="N896" i="7"/>
  <c r="O896" i="7"/>
  <c r="U896" i="7" s="1"/>
  <c r="P896" i="7"/>
  <c r="B897" i="7"/>
  <c r="C897" i="7"/>
  <c r="D897" i="7"/>
  <c r="E897" i="7"/>
  <c r="F897" i="7"/>
  <c r="G897" i="7"/>
  <c r="H897" i="7"/>
  <c r="I897" i="7"/>
  <c r="J897" i="7"/>
  <c r="K897" i="7"/>
  <c r="L897" i="7"/>
  <c r="M897" i="7"/>
  <c r="N897" i="7"/>
  <c r="O897" i="7"/>
  <c r="U897" i="7" s="1"/>
  <c r="P897" i="7"/>
  <c r="B898" i="7"/>
  <c r="C898" i="7"/>
  <c r="D898" i="7"/>
  <c r="E898" i="7"/>
  <c r="F898" i="7"/>
  <c r="G898" i="7"/>
  <c r="H898" i="7"/>
  <c r="I898" i="7"/>
  <c r="J898" i="7"/>
  <c r="K898" i="7"/>
  <c r="L898" i="7"/>
  <c r="M898" i="7"/>
  <c r="N898" i="7"/>
  <c r="O898" i="7"/>
  <c r="U898" i="7" s="1"/>
  <c r="P898" i="7"/>
  <c r="B899" i="7"/>
  <c r="C899" i="7"/>
  <c r="D899" i="7"/>
  <c r="E899" i="7"/>
  <c r="F899" i="7"/>
  <c r="G899" i="7"/>
  <c r="H899" i="7"/>
  <c r="I899" i="7"/>
  <c r="J899" i="7"/>
  <c r="K899" i="7"/>
  <c r="L899" i="7"/>
  <c r="M899" i="7"/>
  <c r="N899" i="7"/>
  <c r="O899" i="7"/>
  <c r="U899" i="7" s="1"/>
  <c r="P899" i="7"/>
  <c r="B900" i="7"/>
  <c r="C900" i="7"/>
  <c r="D900" i="7"/>
  <c r="E900" i="7"/>
  <c r="F900" i="7"/>
  <c r="G900" i="7"/>
  <c r="H900" i="7"/>
  <c r="I900" i="7"/>
  <c r="J900" i="7"/>
  <c r="K900" i="7"/>
  <c r="L900" i="7"/>
  <c r="M900" i="7"/>
  <c r="N900" i="7"/>
  <c r="O900" i="7"/>
  <c r="U900" i="7" s="1"/>
  <c r="P900" i="7"/>
  <c r="B901" i="7"/>
  <c r="C901" i="7"/>
  <c r="D901" i="7"/>
  <c r="E901" i="7"/>
  <c r="F901" i="7"/>
  <c r="G901" i="7"/>
  <c r="H901" i="7"/>
  <c r="I901" i="7"/>
  <c r="J901" i="7"/>
  <c r="K901" i="7"/>
  <c r="L901" i="7"/>
  <c r="M901" i="7"/>
  <c r="N901" i="7"/>
  <c r="O901" i="7"/>
  <c r="U901" i="7" s="1"/>
  <c r="P901" i="7"/>
  <c r="B902" i="7"/>
  <c r="C902" i="7"/>
  <c r="D902" i="7"/>
  <c r="E902" i="7"/>
  <c r="F902" i="7"/>
  <c r="G902" i="7"/>
  <c r="H902" i="7"/>
  <c r="I902" i="7"/>
  <c r="J902" i="7"/>
  <c r="K902" i="7"/>
  <c r="L902" i="7"/>
  <c r="M902" i="7"/>
  <c r="N902" i="7"/>
  <c r="O902" i="7"/>
  <c r="P902" i="7"/>
  <c r="B903" i="7"/>
  <c r="C903" i="7"/>
  <c r="D903" i="7"/>
  <c r="E903" i="7"/>
  <c r="F903" i="7"/>
  <c r="G903" i="7"/>
  <c r="H903" i="7"/>
  <c r="I903" i="7"/>
  <c r="J903" i="7"/>
  <c r="K903" i="7"/>
  <c r="L903" i="7"/>
  <c r="M903" i="7"/>
  <c r="N903" i="7"/>
  <c r="O903" i="7"/>
  <c r="U903" i="7" s="1"/>
  <c r="P903" i="7"/>
  <c r="B904" i="7"/>
  <c r="C904" i="7"/>
  <c r="D904" i="7"/>
  <c r="E904" i="7"/>
  <c r="F904" i="7"/>
  <c r="G904" i="7"/>
  <c r="H904" i="7"/>
  <c r="I904" i="7"/>
  <c r="J904" i="7"/>
  <c r="K904" i="7"/>
  <c r="L904" i="7"/>
  <c r="M904" i="7"/>
  <c r="N904" i="7"/>
  <c r="O904" i="7"/>
  <c r="U904" i="7" s="1"/>
  <c r="P904" i="7"/>
  <c r="B905" i="7"/>
  <c r="C905" i="7"/>
  <c r="D905" i="7"/>
  <c r="E905" i="7"/>
  <c r="F905" i="7"/>
  <c r="G905" i="7"/>
  <c r="H905" i="7"/>
  <c r="I905" i="7"/>
  <c r="J905" i="7"/>
  <c r="K905" i="7"/>
  <c r="L905" i="7"/>
  <c r="M905" i="7"/>
  <c r="N905" i="7"/>
  <c r="O905" i="7"/>
  <c r="U905" i="7" s="1"/>
  <c r="P905" i="7"/>
  <c r="B906" i="7"/>
  <c r="C906" i="7"/>
  <c r="D906" i="7"/>
  <c r="E906" i="7"/>
  <c r="F906" i="7"/>
  <c r="G906" i="7"/>
  <c r="H906" i="7"/>
  <c r="I906" i="7"/>
  <c r="J906" i="7"/>
  <c r="K906" i="7"/>
  <c r="L906" i="7"/>
  <c r="M906" i="7"/>
  <c r="N906" i="7"/>
  <c r="O906" i="7"/>
  <c r="P906" i="7"/>
  <c r="B907" i="7"/>
  <c r="C907" i="7"/>
  <c r="D907" i="7"/>
  <c r="E907" i="7"/>
  <c r="F907" i="7"/>
  <c r="G907" i="7"/>
  <c r="H907" i="7"/>
  <c r="I907" i="7"/>
  <c r="J907" i="7"/>
  <c r="K907" i="7"/>
  <c r="L907" i="7"/>
  <c r="M907" i="7"/>
  <c r="N907" i="7"/>
  <c r="O907" i="7"/>
  <c r="U907" i="7" s="1"/>
  <c r="P907" i="7"/>
  <c r="B908" i="7"/>
  <c r="C908" i="7"/>
  <c r="D908" i="7"/>
  <c r="E908" i="7"/>
  <c r="F908" i="7"/>
  <c r="G908" i="7"/>
  <c r="H908" i="7"/>
  <c r="I908" i="7"/>
  <c r="J908" i="7"/>
  <c r="K908" i="7"/>
  <c r="L908" i="7"/>
  <c r="M908" i="7"/>
  <c r="N908" i="7"/>
  <c r="O908" i="7"/>
  <c r="U908" i="7" s="1"/>
  <c r="P908" i="7"/>
  <c r="B909" i="7"/>
  <c r="C909" i="7"/>
  <c r="D909" i="7"/>
  <c r="E909" i="7"/>
  <c r="F909" i="7"/>
  <c r="G909" i="7"/>
  <c r="H909" i="7"/>
  <c r="I909" i="7"/>
  <c r="J909" i="7"/>
  <c r="K909" i="7"/>
  <c r="L909" i="7"/>
  <c r="M909" i="7"/>
  <c r="N909" i="7"/>
  <c r="O909" i="7"/>
  <c r="U909" i="7" s="1"/>
  <c r="P909" i="7"/>
  <c r="B910" i="7"/>
  <c r="C910" i="7"/>
  <c r="D910" i="7"/>
  <c r="E910" i="7"/>
  <c r="F910" i="7"/>
  <c r="G910" i="7"/>
  <c r="H910" i="7"/>
  <c r="I910" i="7"/>
  <c r="J910" i="7"/>
  <c r="K910" i="7"/>
  <c r="L910" i="7"/>
  <c r="M910" i="7"/>
  <c r="N910" i="7"/>
  <c r="O910" i="7"/>
  <c r="U910" i="7" s="1"/>
  <c r="P910" i="7"/>
  <c r="B911" i="7"/>
  <c r="C911" i="7"/>
  <c r="D911" i="7"/>
  <c r="E911" i="7"/>
  <c r="F911" i="7"/>
  <c r="G911" i="7"/>
  <c r="H911" i="7"/>
  <c r="I911" i="7"/>
  <c r="J911" i="7"/>
  <c r="K911" i="7"/>
  <c r="L911" i="7"/>
  <c r="M911" i="7"/>
  <c r="N911" i="7"/>
  <c r="O911" i="7"/>
  <c r="U911" i="7" s="1"/>
  <c r="P911" i="7"/>
  <c r="B912" i="7"/>
  <c r="C912" i="7"/>
  <c r="D912" i="7"/>
  <c r="E912" i="7"/>
  <c r="F912" i="7"/>
  <c r="G912" i="7"/>
  <c r="H912" i="7"/>
  <c r="I912" i="7"/>
  <c r="J912" i="7"/>
  <c r="K912" i="7"/>
  <c r="L912" i="7"/>
  <c r="M912" i="7"/>
  <c r="N912" i="7"/>
  <c r="O912" i="7"/>
  <c r="U912" i="7" s="1"/>
  <c r="P912" i="7"/>
  <c r="B913" i="7"/>
  <c r="C913" i="7"/>
  <c r="D913" i="7"/>
  <c r="E913" i="7"/>
  <c r="F913" i="7"/>
  <c r="G913" i="7"/>
  <c r="H913" i="7"/>
  <c r="I913" i="7"/>
  <c r="J913" i="7"/>
  <c r="K913" i="7"/>
  <c r="L913" i="7"/>
  <c r="M913" i="7"/>
  <c r="N913" i="7"/>
  <c r="O913" i="7"/>
  <c r="U913" i="7" s="1"/>
  <c r="P913" i="7"/>
  <c r="B914" i="7"/>
  <c r="C914" i="7"/>
  <c r="D914" i="7"/>
  <c r="E914" i="7"/>
  <c r="F914" i="7"/>
  <c r="G914" i="7"/>
  <c r="H914" i="7"/>
  <c r="I914" i="7"/>
  <c r="J914" i="7"/>
  <c r="K914" i="7"/>
  <c r="L914" i="7"/>
  <c r="M914" i="7"/>
  <c r="N914" i="7"/>
  <c r="O914" i="7"/>
  <c r="U914" i="7" s="1"/>
  <c r="P914" i="7"/>
  <c r="B915" i="7"/>
  <c r="C915" i="7"/>
  <c r="D915" i="7"/>
  <c r="E915" i="7"/>
  <c r="F915" i="7"/>
  <c r="G915" i="7"/>
  <c r="H915" i="7"/>
  <c r="I915" i="7"/>
  <c r="J915" i="7"/>
  <c r="K915" i="7"/>
  <c r="L915" i="7"/>
  <c r="M915" i="7"/>
  <c r="N915" i="7"/>
  <c r="O915" i="7"/>
  <c r="U915" i="7" s="1"/>
  <c r="P915" i="7"/>
  <c r="B916" i="7"/>
  <c r="C916" i="7"/>
  <c r="D916" i="7"/>
  <c r="E916" i="7"/>
  <c r="F916" i="7"/>
  <c r="G916" i="7"/>
  <c r="H916" i="7"/>
  <c r="I916" i="7"/>
  <c r="J916" i="7"/>
  <c r="K916" i="7"/>
  <c r="L916" i="7"/>
  <c r="M916" i="7"/>
  <c r="N916" i="7"/>
  <c r="O916" i="7"/>
  <c r="U916" i="7" s="1"/>
  <c r="P916" i="7"/>
  <c r="B917" i="7"/>
  <c r="C917" i="7"/>
  <c r="D917" i="7"/>
  <c r="E917" i="7"/>
  <c r="F917" i="7"/>
  <c r="G917" i="7"/>
  <c r="H917" i="7"/>
  <c r="I917" i="7"/>
  <c r="J917" i="7"/>
  <c r="K917" i="7"/>
  <c r="L917" i="7"/>
  <c r="M917" i="7"/>
  <c r="N917" i="7"/>
  <c r="O917" i="7"/>
  <c r="U917" i="7" s="1"/>
  <c r="P917" i="7"/>
  <c r="B918" i="7"/>
  <c r="C918" i="7"/>
  <c r="D918" i="7"/>
  <c r="E918" i="7"/>
  <c r="F918" i="7"/>
  <c r="G918" i="7"/>
  <c r="H918" i="7"/>
  <c r="I918" i="7"/>
  <c r="J918" i="7"/>
  <c r="K918" i="7"/>
  <c r="L918" i="7"/>
  <c r="M918" i="7"/>
  <c r="N918" i="7"/>
  <c r="O918" i="7"/>
  <c r="U918" i="7" s="1"/>
  <c r="P918" i="7"/>
  <c r="B919" i="7"/>
  <c r="C919" i="7"/>
  <c r="D919" i="7"/>
  <c r="E919" i="7"/>
  <c r="F919" i="7"/>
  <c r="G919" i="7"/>
  <c r="H919" i="7"/>
  <c r="I919" i="7"/>
  <c r="J919" i="7"/>
  <c r="K919" i="7"/>
  <c r="L919" i="7"/>
  <c r="M919" i="7"/>
  <c r="N919" i="7"/>
  <c r="O919" i="7"/>
  <c r="U919" i="7" s="1"/>
  <c r="P919" i="7"/>
  <c r="B920" i="7"/>
  <c r="C920" i="7"/>
  <c r="D920" i="7"/>
  <c r="E920" i="7"/>
  <c r="F920" i="7"/>
  <c r="G920" i="7"/>
  <c r="H920" i="7"/>
  <c r="I920" i="7"/>
  <c r="J920" i="7"/>
  <c r="K920" i="7"/>
  <c r="L920" i="7"/>
  <c r="M920" i="7"/>
  <c r="N920" i="7"/>
  <c r="O920" i="7"/>
  <c r="U920" i="7" s="1"/>
  <c r="P920" i="7"/>
  <c r="B921" i="7"/>
  <c r="C921" i="7"/>
  <c r="D921" i="7"/>
  <c r="E921" i="7"/>
  <c r="F921" i="7"/>
  <c r="G921" i="7"/>
  <c r="H921" i="7"/>
  <c r="I921" i="7"/>
  <c r="J921" i="7"/>
  <c r="K921" i="7"/>
  <c r="L921" i="7"/>
  <c r="M921" i="7"/>
  <c r="N921" i="7"/>
  <c r="O921" i="7"/>
  <c r="U921" i="7" s="1"/>
  <c r="P921" i="7"/>
  <c r="B922" i="7"/>
  <c r="C922" i="7"/>
  <c r="D922" i="7"/>
  <c r="E922" i="7"/>
  <c r="F922" i="7"/>
  <c r="G922" i="7"/>
  <c r="H922" i="7"/>
  <c r="I922" i="7"/>
  <c r="J922" i="7"/>
  <c r="K922" i="7"/>
  <c r="L922" i="7"/>
  <c r="M922" i="7"/>
  <c r="N922" i="7"/>
  <c r="O922" i="7"/>
  <c r="P922" i="7"/>
  <c r="B923" i="7"/>
  <c r="C923" i="7"/>
  <c r="D923" i="7"/>
  <c r="E923" i="7"/>
  <c r="F923" i="7"/>
  <c r="G923" i="7"/>
  <c r="H923" i="7"/>
  <c r="I923" i="7"/>
  <c r="J923" i="7"/>
  <c r="K923" i="7"/>
  <c r="L923" i="7"/>
  <c r="M923" i="7"/>
  <c r="N923" i="7"/>
  <c r="O923" i="7"/>
  <c r="U923" i="7" s="1"/>
  <c r="P923" i="7"/>
  <c r="B924" i="7"/>
  <c r="C924" i="7"/>
  <c r="D924" i="7"/>
  <c r="E924" i="7"/>
  <c r="F924" i="7"/>
  <c r="G924" i="7"/>
  <c r="H924" i="7"/>
  <c r="I924" i="7"/>
  <c r="J924" i="7"/>
  <c r="K924" i="7"/>
  <c r="L924" i="7"/>
  <c r="M924" i="7"/>
  <c r="N924" i="7"/>
  <c r="O924" i="7"/>
  <c r="U924" i="7" s="1"/>
  <c r="P924" i="7"/>
  <c r="B925" i="7"/>
  <c r="C925" i="7"/>
  <c r="D925" i="7"/>
  <c r="E925" i="7"/>
  <c r="F925" i="7"/>
  <c r="G925" i="7"/>
  <c r="H925" i="7"/>
  <c r="I925" i="7"/>
  <c r="J925" i="7"/>
  <c r="K925" i="7"/>
  <c r="L925" i="7"/>
  <c r="M925" i="7"/>
  <c r="N925" i="7"/>
  <c r="O925" i="7"/>
  <c r="U925" i="7" s="1"/>
  <c r="P925" i="7"/>
  <c r="B926" i="7"/>
  <c r="C926" i="7"/>
  <c r="D926" i="7"/>
  <c r="E926" i="7"/>
  <c r="F926" i="7"/>
  <c r="G926" i="7"/>
  <c r="H926" i="7"/>
  <c r="I926" i="7"/>
  <c r="J926" i="7"/>
  <c r="K926" i="7"/>
  <c r="L926" i="7"/>
  <c r="M926" i="7"/>
  <c r="N926" i="7"/>
  <c r="O926" i="7"/>
  <c r="P926" i="7"/>
  <c r="B927" i="7"/>
  <c r="C927" i="7"/>
  <c r="D927" i="7"/>
  <c r="E927" i="7"/>
  <c r="F927" i="7"/>
  <c r="G927" i="7"/>
  <c r="H927" i="7"/>
  <c r="I927" i="7"/>
  <c r="J927" i="7"/>
  <c r="K927" i="7"/>
  <c r="L927" i="7"/>
  <c r="M927" i="7"/>
  <c r="N927" i="7"/>
  <c r="O927" i="7"/>
  <c r="U927" i="7" s="1"/>
  <c r="P927" i="7"/>
  <c r="B928" i="7"/>
  <c r="C928" i="7"/>
  <c r="D928" i="7"/>
  <c r="E928" i="7"/>
  <c r="F928" i="7"/>
  <c r="G928" i="7"/>
  <c r="H928" i="7"/>
  <c r="I928" i="7"/>
  <c r="J928" i="7"/>
  <c r="K928" i="7"/>
  <c r="L928" i="7"/>
  <c r="M928" i="7"/>
  <c r="N928" i="7"/>
  <c r="O928" i="7"/>
  <c r="U928" i="7" s="1"/>
  <c r="P928" i="7"/>
  <c r="B929" i="7"/>
  <c r="C929" i="7"/>
  <c r="D929" i="7"/>
  <c r="E929" i="7"/>
  <c r="F929" i="7"/>
  <c r="G929" i="7"/>
  <c r="H929" i="7"/>
  <c r="I929" i="7"/>
  <c r="J929" i="7"/>
  <c r="K929" i="7"/>
  <c r="L929" i="7"/>
  <c r="M929" i="7"/>
  <c r="N929" i="7"/>
  <c r="O929" i="7"/>
  <c r="U929" i="7" s="1"/>
  <c r="P929" i="7"/>
  <c r="B930" i="7"/>
  <c r="C930" i="7"/>
  <c r="D930" i="7"/>
  <c r="E930" i="7"/>
  <c r="F930" i="7"/>
  <c r="G930" i="7"/>
  <c r="H930" i="7"/>
  <c r="I930" i="7"/>
  <c r="J930" i="7"/>
  <c r="K930" i="7"/>
  <c r="L930" i="7"/>
  <c r="M930" i="7"/>
  <c r="N930" i="7"/>
  <c r="O930" i="7"/>
  <c r="U930" i="7" s="1"/>
  <c r="P930" i="7"/>
  <c r="B931" i="7"/>
  <c r="C931" i="7"/>
  <c r="D931" i="7"/>
  <c r="E931" i="7"/>
  <c r="F931" i="7"/>
  <c r="G931" i="7"/>
  <c r="H931" i="7"/>
  <c r="I931" i="7"/>
  <c r="J931" i="7"/>
  <c r="K931" i="7"/>
  <c r="L931" i="7"/>
  <c r="M931" i="7"/>
  <c r="N931" i="7"/>
  <c r="O931" i="7"/>
  <c r="U931" i="7" s="1"/>
  <c r="P931" i="7"/>
  <c r="B932" i="7"/>
  <c r="C932" i="7"/>
  <c r="D932" i="7"/>
  <c r="E932" i="7"/>
  <c r="F932" i="7"/>
  <c r="G932" i="7"/>
  <c r="H932" i="7"/>
  <c r="I932" i="7"/>
  <c r="J932" i="7"/>
  <c r="K932" i="7"/>
  <c r="L932" i="7"/>
  <c r="M932" i="7"/>
  <c r="N932" i="7"/>
  <c r="O932" i="7"/>
  <c r="U932" i="7" s="1"/>
  <c r="P932" i="7"/>
  <c r="B933" i="7"/>
  <c r="C933" i="7"/>
  <c r="D933" i="7"/>
  <c r="E933" i="7"/>
  <c r="F933" i="7"/>
  <c r="G933" i="7"/>
  <c r="H933" i="7"/>
  <c r="I933" i="7"/>
  <c r="J933" i="7"/>
  <c r="K933" i="7"/>
  <c r="L933" i="7"/>
  <c r="M933" i="7"/>
  <c r="N933" i="7"/>
  <c r="O933" i="7"/>
  <c r="U933" i="7" s="1"/>
  <c r="P933" i="7"/>
  <c r="B934" i="7"/>
  <c r="C934" i="7"/>
  <c r="D934" i="7"/>
  <c r="E934" i="7"/>
  <c r="F934" i="7"/>
  <c r="G934" i="7"/>
  <c r="H934" i="7"/>
  <c r="I934" i="7"/>
  <c r="J934" i="7"/>
  <c r="K934" i="7"/>
  <c r="L934" i="7"/>
  <c r="M934" i="7"/>
  <c r="N934" i="7"/>
  <c r="O934" i="7"/>
  <c r="P934" i="7"/>
  <c r="B935" i="7"/>
  <c r="C935" i="7"/>
  <c r="D935" i="7"/>
  <c r="E935" i="7"/>
  <c r="F935" i="7"/>
  <c r="G935" i="7"/>
  <c r="H935" i="7"/>
  <c r="I935" i="7"/>
  <c r="J935" i="7"/>
  <c r="K935" i="7"/>
  <c r="L935" i="7"/>
  <c r="M935" i="7"/>
  <c r="N935" i="7"/>
  <c r="O935" i="7"/>
  <c r="U935" i="7" s="1"/>
  <c r="P935" i="7"/>
  <c r="B936" i="7"/>
  <c r="C936" i="7"/>
  <c r="D936" i="7"/>
  <c r="E936" i="7"/>
  <c r="F936" i="7"/>
  <c r="G936" i="7"/>
  <c r="H936" i="7"/>
  <c r="I936" i="7"/>
  <c r="J936" i="7"/>
  <c r="K936" i="7"/>
  <c r="L936" i="7"/>
  <c r="M936" i="7"/>
  <c r="N936" i="7"/>
  <c r="O936" i="7"/>
  <c r="U936" i="7" s="1"/>
  <c r="P936" i="7"/>
  <c r="B937" i="7"/>
  <c r="C937" i="7"/>
  <c r="D937" i="7"/>
  <c r="E937" i="7"/>
  <c r="F937" i="7"/>
  <c r="G937" i="7"/>
  <c r="H937" i="7"/>
  <c r="I937" i="7"/>
  <c r="J937" i="7"/>
  <c r="K937" i="7"/>
  <c r="L937" i="7"/>
  <c r="M937" i="7"/>
  <c r="N937" i="7"/>
  <c r="O937" i="7"/>
  <c r="U937" i="7" s="1"/>
  <c r="P937" i="7"/>
  <c r="B938" i="7"/>
  <c r="C938" i="7"/>
  <c r="D938" i="7"/>
  <c r="E938" i="7"/>
  <c r="F938" i="7"/>
  <c r="G938" i="7"/>
  <c r="H938" i="7"/>
  <c r="I938" i="7"/>
  <c r="J938" i="7"/>
  <c r="K938" i="7"/>
  <c r="L938" i="7"/>
  <c r="M938" i="7"/>
  <c r="N938" i="7"/>
  <c r="O938" i="7"/>
  <c r="P938" i="7"/>
  <c r="B939" i="7"/>
  <c r="C939" i="7"/>
  <c r="D939" i="7"/>
  <c r="E939" i="7"/>
  <c r="F939" i="7"/>
  <c r="G939" i="7"/>
  <c r="H939" i="7"/>
  <c r="I939" i="7"/>
  <c r="J939" i="7"/>
  <c r="K939" i="7"/>
  <c r="L939" i="7"/>
  <c r="M939" i="7"/>
  <c r="N939" i="7"/>
  <c r="O939" i="7"/>
  <c r="U939" i="7" s="1"/>
  <c r="P939" i="7"/>
  <c r="B940" i="7"/>
  <c r="C940" i="7"/>
  <c r="D940" i="7"/>
  <c r="E940" i="7"/>
  <c r="F940" i="7"/>
  <c r="G940" i="7"/>
  <c r="H940" i="7"/>
  <c r="I940" i="7"/>
  <c r="J940" i="7"/>
  <c r="K940" i="7"/>
  <c r="L940" i="7"/>
  <c r="M940" i="7"/>
  <c r="N940" i="7"/>
  <c r="O940" i="7"/>
  <c r="U940" i="7" s="1"/>
  <c r="P940" i="7"/>
  <c r="B941" i="7"/>
  <c r="C941" i="7"/>
  <c r="D941" i="7"/>
  <c r="E941" i="7"/>
  <c r="F941" i="7"/>
  <c r="G941" i="7"/>
  <c r="H941" i="7"/>
  <c r="I941" i="7"/>
  <c r="J941" i="7"/>
  <c r="K941" i="7"/>
  <c r="L941" i="7"/>
  <c r="M941" i="7"/>
  <c r="N941" i="7"/>
  <c r="O941" i="7"/>
  <c r="U941" i="7" s="1"/>
  <c r="P941" i="7"/>
  <c r="B942" i="7"/>
  <c r="C942" i="7"/>
  <c r="D942" i="7"/>
  <c r="E942" i="7"/>
  <c r="F942" i="7"/>
  <c r="G942" i="7"/>
  <c r="H942" i="7"/>
  <c r="I942" i="7"/>
  <c r="J942" i="7"/>
  <c r="K942" i="7"/>
  <c r="L942" i="7"/>
  <c r="M942" i="7"/>
  <c r="N942" i="7"/>
  <c r="O942" i="7"/>
  <c r="U942" i="7" s="1"/>
  <c r="P942" i="7"/>
  <c r="B943" i="7"/>
  <c r="C943" i="7"/>
  <c r="D943" i="7"/>
  <c r="E943" i="7"/>
  <c r="F943" i="7"/>
  <c r="G943" i="7"/>
  <c r="H943" i="7"/>
  <c r="I943" i="7"/>
  <c r="J943" i="7"/>
  <c r="K943" i="7"/>
  <c r="L943" i="7"/>
  <c r="M943" i="7"/>
  <c r="N943" i="7"/>
  <c r="O943" i="7"/>
  <c r="U943" i="7" s="1"/>
  <c r="P943" i="7"/>
  <c r="B944" i="7"/>
  <c r="C944" i="7"/>
  <c r="D944" i="7"/>
  <c r="E944" i="7"/>
  <c r="F944" i="7"/>
  <c r="G944" i="7"/>
  <c r="H944" i="7"/>
  <c r="I944" i="7"/>
  <c r="J944" i="7"/>
  <c r="K944" i="7"/>
  <c r="L944" i="7"/>
  <c r="M944" i="7"/>
  <c r="N944" i="7"/>
  <c r="O944" i="7"/>
  <c r="U944" i="7" s="1"/>
  <c r="P944" i="7"/>
  <c r="B945" i="7"/>
  <c r="C945" i="7"/>
  <c r="D945" i="7"/>
  <c r="E945" i="7"/>
  <c r="F945" i="7"/>
  <c r="G945" i="7"/>
  <c r="H945" i="7"/>
  <c r="I945" i="7"/>
  <c r="J945" i="7"/>
  <c r="K945" i="7"/>
  <c r="L945" i="7"/>
  <c r="M945" i="7"/>
  <c r="N945" i="7"/>
  <c r="O945" i="7"/>
  <c r="U945" i="7" s="1"/>
  <c r="P945" i="7"/>
  <c r="B946" i="7"/>
  <c r="C946" i="7"/>
  <c r="D946" i="7"/>
  <c r="E946" i="7"/>
  <c r="F946" i="7"/>
  <c r="G946" i="7"/>
  <c r="H946" i="7"/>
  <c r="I946" i="7"/>
  <c r="J946" i="7"/>
  <c r="K946" i="7"/>
  <c r="L946" i="7"/>
  <c r="M946" i="7"/>
  <c r="N946" i="7"/>
  <c r="O946" i="7"/>
  <c r="U946" i="7" s="1"/>
  <c r="P946" i="7"/>
  <c r="B947" i="7"/>
  <c r="C947" i="7"/>
  <c r="D947" i="7"/>
  <c r="E947" i="7"/>
  <c r="F947" i="7"/>
  <c r="G947" i="7"/>
  <c r="H947" i="7"/>
  <c r="I947" i="7"/>
  <c r="J947" i="7"/>
  <c r="K947" i="7"/>
  <c r="L947" i="7"/>
  <c r="M947" i="7"/>
  <c r="N947" i="7"/>
  <c r="O947" i="7"/>
  <c r="U947" i="7" s="1"/>
  <c r="P947" i="7"/>
  <c r="B948" i="7"/>
  <c r="C948" i="7"/>
  <c r="D948" i="7"/>
  <c r="E948" i="7"/>
  <c r="F948" i="7"/>
  <c r="G948" i="7"/>
  <c r="H948" i="7"/>
  <c r="I948" i="7"/>
  <c r="J948" i="7"/>
  <c r="K948" i="7"/>
  <c r="L948" i="7"/>
  <c r="M948" i="7"/>
  <c r="N948" i="7"/>
  <c r="O948" i="7"/>
  <c r="U948" i="7" s="1"/>
  <c r="P948" i="7"/>
  <c r="B949" i="7"/>
  <c r="C949" i="7"/>
  <c r="D949" i="7"/>
  <c r="E949" i="7"/>
  <c r="F949" i="7"/>
  <c r="G949" i="7"/>
  <c r="H949" i="7"/>
  <c r="I949" i="7"/>
  <c r="J949" i="7"/>
  <c r="K949" i="7"/>
  <c r="L949" i="7"/>
  <c r="M949" i="7"/>
  <c r="N949" i="7"/>
  <c r="O949" i="7"/>
  <c r="U949" i="7" s="1"/>
  <c r="P949" i="7"/>
  <c r="B950" i="7"/>
  <c r="C950" i="7"/>
  <c r="D950" i="7"/>
  <c r="E950" i="7"/>
  <c r="F950" i="7"/>
  <c r="G950" i="7"/>
  <c r="H950" i="7"/>
  <c r="I950" i="7"/>
  <c r="J950" i="7"/>
  <c r="K950" i="7"/>
  <c r="L950" i="7"/>
  <c r="M950" i="7"/>
  <c r="N950" i="7"/>
  <c r="O950" i="7"/>
  <c r="P950" i="7"/>
  <c r="B951" i="7"/>
  <c r="C951" i="7"/>
  <c r="D951" i="7"/>
  <c r="E951" i="7"/>
  <c r="F951" i="7"/>
  <c r="G951" i="7"/>
  <c r="H951" i="7"/>
  <c r="I951" i="7"/>
  <c r="J951" i="7"/>
  <c r="K951" i="7"/>
  <c r="L951" i="7"/>
  <c r="M951" i="7"/>
  <c r="N951" i="7"/>
  <c r="O951" i="7"/>
  <c r="U951" i="7" s="1"/>
  <c r="P951" i="7"/>
  <c r="B952" i="7"/>
  <c r="C952" i="7"/>
  <c r="D952" i="7"/>
  <c r="E952" i="7"/>
  <c r="F952" i="7"/>
  <c r="G952" i="7"/>
  <c r="H952" i="7"/>
  <c r="I952" i="7"/>
  <c r="J952" i="7"/>
  <c r="K952" i="7"/>
  <c r="L952" i="7"/>
  <c r="M952" i="7"/>
  <c r="N952" i="7"/>
  <c r="O952" i="7"/>
  <c r="U952" i="7" s="1"/>
  <c r="P952" i="7"/>
  <c r="B953" i="7"/>
  <c r="C953" i="7"/>
  <c r="D953" i="7"/>
  <c r="E953" i="7"/>
  <c r="F953" i="7"/>
  <c r="G953" i="7"/>
  <c r="H953" i="7"/>
  <c r="I953" i="7"/>
  <c r="J953" i="7"/>
  <c r="K953" i="7"/>
  <c r="L953" i="7"/>
  <c r="M953" i="7"/>
  <c r="N953" i="7"/>
  <c r="O953" i="7"/>
  <c r="U953" i="7" s="1"/>
  <c r="P953" i="7"/>
  <c r="B954" i="7"/>
  <c r="C954" i="7"/>
  <c r="D954" i="7"/>
  <c r="E954" i="7"/>
  <c r="F954" i="7"/>
  <c r="G954" i="7"/>
  <c r="H954" i="7"/>
  <c r="I954" i="7"/>
  <c r="J954" i="7"/>
  <c r="K954" i="7"/>
  <c r="L954" i="7"/>
  <c r="M954" i="7"/>
  <c r="N954" i="7"/>
  <c r="O954" i="7"/>
  <c r="P954" i="7"/>
  <c r="B955" i="7"/>
  <c r="C955" i="7"/>
  <c r="D955" i="7"/>
  <c r="E955" i="7"/>
  <c r="F955" i="7"/>
  <c r="G955" i="7"/>
  <c r="H955" i="7"/>
  <c r="I955" i="7"/>
  <c r="J955" i="7"/>
  <c r="K955" i="7"/>
  <c r="L955" i="7"/>
  <c r="M955" i="7"/>
  <c r="N955" i="7"/>
  <c r="O955" i="7"/>
  <c r="U955" i="7" s="1"/>
  <c r="P955" i="7"/>
  <c r="B956" i="7"/>
  <c r="C956" i="7"/>
  <c r="D956" i="7"/>
  <c r="E956" i="7"/>
  <c r="F956" i="7"/>
  <c r="G956" i="7"/>
  <c r="H956" i="7"/>
  <c r="I956" i="7"/>
  <c r="J956" i="7"/>
  <c r="K956" i="7"/>
  <c r="L956" i="7"/>
  <c r="M956" i="7"/>
  <c r="N956" i="7"/>
  <c r="O956" i="7"/>
  <c r="U956" i="7" s="1"/>
  <c r="P956" i="7"/>
  <c r="B957" i="7"/>
  <c r="C957" i="7"/>
  <c r="D957" i="7"/>
  <c r="E957" i="7"/>
  <c r="F957" i="7"/>
  <c r="G957" i="7"/>
  <c r="H957" i="7"/>
  <c r="I957" i="7"/>
  <c r="J957" i="7"/>
  <c r="K957" i="7"/>
  <c r="L957" i="7"/>
  <c r="M957" i="7"/>
  <c r="N957" i="7"/>
  <c r="O957" i="7"/>
  <c r="U957" i="7" s="1"/>
  <c r="P957" i="7"/>
  <c r="B958" i="7"/>
  <c r="C958" i="7"/>
  <c r="D958" i="7"/>
  <c r="E958" i="7"/>
  <c r="F958" i="7"/>
  <c r="G958" i="7"/>
  <c r="H958" i="7"/>
  <c r="I958" i="7"/>
  <c r="J958" i="7"/>
  <c r="K958" i="7"/>
  <c r="L958" i="7"/>
  <c r="M958" i="7"/>
  <c r="N958" i="7"/>
  <c r="O958" i="7"/>
  <c r="U958" i="7" s="1"/>
  <c r="P958" i="7"/>
  <c r="B959" i="7"/>
  <c r="C959" i="7"/>
  <c r="D959" i="7"/>
  <c r="E959" i="7"/>
  <c r="F959" i="7"/>
  <c r="G959" i="7"/>
  <c r="H959" i="7"/>
  <c r="I959" i="7"/>
  <c r="J959" i="7"/>
  <c r="K959" i="7"/>
  <c r="L959" i="7"/>
  <c r="M959" i="7"/>
  <c r="N959" i="7"/>
  <c r="O959" i="7"/>
  <c r="U959" i="7" s="1"/>
  <c r="P959" i="7"/>
  <c r="B960" i="7"/>
  <c r="C960" i="7"/>
  <c r="D960" i="7"/>
  <c r="E960" i="7"/>
  <c r="F960" i="7"/>
  <c r="G960" i="7"/>
  <c r="H960" i="7"/>
  <c r="I960" i="7"/>
  <c r="J960" i="7"/>
  <c r="K960" i="7"/>
  <c r="L960" i="7"/>
  <c r="M960" i="7"/>
  <c r="N960" i="7"/>
  <c r="O960" i="7"/>
  <c r="U960" i="7" s="1"/>
  <c r="P960" i="7"/>
  <c r="B961" i="7"/>
  <c r="C961" i="7"/>
  <c r="D961" i="7"/>
  <c r="E961" i="7"/>
  <c r="F961" i="7"/>
  <c r="G961" i="7"/>
  <c r="H961" i="7"/>
  <c r="I961" i="7"/>
  <c r="J961" i="7"/>
  <c r="K961" i="7"/>
  <c r="L961" i="7"/>
  <c r="M961" i="7"/>
  <c r="N961" i="7"/>
  <c r="O961" i="7"/>
  <c r="U961" i="7" s="1"/>
  <c r="P961" i="7"/>
  <c r="B962" i="7"/>
  <c r="C962" i="7"/>
  <c r="D962" i="7"/>
  <c r="E962" i="7"/>
  <c r="F962" i="7"/>
  <c r="G962" i="7"/>
  <c r="H962" i="7"/>
  <c r="I962" i="7"/>
  <c r="J962" i="7"/>
  <c r="K962" i="7"/>
  <c r="L962" i="7"/>
  <c r="M962" i="7"/>
  <c r="N962" i="7"/>
  <c r="O962" i="7"/>
  <c r="U962" i="7" s="1"/>
  <c r="P962" i="7"/>
  <c r="B963" i="7"/>
  <c r="C963" i="7"/>
  <c r="D963" i="7"/>
  <c r="E963" i="7"/>
  <c r="F963" i="7"/>
  <c r="G963" i="7"/>
  <c r="H963" i="7"/>
  <c r="I963" i="7"/>
  <c r="J963" i="7"/>
  <c r="K963" i="7"/>
  <c r="L963" i="7"/>
  <c r="M963" i="7"/>
  <c r="N963" i="7"/>
  <c r="O963" i="7"/>
  <c r="U963" i="7" s="1"/>
  <c r="P963" i="7"/>
  <c r="B964" i="7"/>
  <c r="C964" i="7"/>
  <c r="D964" i="7"/>
  <c r="E964" i="7"/>
  <c r="F964" i="7"/>
  <c r="G964" i="7"/>
  <c r="H964" i="7"/>
  <c r="I964" i="7"/>
  <c r="J964" i="7"/>
  <c r="K964" i="7"/>
  <c r="L964" i="7"/>
  <c r="M964" i="7"/>
  <c r="N964" i="7"/>
  <c r="O964" i="7"/>
  <c r="U964" i="7" s="1"/>
  <c r="P964" i="7"/>
  <c r="B965" i="7"/>
  <c r="C965" i="7"/>
  <c r="D965" i="7"/>
  <c r="E965" i="7"/>
  <c r="F965" i="7"/>
  <c r="G965" i="7"/>
  <c r="H965" i="7"/>
  <c r="I965" i="7"/>
  <c r="J965" i="7"/>
  <c r="K965" i="7"/>
  <c r="L965" i="7"/>
  <c r="M965" i="7"/>
  <c r="N965" i="7"/>
  <c r="O965" i="7"/>
  <c r="U965" i="7" s="1"/>
  <c r="P965" i="7"/>
  <c r="B966" i="7"/>
  <c r="C966" i="7"/>
  <c r="D966" i="7"/>
  <c r="E966" i="7"/>
  <c r="F966" i="7"/>
  <c r="G966" i="7"/>
  <c r="H966" i="7"/>
  <c r="I966" i="7"/>
  <c r="J966" i="7"/>
  <c r="K966" i="7"/>
  <c r="L966" i="7"/>
  <c r="M966" i="7"/>
  <c r="N966" i="7"/>
  <c r="O966" i="7"/>
  <c r="P966" i="7"/>
  <c r="B967" i="7"/>
  <c r="C967" i="7"/>
  <c r="D967" i="7"/>
  <c r="E967" i="7"/>
  <c r="F967" i="7"/>
  <c r="G967" i="7"/>
  <c r="H967" i="7"/>
  <c r="I967" i="7"/>
  <c r="J967" i="7"/>
  <c r="K967" i="7"/>
  <c r="L967" i="7"/>
  <c r="M967" i="7"/>
  <c r="N967" i="7"/>
  <c r="O967" i="7"/>
  <c r="U967" i="7" s="1"/>
  <c r="P967" i="7"/>
  <c r="B968" i="7"/>
  <c r="C968" i="7"/>
  <c r="D968" i="7"/>
  <c r="E968" i="7"/>
  <c r="F968" i="7"/>
  <c r="G968" i="7"/>
  <c r="H968" i="7"/>
  <c r="I968" i="7"/>
  <c r="J968" i="7"/>
  <c r="K968" i="7"/>
  <c r="L968" i="7"/>
  <c r="M968" i="7"/>
  <c r="N968" i="7"/>
  <c r="O968" i="7"/>
  <c r="U968" i="7" s="1"/>
  <c r="P968" i="7"/>
  <c r="B969" i="7"/>
  <c r="C969" i="7"/>
  <c r="D969" i="7"/>
  <c r="E969" i="7"/>
  <c r="F969" i="7"/>
  <c r="G969" i="7"/>
  <c r="H969" i="7"/>
  <c r="I969" i="7"/>
  <c r="J969" i="7"/>
  <c r="K969" i="7"/>
  <c r="L969" i="7"/>
  <c r="M969" i="7"/>
  <c r="N969" i="7"/>
  <c r="O969" i="7"/>
  <c r="U969" i="7" s="1"/>
  <c r="P969" i="7"/>
  <c r="B970" i="7"/>
  <c r="C970" i="7"/>
  <c r="D970" i="7"/>
  <c r="E970" i="7"/>
  <c r="F970" i="7"/>
  <c r="G970" i="7"/>
  <c r="H970" i="7"/>
  <c r="I970" i="7"/>
  <c r="J970" i="7"/>
  <c r="K970" i="7"/>
  <c r="L970" i="7"/>
  <c r="M970" i="7"/>
  <c r="N970" i="7"/>
  <c r="O970" i="7"/>
  <c r="U970" i="7" s="1"/>
  <c r="P970" i="7"/>
  <c r="B971" i="7"/>
  <c r="C971" i="7"/>
  <c r="D971" i="7"/>
  <c r="E971" i="7"/>
  <c r="F971" i="7"/>
  <c r="G971" i="7"/>
  <c r="H971" i="7"/>
  <c r="I971" i="7"/>
  <c r="J971" i="7"/>
  <c r="K971" i="7"/>
  <c r="L971" i="7"/>
  <c r="M971" i="7"/>
  <c r="N971" i="7"/>
  <c r="O971" i="7"/>
  <c r="U971" i="7" s="1"/>
  <c r="P971" i="7"/>
  <c r="B972" i="7"/>
  <c r="C972" i="7"/>
  <c r="D972" i="7"/>
  <c r="E972" i="7"/>
  <c r="F972" i="7"/>
  <c r="G972" i="7"/>
  <c r="H972" i="7"/>
  <c r="I972" i="7"/>
  <c r="J972" i="7"/>
  <c r="K972" i="7"/>
  <c r="L972" i="7"/>
  <c r="M972" i="7"/>
  <c r="N972" i="7"/>
  <c r="O972" i="7"/>
  <c r="U972" i="7" s="1"/>
  <c r="P972" i="7"/>
  <c r="B973" i="7"/>
  <c r="C973" i="7"/>
  <c r="D973" i="7"/>
  <c r="E973" i="7"/>
  <c r="F973" i="7"/>
  <c r="G973" i="7"/>
  <c r="H973" i="7"/>
  <c r="I973" i="7"/>
  <c r="J973" i="7"/>
  <c r="K973" i="7"/>
  <c r="L973" i="7"/>
  <c r="M973" i="7"/>
  <c r="N973" i="7"/>
  <c r="O973" i="7"/>
  <c r="U973" i="7" s="1"/>
  <c r="P973" i="7"/>
  <c r="B974" i="7"/>
  <c r="C974" i="7"/>
  <c r="D974" i="7"/>
  <c r="E974" i="7"/>
  <c r="F974" i="7"/>
  <c r="G974" i="7"/>
  <c r="H974" i="7"/>
  <c r="I974" i="7"/>
  <c r="J974" i="7"/>
  <c r="K974" i="7"/>
  <c r="L974" i="7"/>
  <c r="M974" i="7"/>
  <c r="N974" i="7"/>
  <c r="O974" i="7"/>
  <c r="U974" i="7" s="1"/>
  <c r="P974" i="7"/>
  <c r="B975" i="7"/>
  <c r="C975" i="7"/>
  <c r="D975" i="7"/>
  <c r="E975" i="7"/>
  <c r="F975" i="7"/>
  <c r="G975" i="7"/>
  <c r="H975" i="7"/>
  <c r="I975" i="7"/>
  <c r="J975" i="7"/>
  <c r="K975" i="7"/>
  <c r="L975" i="7"/>
  <c r="M975" i="7"/>
  <c r="N975" i="7"/>
  <c r="O975" i="7"/>
  <c r="U975" i="7" s="1"/>
  <c r="P975" i="7"/>
  <c r="B976" i="7"/>
  <c r="C976" i="7"/>
  <c r="D976" i="7"/>
  <c r="E976" i="7"/>
  <c r="F976" i="7"/>
  <c r="G976" i="7"/>
  <c r="H976" i="7"/>
  <c r="I976" i="7"/>
  <c r="J976" i="7"/>
  <c r="K976" i="7"/>
  <c r="L976" i="7"/>
  <c r="M976" i="7"/>
  <c r="N976" i="7"/>
  <c r="O976" i="7"/>
  <c r="U976" i="7" s="1"/>
  <c r="P976" i="7"/>
  <c r="B977" i="7"/>
  <c r="C977" i="7"/>
  <c r="D977" i="7"/>
  <c r="E977" i="7"/>
  <c r="F977" i="7"/>
  <c r="G977" i="7"/>
  <c r="H977" i="7"/>
  <c r="I977" i="7"/>
  <c r="J977" i="7"/>
  <c r="K977" i="7"/>
  <c r="L977" i="7"/>
  <c r="M977" i="7"/>
  <c r="N977" i="7"/>
  <c r="O977" i="7"/>
  <c r="U977" i="7" s="1"/>
  <c r="P977" i="7"/>
  <c r="B978" i="7"/>
  <c r="C978" i="7"/>
  <c r="D978" i="7"/>
  <c r="E978" i="7"/>
  <c r="F978" i="7"/>
  <c r="G978" i="7"/>
  <c r="H978" i="7"/>
  <c r="I978" i="7"/>
  <c r="J978" i="7"/>
  <c r="K978" i="7"/>
  <c r="L978" i="7"/>
  <c r="M978" i="7"/>
  <c r="N978" i="7"/>
  <c r="O978" i="7"/>
  <c r="U978" i="7" s="1"/>
  <c r="P978" i="7"/>
  <c r="B979" i="7"/>
  <c r="C979" i="7"/>
  <c r="D979" i="7"/>
  <c r="E979" i="7"/>
  <c r="F979" i="7"/>
  <c r="G979" i="7"/>
  <c r="H979" i="7"/>
  <c r="I979" i="7"/>
  <c r="J979" i="7"/>
  <c r="K979" i="7"/>
  <c r="L979" i="7"/>
  <c r="M979" i="7"/>
  <c r="N979" i="7"/>
  <c r="O979" i="7"/>
  <c r="U979" i="7" s="1"/>
  <c r="P979" i="7"/>
  <c r="B980" i="7"/>
  <c r="C980" i="7"/>
  <c r="D980" i="7"/>
  <c r="E980" i="7"/>
  <c r="F980" i="7"/>
  <c r="G980" i="7"/>
  <c r="H980" i="7"/>
  <c r="I980" i="7"/>
  <c r="J980" i="7"/>
  <c r="K980" i="7"/>
  <c r="L980" i="7"/>
  <c r="M980" i="7"/>
  <c r="N980" i="7"/>
  <c r="O980" i="7"/>
  <c r="U980" i="7" s="1"/>
  <c r="P980" i="7"/>
  <c r="B981" i="7"/>
  <c r="C981" i="7"/>
  <c r="D981" i="7"/>
  <c r="E981" i="7"/>
  <c r="F981" i="7"/>
  <c r="G981" i="7"/>
  <c r="H981" i="7"/>
  <c r="I981" i="7"/>
  <c r="J981" i="7"/>
  <c r="K981" i="7"/>
  <c r="L981" i="7"/>
  <c r="M981" i="7"/>
  <c r="N981" i="7"/>
  <c r="O981" i="7"/>
  <c r="U981" i="7" s="1"/>
  <c r="P981" i="7"/>
  <c r="B982" i="7"/>
  <c r="C982" i="7"/>
  <c r="D982" i="7"/>
  <c r="E982" i="7"/>
  <c r="F982" i="7"/>
  <c r="G982" i="7"/>
  <c r="H982" i="7"/>
  <c r="I982" i="7"/>
  <c r="J982" i="7"/>
  <c r="K982" i="7"/>
  <c r="L982" i="7"/>
  <c r="M982" i="7"/>
  <c r="N982" i="7"/>
  <c r="O982" i="7"/>
  <c r="P982" i="7"/>
  <c r="B983" i="7"/>
  <c r="C983" i="7"/>
  <c r="D983" i="7"/>
  <c r="E983" i="7"/>
  <c r="F983" i="7"/>
  <c r="G983" i="7"/>
  <c r="H983" i="7"/>
  <c r="I983" i="7"/>
  <c r="J983" i="7"/>
  <c r="K983" i="7"/>
  <c r="L983" i="7"/>
  <c r="M983" i="7"/>
  <c r="N983" i="7"/>
  <c r="O983" i="7"/>
  <c r="U983" i="7" s="1"/>
  <c r="P983" i="7"/>
  <c r="B984" i="7"/>
  <c r="C984" i="7"/>
  <c r="D984" i="7"/>
  <c r="E984" i="7"/>
  <c r="F984" i="7"/>
  <c r="G984" i="7"/>
  <c r="H984" i="7"/>
  <c r="I984" i="7"/>
  <c r="J984" i="7"/>
  <c r="K984" i="7"/>
  <c r="L984" i="7"/>
  <c r="M984" i="7"/>
  <c r="N984" i="7"/>
  <c r="O984" i="7"/>
  <c r="U984" i="7" s="1"/>
  <c r="P984" i="7"/>
  <c r="B985" i="7"/>
  <c r="C985" i="7"/>
  <c r="D985" i="7"/>
  <c r="E985" i="7"/>
  <c r="F985" i="7"/>
  <c r="G985" i="7"/>
  <c r="H985" i="7"/>
  <c r="I985" i="7"/>
  <c r="J985" i="7"/>
  <c r="K985" i="7"/>
  <c r="L985" i="7"/>
  <c r="M985" i="7"/>
  <c r="N985" i="7"/>
  <c r="O985" i="7"/>
  <c r="U985" i="7" s="1"/>
  <c r="P985" i="7"/>
  <c r="B986" i="7"/>
  <c r="C986" i="7"/>
  <c r="D986" i="7"/>
  <c r="E986" i="7"/>
  <c r="F986" i="7"/>
  <c r="G986" i="7"/>
  <c r="H986" i="7"/>
  <c r="I986" i="7"/>
  <c r="J986" i="7"/>
  <c r="K986" i="7"/>
  <c r="L986" i="7"/>
  <c r="M986" i="7"/>
  <c r="N986" i="7"/>
  <c r="O986" i="7"/>
  <c r="P986" i="7"/>
  <c r="B987" i="7"/>
  <c r="C987" i="7"/>
  <c r="D987" i="7"/>
  <c r="E987" i="7"/>
  <c r="F987" i="7"/>
  <c r="G987" i="7"/>
  <c r="H987" i="7"/>
  <c r="I987" i="7"/>
  <c r="J987" i="7"/>
  <c r="K987" i="7"/>
  <c r="L987" i="7"/>
  <c r="M987" i="7"/>
  <c r="N987" i="7"/>
  <c r="O987" i="7"/>
  <c r="U987" i="7" s="1"/>
  <c r="P987" i="7"/>
  <c r="B988" i="7"/>
  <c r="C988" i="7"/>
  <c r="D988" i="7"/>
  <c r="E988" i="7"/>
  <c r="F988" i="7"/>
  <c r="G988" i="7"/>
  <c r="H988" i="7"/>
  <c r="I988" i="7"/>
  <c r="J988" i="7"/>
  <c r="K988" i="7"/>
  <c r="L988" i="7"/>
  <c r="M988" i="7"/>
  <c r="N988" i="7"/>
  <c r="O988" i="7"/>
  <c r="U988" i="7" s="1"/>
  <c r="P988" i="7"/>
  <c r="B989" i="7"/>
  <c r="C989" i="7"/>
  <c r="D989" i="7"/>
  <c r="E989" i="7"/>
  <c r="F989" i="7"/>
  <c r="G989" i="7"/>
  <c r="H989" i="7"/>
  <c r="I989" i="7"/>
  <c r="J989" i="7"/>
  <c r="K989" i="7"/>
  <c r="L989" i="7"/>
  <c r="M989" i="7"/>
  <c r="N989" i="7"/>
  <c r="O989" i="7"/>
  <c r="U989" i="7" s="1"/>
  <c r="P989" i="7"/>
  <c r="B990" i="7"/>
  <c r="C990" i="7"/>
  <c r="D990" i="7"/>
  <c r="E990" i="7"/>
  <c r="F990" i="7"/>
  <c r="G990" i="7"/>
  <c r="H990" i="7"/>
  <c r="I990" i="7"/>
  <c r="J990" i="7"/>
  <c r="K990" i="7"/>
  <c r="L990" i="7"/>
  <c r="M990" i="7"/>
  <c r="N990" i="7"/>
  <c r="O990" i="7"/>
  <c r="P990" i="7"/>
  <c r="B991" i="7"/>
  <c r="C991" i="7"/>
  <c r="D991" i="7"/>
  <c r="E991" i="7"/>
  <c r="F991" i="7"/>
  <c r="G991" i="7"/>
  <c r="H991" i="7"/>
  <c r="I991" i="7"/>
  <c r="J991" i="7"/>
  <c r="K991" i="7"/>
  <c r="L991" i="7"/>
  <c r="M991" i="7"/>
  <c r="N991" i="7"/>
  <c r="O991" i="7"/>
  <c r="U991" i="7" s="1"/>
  <c r="P991" i="7"/>
  <c r="B992" i="7"/>
  <c r="C992" i="7"/>
  <c r="D992" i="7"/>
  <c r="E992" i="7"/>
  <c r="F992" i="7"/>
  <c r="G992" i="7"/>
  <c r="H992" i="7"/>
  <c r="I992" i="7"/>
  <c r="J992" i="7"/>
  <c r="K992" i="7"/>
  <c r="L992" i="7"/>
  <c r="M992" i="7"/>
  <c r="N992" i="7"/>
  <c r="O992" i="7"/>
  <c r="U992" i="7" s="1"/>
  <c r="P992" i="7"/>
  <c r="B993" i="7"/>
  <c r="C993" i="7"/>
  <c r="D993" i="7"/>
  <c r="E993" i="7"/>
  <c r="F993" i="7"/>
  <c r="G993" i="7"/>
  <c r="H993" i="7"/>
  <c r="I993" i="7"/>
  <c r="J993" i="7"/>
  <c r="K993" i="7"/>
  <c r="L993" i="7"/>
  <c r="M993" i="7"/>
  <c r="N993" i="7"/>
  <c r="O993" i="7"/>
  <c r="U993" i="7" s="1"/>
  <c r="P993" i="7"/>
  <c r="B994" i="7"/>
  <c r="C994" i="7"/>
  <c r="D994" i="7"/>
  <c r="E994" i="7"/>
  <c r="F994" i="7"/>
  <c r="G994" i="7"/>
  <c r="H994" i="7"/>
  <c r="I994" i="7"/>
  <c r="J994" i="7"/>
  <c r="K994" i="7"/>
  <c r="L994" i="7"/>
  <c r="M994" i="7"/>
  <c r="N994" i="7"/>
  <c r="O994" i="7"/>
  <c r="U994" i="7" s="1"/>
  <c r="P994" i="7"/>
  <c r="B995" i="7"/>
  <c r="C995" i="7"/>
  <c r="D995" i="7"/>
  <c r="E995" i="7"/>
  <c r="F995" i="7"/>
  <c r="G995" i="7"/>
  <c r="H995" i="7"/>
  <c r="I995" i="7"/>
  <c r="J995" i="7"/>
  <c r="K995" i="7"/>
  <c r="L995" i="7"/>
  <c r="M995" i="7"/>
  <c r="N995" i="7"/>
  <c r="O995" i="7"/>
  <c r="U995" i="7" s="1"/>
  <c r="P995" i="7"/>
  <c r="B996" i="7"/>
  <c r="C996" i="7"/>
  <c r="D996" i="7"/>
  <c r="E996" i="7"/>
  <c r="F996" i="7"/>
  <c r="G996" i="7"/>
  <c r="H996" i="7"/>
  <c r="I996" i="7"/>
  <c r="J996" i="7"/>
  <c r="K996" i="7"/>
  <c r="L996" i="7"/>
  <c r="M996" i="7"/>
  <c r="N996" i="7"/>
  <c r="O996" i="7"/>
  <c r="U996" i="7" s="1"/>
  <c r="P996" i="7"/>
  <c r="B997" i="7"/>
  <c r="C997" i="7"/>
  <c r="D997" i="7"/>
  <c r="E997" i="7"/>
  <c r="F997" i="7"/>
  <c r="G997" i="7"/>
  <c r="H997" i="7"/>
  <c r="I997" i="7"/>
  <c r="J997" i="7"/>
  <c r="K997" i="7"/>
  <c r="L997" i="7"/>
  <c r="M997" i="7"/>
  <c r="N997" i="7"/>
  <c r="O997" i="7"/>
  <c r="U997" i="7" s="1"/>
  <c r="P997" i="7"/>
  <c r="B998" i="7"/>
  <c r="C998" i="7"/>
  <c r="D998" i="7"/>
  <c r="E998" i="7"/>
  <c r="F998" i="7"/>
  <c r="G998" i="7"/>
  <c r="H998" i="7"/>
  <c r="I998" i="7"/>
  <c r="J998" i="7"/>
  <c r="K998" i="7"/>
  <c r="L998" i="7"/>
  <c r="M998" i="7"/>
  <c r="N998" i="7"/>
  <c r="O998" i="7"/>
  <c r="P998" i="7"/>
  <c r="B999" i="7"/>
  <c r="C999" i="7"/>
  <c r="D999" i="7"/>
  <c r="E999" i="7"/>
  <c r="F999" i="7"/>
  <c r="G999" i="7"/>
  <c r="H999" i="7"/>
  <c r="I999" i="7"/>
  <c r="J999" i="7"/>
  <c r="K999" i="7"/>
  <c r="L999" i="7"/>
  <c r="M999" i="7"/>
  <c r="N999" i="7"/>
  <c r="O999" i="7"/>
  <c r="U999" i="7" s="1"/>
  <c r="P999" i="7"/>
  <c r="B1000" i="7"/>
  <c r="C1000" i="7"/>
  <c r="D1000" i="7"/>
  <c r="E1000" i="7"/>
  <c r="F1000" i="7"/>
  <c r="G1000" i="7"/>
  <c r="H1000" i="7"/>
  <c r="I1000" i="7"/>
  <c r="J1000" i="7"/>
  <c r="K1000" i="7"/>
  <c r="L1000" i="7"/>
  <c r="M1000" i="7"/>
  <c r="N1000" i="7"/>
  <c r="O1000" i="7"/>
  <c r="U1000" i="7" s="1"/>
  <c r="P1000" i="7"/>
  <c r="E21" i="2"/>
  <c r="F21" i="2"/>
  <c r="H21" i="2"/>
  <c r="E22" i="2"/>
  <c r="F22" i="2"/>
  <c r="H22" i="2"/>
  <c r="E23" i="2"/>
  <c r="F23" i="2"/>
  <c r="H23" i="2"/>
  <c r="E24" i="2"/>
  <c r="F24" i="2"/>
  <c r="H24" i="2"/>
  <c r="H25" i="2"/>
  <c r="H26" i="2"/>
  <c r="H27" i="2"/>
  <c r="H28" i="2"/>
  <c r="T60" i="7" l="1"/>
  <c r="Q25" i="7"/>
  <c r="R30" i="7"/>
  <c r="Q668" i="7"/>
  <c r="Q660" i="7"/>
  <c r="Q652" i="7"/>
  <c r="Q636" i="7"/>
  <c r="R83" i="7"/>
  <c r="Q3" i="7"/>
  <c r="Q935" i="7"/>
  <c r="R587" i="7"/>
  <c r="Q969" i="7"/>
  <c r="R485" i="7"/>
  <c r="R370" i="7"/>
  <c r="R338" i="7"/>
  <c r="R300" i="7"/>
  <c r="R566" i="7"/>
  <c r="S303" i="7"/>
  <c r="R297" i="7"/>
  <c r="S123" i="7"/>
  <c r="R26" i="7"/>
  <c r="R510" i="7"/>
  <c r="R494" i="7"/>
  <c r="R454" i="7"/>
  <c r="S88" i="7"/>
  <c r="Q93" i="7"/>
  <c r="Q29" i="7"/>
  <c r="T28" i="7"/>
  <c r="T938" i="7"/>
  <c r="S543" i="7"/>
  <c r="S84" i="7"/>
  <c r="S36" i="7"/>
  <c r="S4" i="7"/>
  <c r="T511" i="7"/>
  <c r="S6" i="7"/>
  <c r="R22" i="7"/>
  <c r="S714" i="7"/>
  <c r="R593" i="7"/>
  <c r="S696" i="7"/>
  <c r="S694" i="7"/>
  <c r="S646" i="7"/>
  <c r="T537" i="7"/>
  <c r="S564" i="7"/>
  <c r="T89" i="7"/>
  <c r="S517" i="7"/>
  <c r="R909" i="7"/>
  <c r="R961" i="7"/>
  <c r="R929" i="7"/>
  <c r="R921" i="7"/>
  <c r="R890" i="7"/>
  <c r="S738" i="7"/>
  <c r="S498" i="7"/>
  <c r="Q494" i="7"/>
  <c r="T361" i="7"/>
  <c r="S129" i="7"/>
  <c r="S120" i="7"/>
  <c r="S1000" i="7"/>
  <c r="T556" i="7"/>
  <c r="T282" i="7"/>
  <c r="T266" i="7"/>
  <c r="S242" i="7"/>
  <c r="Q95" i="7"/>
  <c r="S856" i="7"/>
  <c r="S840" i="7"/>
  <c r="S824" i="7"/>
  <c r="S752" i="7"/>
  <c r="R997" i="7"/>
  <c r="R957" i="7"/>
  <c r="T755" i="7"/>
  <c r="R586" i="7"/>
  <c r="R570" i="7"/>
  <c r="R280" i="7"/>
  <c r="S101" i="7"/>
  <c r="R76" i="7"/>
  <c r="R28" i="7"/>
  <c r="R20" i="7"/>
  <c r="Q891" i="7"/>
  <c r="T862" i="7"/>
  <c r="Q859" i="7"/>
  <c r="Q851" i="7"/>
  <c r="T838" i="7"/>
  <c r="Q835" i="7"/>
  <c r="T830" i="7"/>
  <c r="T723" i="7"/>
  <c r="Q680" i="7"/>
  <c r="Q656" i="7"/>
  <c r="Q640" i="7"/>
  <c r="T627" i="7"/>
  <c r="Q608" i="7"/>
  <c r="T603" i="7"/>
  <c r="T370" i="7"/>
  <c r="Q270" i="7"/>
  <c r="T793" i="7"/>
  <c r="T786" i="7"/>
  <c r="T777" i="7"/>
  <c r="T754" i="7"/>
  <c r="Q673" i="7"/>
  <c r="Q641" i="7"/>
  <c r="Q633" i="7"/>
  <c r="S810" i="7"/>
  <c r="S802" i="7"/>
  <c r="S778" i="7"/>
  <c r="S770" i="7"/>
  <c r="S754" i="7"/>
  <c r="S542" i="7"/>
  <c r="R898" i="7"/>
  <c r="Q563" i="7"/>
  <c r="R886" i="7"/>
  <c r="R878" i="7"/>
  <c r="R680" i="7"/>
  <c r="S381" i="7"/>
  <c r="S349" i="7"/>
  <c r="R934" i="7"/>
  <c r="S596" i="7"/>
  <c r="T998" i="7"/>
  <c r="Q995" i="7"/>
  <c r="T982" i="7"/>
  <c r="T926" i="7"/>
  <c r="R877" i="7"/>
  <c r="R853" i="7"/>
  <c r="R829" i="7"/>
  <c r="R484" i="7"/>
  <c r="R417" i="7"/>
  <c r="Q408" i="7"/>
  <c r="S966" i="7"/>
  <c r="S934" i="7"/>
  <c r="Q932" i="7"/>
  <c r="Q907" i="7"/>
  <c r="T902" i="7"/>
  <c r="Q899" i="7"/>
  <c r="S884" i="7"/>
  <c r="S772" i="7"/>
  <c r="T765" i="7"/>
  <c r="S764" i="7"/>
  <c r="T748" i="7"/>
  <c r="T726" i="7"/>
  <c r="T670" i="7"/>
  <c r="T654" i="7"/>
  <c r="T646" i="7"/>
  <c r="Q643" i="7"/>
  <c r="Q465" i="7"/>
  <c r="T364" i="7"/>
  <c r="T82" i="7"/>
  <c r="S968" i="7"/>
  <c r="R962" i="7"/>
  <c r="S894" i="7"/>
  <c r="Q892" i="7"/>
  <c r="R455" i="7"/>
  <c r="T204" i="7"/>
  <c r="R198" i="7"/>
  <c r="R182" i="7"/>
  <c r="R1000" i="7"/>
  <c r="R947" i="7"/>
  <c r="R936" i="7"/>
  <c r="R931" i="7"/>
  <c r="R906" i="7"/>
  <c r="S904" i="7"/>
  <c r="Q869" i="7"/>
  <c r="Q861" i="7"/>
  <c r="Q853" i="7"/>
  <c r="Q821" i="7"/>
  <c r="T808" i="7"/>
  <c r="T697" i="7"/>
  <c r="T664" i="7"/>
  <c r="T656" i="7"/>
  <c r="R602" i="7"/>
  <c r="Q517" i="7"/>
  <c r="R480" i="7"/>
  <c r="Q75" i="7"/>
  <c r="R387" i="7"/>
  <c r="S345" i="7"/>
  <c r="S938" i="7"/>
  <c r="Q936" i="7"/>
  <c r="Q812" i="7"/>
  <c r="S800" i="7"/>
  <c r="T783" i="7"/>
  <c r="S758" i="7"/>
  <c r="T567" i="7"/>
  <c r="S544" i="7"/>
  <c r="S536" i="7"/>
  <c r="S534" i="7"/>
  <c r="Q524" i="7"/>
  <c r="Q499" i="7"/>
  <c r="S461" i="7"/>
  <c r="R460" i="7"/>
  <c r="Q433" i="7"/>
  <c r="Q401" i="7"/>
  <c r="R396" i="7"/>
  <c r="R388" i="7"/>
  <c r="R385" i="7"/>
  <c r="Q384" i="7"/>
  <c r="Q376" i="7"/>
  <c r="T355" i="7"/>
  <c r="Q352" i="7"/>
  <c r="Q344" i="7"/>
  <c r="T339" i="7"/>
  <c r="Q336" i="7"/>
  <c r="Q328" i="7"/>
  <c r="T323" i="7"/>
  <c r="T265" i="7"/>
  <c r="Q263" i="7"/>
  <c r="T234" i="7"/>
  <c r="R227" i="7"/>
  <c r="T226" i="7"/>
  <c r="Q183" i="7"/>
  <c r="Q167" i="7"/>
  <c r="S163" i="7"/>
  <c r="Q151" i="7"/>
  <c r="Q143" i="7"/>
  <c r="R870" i="7"/>
  <c r="R822" i="7"/>
  <c r="S720" i="7"/>
  <c r="S712" i="7"/>
  <c r="S545" i="7"/>
  <c r="S470" i="7"/>
  <c r="R461" i="7"/>
  <c r="R32" i="7"/>
  <c r="Q31" i="7"/>
  <c r="T18" i="7"/>
  <c r="Q15" i="7"/>
  <c r="Q986" i="7"/>
  <c r="Q854" i="7"/>
  <c r="T698" i="7"/>
  <c r="Q607" i="7"/>
  <c r="Q558" i="7"/>
  <c r="R497" i="7"/>
  <c r="R407" i="7"/>
  <c r="R366" i="7"/>
  <c r="R306" i="7"/>
  <c r="R89" i="7"/>
  <c r="R851" i="7"/>
  <c r="R843" i="7"/>
  <c r="R458" i="7"/>
  <c r="R432" i="7"/>
  <c r="R424" i="7"/>
  <c r="Q898" i="7"/>
  <c r="T874" i="7"/>
  <c r="R483" i="7"/>
  <c r="R381" i="7"/>
  <c r="Q380" i="7"/>
  <c r="T375" i="7"/>
  <c r="Q372" i="7"/>
  <c r="Q364" i="7"/>
  <c r="T359" i="7"/>
  <c r="S358" i="7"/>
  <c r="S157" i="7"/>
  <c r="S149" i="7"/>
  <c r="S141" i="7"/>
  <c r="S133" i="7"/>
  <c r="Q933" i="7"/>
  <c r="T764" i="7"/>
  <c r="S732" i="7"/>
  <c r="S726" i="7"/>
  <c r="T725" i="7"/>
  <c r="S612" i="7"/>
  <c r="Q610" i="7"/>
  <c r="S539" i="7"/>
  <c r="T392" i="7"/>
  <c r="T384" i="7"/>
  <c r="Q244" i="7"/>
  <c r="Q228" i="7"/>
  <c r="S95" i="7"/>
  <c r="T321" i="7"/>
  <c r="U982" i="7"/>
  <c r="S978" i="7"/>
  <c r="R977" i="7"/>
  <c r="S970" i="7"/>
  <c r="R969" i="7"/>
  <c r="Q955" i="7"/>
  <c r="R904" i="7"/>
  <c r="Q903" i="7"/>
  <c r="R897" i="7"/>
  <c r="R894" i="7"/>
  <c r="T886" i="7"/>
  <c r="Q874" i="7"/>
  <c r="Q858" i="7"/>
  <c r="S828" i="7"/>
  <c r="Q826" i="7"/>
  <c r="T761" i="7"/>
  <c r="S760" i="7"/>
  <c r="S742" i="7"/>
  <c r="T739" i="7"/>
  <c r="T738" i="7"/>
  <c r="T702" i="7"/>
  <c r="Q685" i="7"/>
  <c r="T680" i="7"/>
  <c r="Q677" i="7"/>
  <c r="R624" i="7"/>
  <c r="Q620" i="7"/>
  <c r="R616" i="7"/>
  <c r="Q612" i="7"/>
  <c r="R580" i="7"/>
  <c r="T578" i="7"/>
  <c r="Q568" i="7"/>
  <c r="R533" i="7"/>
  <c r="Q529" i="7"/>
  <c r="R492" i="7"/>
  <c r="T472" i="7"/>
  <c r="S471" i="7"/>
  <c r="T464" i="7"/>
  <c r="S445" i="7"/>
  <c r="R444" i="7"/>
  <c r="Q435" i="7"/>
  <c r="R431" i="7"/>
  <c r="Q427" i="7"/>
  <c r="R423" i="7"/>
  <c r="Q418" i="7"/>
  <c r="R403" i="7"/>
  <c r="Q402" i="7"/>
  <c r="T365" i="7"/>
  <c r="U364" i="7"/>
  <c r="S327" i="7"/>
  <c r="S293" i="7"/>
  <c r="S279" i="7"/>
  <c r="Q267" i="7"/>
  <c r="Q249" i="7"/>
  <c r="T211" i="7"/>
  <c r="S180" i="7"/>
  <c r="T179" i="7"/>
  <c r="S178" i="7"/>
  <c r="R177" i="7"/>
  <c r="R164" i="7"/>
  <c r="T163" i="7"/>
  <c r="R153" i="7"/>
  <c r="T147" i="7"/>
  <c r="R145" i="7"/>
  <c r="Q144" i="7"/>
  <c r="R137" i="7"/>
  <c r="T121" i="7"/>
  <c r="S66" i="7"/>
  <c r="S58" i="7"/>
  <c r="S34" i="7"/>
  <c r="S32" i="7"/>
  <c r="S10" i="7"/>
  <c r="R998" i="7"/>
  <c r="R985" i="7"/>
  <c r="R983" i="7"/>
  <c r="R981" i="7"/>
  <c r="R973" i="7"/>
  <c r="R965" i="7"/>
  <c r="T770" i="7"/>
  <c r="T762" i="7"/>
  <c r="S750" i="7"/>
  <c r="S744" i="7"/>
  <c r="S702" i="7"/>
  <c r="T693" i="7"/>
  <c r="S692" i="7"/>
  <c r="Q689" i="7"/>
  <c r="Q688" i="7"/>
  <c r="Q687" i="7"/>
  <c r="S680" i="7"/>
  <c r="S658" i="7"/>
  <c r="S634" i="7"/>
  <c r="Q585" i="7"/>
  <c r="S579" i="7"/>
  <c r="S555" i="7"/>
  <c r="S547" i="7"/>
  <c r="T481" i="7"/>
  <c r="R479" i="7"/>
  <c r="T457" i="7"/>
  <c r="S455" i="7"/>
  <c r="S454" i="7"/>
  <c r="R445" i="7"/>
  <c r="T439" i="7"/>
  <c r="Q436" i="7"/>
  <c r="Q428" i="7"/>
  <c r="Q420" i="7"/>
  <c r="Q403" i="7"/>
  <c r="S365" i="7"/>
  <c r="S310" i="7"/>
  <c r="S302" i="7"/>
  <c r="S181" i="7"/>
  <c r="S99" i="7"/>
  <c r="S91" i="7"/>
  <c r="T950" i="7"/>
  <c r="Q922" i="7"/>
  <c r="T898" i="7"/>
  <c r="R896" i="7"/>
  <c r="Q852" i="7"/>
  <c r="Q820" i="7"/>
  <c r="T771" i="7"/>
  <c r="S730" i="7"/>
  <c r="T729" i="7"/>
  <c r="Q655" i="7"/>
  <c r="Q631" i="7"/>
  <c r="Q597" i="7"/>
  <c r="T440" i="7"/>
  <c r="Q437" i="7"/>
  <c r="Q429" i="7"/>
  <c r="T424" i="7"/>
  <c r="Q421" i="7"/>
  <c r="Q412" i="7"/>
  <c r="Q404" i="7"/>
  <c r="R380" i="7"/>
  <c r="T353" i="7"/>
  <c r="T337" i="7"/>
  <c r="T313" i="7"/>
  <c r="Q301" i="7"/>
  <c r="Q285" i="7"/>
  <c r="T271" i="7"/>
  <c r="Q227" i="7"/>
  <c r="T222" i="7"/>
  <c r="R204" i="7"/>
  <c r="T131" i="7"/>
  <c r="T99" i="7"/>
  <c r="R865" i="7"/>
  <c r="R849" i="7"/>
  <c r="R684" i="7"/>
  <c r="R603" i="7"/>
  <c r="R503" i="7"/>
  <c r="R495" i="7"/>
  <c r="R468" i="7"/>
  <c r="R264" i="7"/>
  <c r="R240" i="7"/>
  <c r="R208" i="7"/>
  <c r="S27" i="7"/>
  <c r="T994" i="7"/>
  <c r="T918" i="7"/>
  <c r="R875" i="7"/>
  <c r="S724" i="7"/>
  <c r="S716" i="7"/>
  <c r="R628" i="7"/>
  <c r="S626" i="7"/>
  <c r="R620" i="7"/>
  <c r="T618" i="7"/>
  <c r="S610" i="7"/>
  <c r="T574" i="7"/>
  <c r="S537" i="7"/>
  <c r="S527" i="7"/>
  <c r="Q492" i="7"/>
  <c r="R488" i="7"/>
  <c r="R451" i="7"/>
  <c r="R435" i="7"/>
  <c r="R399" i="7"/>
  <c r="R393" i="7"/>
  <c r="R382" i="7"/>
  <c r="Q381" i="7"/>
  <c r="T376" i="7"/>
  <c r="Q373" i="7"/>
  <c r="T363" i="7"/>
  <c r="R333" i="7"/>
  <c r="R325" i="7"/>
  <c r="R316" i="7"/>
  <c r="R313" i="7"/>
  <c r="S291" i="7"/>
  <c r="Q261" i="7"/>
  <c r="Q253" i="7"/>
  <c r="Q229" i="7"/>
  <c r="T183" i="7"/>
  <c r="Q180" i="7"/>
  <c r="S174" i="7"/>
  <c r="S158" i="7"/>
  <c r="R149" i="7"/>
  <c r="Q148" i="7"/>
  <c r="R141" i="7"/>
  <c r="S52" i="7"/>
  <c r="T12" i="7"/>
  <c r="Q973" i="7"/>
  <c r="R966" i="7"/>
  <c r="Q965" i="7"/>
  <c r="R910" i="7"/>
  <c r="Q908" i="7"/>
  <c r="Q900" i="7"/>
  <c r="S882" i="7"/>
  <c r="R881" i="7"/>
  <c r="Q871" i="7"/>
  <c r="R856" i="7"/>
  <c r="T850" i="7"/>
  <c r="R848" i="7"/>
  <c r="R840" i="7"/>
  <c r="R832" i="7"/>
  <c r="T826" i="7"/>
  <c r="S814" i="7"/>
  <c r="T806" i="7"/>
  <c r="S748" i="7"/>
  <c r="S746" i="7"/>
  <c r="T732" i="7"/>
  <c r="T716" i="7"/>
  <c r="S706" i="7"/>
  <c r="T699" i="7"/>
  <c r="Q682" i="7"/>
  <c r="Q674" i="7"/>
  <c r="Q634" i="7"/>
  <c r="S593" i="7"/>
  <c r="S586" i="7"/>
  <c r="S551" i="7"/>
  <c r="Q466" i="7"/>
  <c r="S460" i="7"/>
  <c r="R449" i="7"/>
  <c r="Q424" i="7"/>
  <c r="T418" i="7"/>
  <c r="T393" i="7"/>
  <c r="T349" i="7"/>
  <c r="S348" i="7"/>
  <c r="Q346" i="7"/>
  <c r="T333" i="7"/>
  <c r="S290" i="7"/>
  <c r="R247" i="7"/>
  <c r="T185" i="7"/>
  <c r="S167" i="7"/>
  <c r="R93" i="7"/>
  <c r="S153" i="7"/>
  <c r="S145" i="7"/>
  <c r="S137" i="7"/>
  <c r="S121" i="7"/>
  <c r="S57" i="7"/>
  <c r="S55" i="7"/>
  <c r="S23" i="7"/>
  <c r="S7" i="7"/>
  <c r="R989" i="7"/>
  <c r="R946" i="7"/>
  <c r="R922" i="7"/>
  <c r="R907" i="7"/>
  <c r="R899" i="7"/>
  <c r="R862" i="7"/>
  <c r="R854" i="7"/>
  <c r="R850" i="7"/>
  <c r="R842" i="7"/>
  <c r="R826" i="7"/>
  <c r="U732" i="7"/>
  <c r="T294" i="7"/>
  <c r="U294" i="7"/>
  <c r="T260" i="7"/>
  <c r="U260" i="7"/>
  <c r="T803" i="7"/>
  <c r="U764" i="7"/>
  <c r="S734" i="7"/>
  <c r="S722" i="7"/>
  <c r="R664" i="7"/>
  <c r="T662" i="7"/>
  <c r="R656" i="7"/>
  <c r="T626" i="7"/>
  <c r="R612" i="7"/>
  <c r="T582" i="7"/>
  <c r="R581" i="7"/>
  <c r="S988" i="7"/>
  <c r="R978" i="7"/>
  <c r="T990" i="7"/>
  <c r="R979" i="7"/>
  <c r="R968" i="7"/>
  <c r="R963" i="7"/>
  <c r="R938" i="7"/>
  <c r="R930" i="7"/>
  <c r="U926" i="7"/>
  <c r="Q917" i="7"/>
  <c r="Q916" i="7"/>
  <c r="Q915" i="7"/>
  <c r="Q914" i="7"/>
  <c r="Q905" i="7"/>
  <c r="R889" i="7"/>
  <c r="R887" i="7"/>
  <c r="S870" i="7"/>
  <c r="Q860" i="7"/>
  <c r="S834" i="7"/>
  <c r="R833" i="7"/>
  <c r="R825" i="7"/>
  <c r="R824" i="7"/>
  <c r="R811" i="7"/>
  <c r="Q802" i="7"/>
  <c r="T787" i="7"/>
  <c r="T780" i="7"/>
  <c r="T772" i="7"/>
  <c r="T763" i="7"/>
  <c r="S762" i="7"/>
  <c r="S736" i="7"/>
  <c r="T722" i="7"/>
  <c r="T705" i="7"/>
  <c r="S704" i="7"/>
  <c r="T694" i="7"/>
  <c r="Q679" i="7"/>
  <c r="S672" i="7"/>
  <c r="T644" i="7"/>
  <c r="Q642" i="7"/>
  <c r="Q632" i="7"/>
  <c r="S624" i="7"/>
  <c r="S618" i="7"/>
  <c r="T612" i="7"/>
  <c r="Q609" i="7"/>
  <c r="T604" i="7"/>
  <c r="T391" i="7"/>
  <c r="U391" i="7"/>
  <c r="T331" i="7"/>
  <c r="U331" i="7"/>
  <c r="U247" i="7"/>
  <c r="T247" i="7"/>
  <c r="R937" i="7"/>
  <c r="T930" i="7"/>
  <c r="T818" i="7"/>
  <c r="R817" i="7"/>
  <c r="R816" i="7"/>
  <c r="T799" i="7"/>
  <c r="Q796" i="7"/>
  <c r="T774" i="7"/>
  <c r="T766" i="7"/>
  <c r="T619" i="7"/>
  <c r="Q603" i="7"/>
  <c r="T248" i="7"/>
  <c r="U248" i="7"/>
  <c r="S980" i="7"/>
  <c r="R953" i="7"/>
  <c r="S926" i="7"/>
  <c r="S902" i="7"/>
  <c r="S774" i="7"/>
  <c r="S766" i="7"/>
  <c r="S698" i="7"/>
  <c r="T676" i="7"/>
  <c r="S666" i="7"/>
  <c r="R652" i="7"/>
  <c r="T650" i="7"/>
  <c r="S638" i="7"/>
  <c r="S628" i="7"/>
  <c r="R608" i="7"/>
  <c r="R588" i="7"/>
  <c r="S487" i="7"/>
  <c r="R452" i="7"/>
  <c r="R993" i="7"/>
  <c r="R994" i="7"/>
  <c r="R986" i="7"/>
  <c r="R982" i="7"/>
  <c r="R974" i="7"/>
  <c r="Q971" i="7"/>
  <c r="T966" i="7"/>
  <c r="Q963" i="7"/>
  <c r="R941" i="7"/>
  <c r="Q938" i="7"/>
  <c r="Q930" i="7"/>
  <c r="R928" i="7"/>
  <c r="R926" i="7"/>
  <c r="Q924" i="7"/>
  <c r="R919" i="7"/>
  <c r="R918" i="7"/>
  <c r="R917" i="7"/>
  <c r="R915" i="7"/>
  <c r="R914" i="7"/>
  <c r="S912" i="7"/>
  <c r="Q909" i="7"/>
  <c r="R902" i="7"/>
  <c r="S892" i="7"/>
  <c r="S874" i="7"/>
  <c r="R857" i="7"/>
  <c r="U850" i="7"/>
  <c r="S846" i="7"/>
  <c r="Q844" i="7"/>
  <c r="Q836" i="7"/>
  <c r="Q828" i="7"/>
  <c r="T784" i="7"/>
  <c r="T776" i="7"/>
  <c r="T757" i="7"/>
  <c r="T756" i="7"/>
  <c r="T745" i="7"/>
  <c r="T742" i="7"/>
  <c r="T741" i="7"/>
  <c r="S728" i="7"/>
  <c r="S708" i="7"/>
  <c r="U702" i="7"/>
  <c r="T686" i="7"/>
  <c r="T678" i="7"/>
  <c r="Q675" i="7"/>
  <c r="Q657" i="7"/>
  <c r="S642" i="7"/>
  <c r="Q627" i="7"/>
  <c r="R371" i="7"/>
  <c r="R359" i="7"/>
  <c r="S359" i="7"/>
  <c r="Q972" i="7"/>
  <c r="Q926" i="7"/>
  <c r="Q925" i="7"/>
  <c r="R892" i="7"/>
  <c r="Q890" i="7"/>
  <c r="Q877" i="7"/>
  <c r="Q876" i="7"/>
  <c r="Q875" i="7"/>
  <c r="Q873" i="7"/>
  <c r="R846" i="7"/>
  <c r="Q845" i="7"/>
  <c r="R838" i="7"/>
  <c r="Q837" i="7"/>
  <c r="T822" i="7"/>
  <c r="Q819" i="7"/>
  <c r="T810" i="7"/>
  <c r="S792" i="7"/>
  <c r="Q790" i="7"/>
  <c r="S784" i="7"/>
  <c r="T769" i="7"/>
  <c r="S768" i="7"/>
  <c r="T758" i="7"/>
  <c r="S756" i="7"/>
  <c r="S740" i="7"/>
  <c r="S718" i="7"/>
  <c r="S710" i="7"/>
  <c r="T701" i="7"/>
  <c r="S700" i="7"/>
  <c r="S690" i="7"/>
  <c r="Q684" i="7"/>
  <c r="Q639" i="7"/>
  <c r="T634" i="7"/>
  <c r="Q618" i="7"/>
  <c r="Q617" i="7"/>
  <c r="Q616" i="7"/>
  <c r="Q615" i="7"/>
  <c r="S608" i="7"/>
  <c r="Q595" i="7"/>
  <c r="S588" i="7"/>
  <c r="T541" i="7"/>
  <c r="U259" i="7"/>
  <c r="T259" i="7"/>
  <c r="S602" i="7"/>
  <c r="R594" i="7"/>
  <c r="S583" i="7"/>
  <c r="S582" i="7"/>
  <c r="S580" i="7"/>
  <c r="R574" i="7"/>
  <c r="T573" i="7"/>
  <c r="S563" i="7"/>
  <c r="Q561" i="7"/>
  <c r="R556" i="7"/>
  <c r="S531" i="7"/>
  <c r="S529" i="7"/>
  <c r="Q527" i="7"/>
  <c r="T521" i="7"/>
  <c r="S520" i="7"/>
  <c r="Q518" i="7"/>
  <c r="S511" i="7"/>
  <c r="S503" i="7"/>
  <c r="T494" i="7"/>
  <c r="T493" i="7"/>
  <c r="S477" i="7"/>
  <c r="R476" i="7"/>
  <c r="Q475" i="7"/>
  <c r="R463" i="7"/>
  <c r="S459" i="7"/>
  <c r="R450" i="7"/>
  <c r="T449" i="7"/>
  <c r="R447" i="7"/>
  <c r="Q446" i="7"/>
  <c r="R442" i="7"/>
  <c r="R434" i="7"/>
  <c r="T433" i="7"/>
  <c r="R426" i="7"/>
  <c r="T425" i="7"/>
  <c r="Q422" i="7"/>
  <c r="T416" i="7"/>
  <c r="Q413" i="7"/>
  <c r="S407" i="7"/>
  <c r="S367" i="7"/>
  <c r="S351" i="7"/>
  <c r="Q349" i="7"/>
  <c r="S343" i="7"/>
  <c r="R337" i="7"/>
  <c r="R327" i="7"/>
  <c r="R299" i="7"/>
  <c r="Q286" i="7"/>
  <c r="Q262" i="7"/>
  <c r="Q260" i="7"/>
  <c r="Q259" i="7"/>
  <c r="R234" i="7"/>
  <c r="R197" i="7"/>
  <c r="S190" i="7"/>
  <c r="R189" i="7"/>
  <c r="Q188" i="7"/>
  <c r="Q179" i="7"/>
  <c r="S173" i="7"/>
  <c r="Q171" i="7"/>
  <c r="R166" i="7"/>
  <c r="S112" i="7"/>
  <c r="R111" i="7"/>
  <c r="T105" i="7"/>
  <c r="S104" i="7"/>
  <c r="R98" i="7"/>
  <c r="R95" i="7"/>
  <c r="Q94" i="7"/>
  <c r="S80" i="7"/>
  <c r="R79" i="7"/>
  <c r="R74" i="7"/>
  <c r="T66" i="7"/>
  <c r="S64" i="7"/>
  <c r="S54" i="7"/>
  <c r="S45" i="7"/>
  <c r="S38" i="7"/>
  <c r="S26" i="7"/>
  <c r="S18" i="7"/>
  <c r="S12" i="7"/>
  <c r="Q562" i="7"/>
  <c r="T531" i="7"/>
  <c r="R498" i="7"/>
  <c r="R477" i="7"/>
  <c r="Q476" i="7"/>
  <c r="T471" i="7"/>
  <c r="R469" i="7"/>
  <c r="Q431" i="7"/>
  <c r="Q423" i="7"/>
  <c r="T386" i="7"/>
  <c r="Q383" i="7"/>
  <c r="Q375" i="7"/>
  <c r="T327" i="7"/>
  <c r="T290" i="7"/>
  <c r="Q279" i="7"/>
  <c r="Q278" i="7"/>
  <c r="Q277" i="7"/>
  <c r="Q276" i="7"/>
  <c r="Q275" i="7"/>
  <c r="R181" i="7"/>
  <c r="R173" i="7"/>
  <c r="R18" i="7"/>
  <c r="R499" i="7"/>
  <c r="R473" i="7"/>
  <c r="R436" i="7"/>
  <c r="R428" i="7"/>
  <c r="R420" i="7"/>
  <c r="R356" i="7"/>
  <c r="R309" i="7"/>
  <c r="R265" i="7"/>
  <c r="Q252" i="7"/>
  <c r="R244" i="7"/>
  <c r="R228" i="7"/>
  <c r="T218" i="7"/>
  <c r="Q216" i="7"/>
  <c r="R212" i="7"/>
  <c r="R186" i="7"/>
  <c r="R183" i="7"/>
  <c r="S575" i="7"/>
  <c r="S557" i="7"/>
  <c r="S523" i="7"/>
  <c r="R517" i="7"/>
  <c r="S515" i="7"/>
  <c r="S508" i="7"/>
  <c r="S495" i="7"/>
  <c r="R482" i="7"/>
  <c r="R474" i="7"/>
  <c r="R456" i="7"/>
  <c r="S451" i="7"/>
  <c r="R429" i="7"/>
  <c r="S410" i="7"/>
  <c r="U393" i="7"/>
  <c r="R330" i="7"/>
  <c r="R312" i="7"/>
  <c r="R293" i="7"/>
  <c r="S201" i="7"/>
  <c r="S193" i="7"/>
  <c r="S187" i="7"/>
  <c r="S142" i="7"/>
  <c r="S125" i="7"/>
  <c r="S115" i="7"/>
  <c r="S107" i="7"/>
  <c r="S93" i="7"/>
  <c r="S59" i="7"/>
  <c r="S48" i="7"/>
  <c r="S42" i="7"/>
  <c r="R589" i="7"/>
  <c r="S576" i="7"/>
  <c r="S567" i="7"/>
  <c r="R561" i="7"/>
  <c r="Q556" i="7"/>
  <c r="S549" i="7"/>
  <c r="S533" i="7"/>
  <c r="S525" i="7"/>
  <c r="S509" i="7"/>
  <c r="S507" i="7"/>
  <c r="R501" i="7"/>
  <c r="R486" i="7"/>
  <c r="R457" i="7"/>
  <c r="S452" i="7"/>
  <c r="S444" i="7"/>
  <c r="R438" i="7"/>
  <c r="R430" i="7"/>
  <c r="R422" i="7"/>
  <c r="S419" i="7"/>
  <c r="Q417" i="7"/>
  <c r="S403" i="7"/>
  <c r="R402" i="7"/>
  <c r="Q399" i="7"/>
  <c r="R394" i="7"/>
  <c r="R392" i="7"/>
  <c r="Q386" i="7"/>
  <c r="R358" i="7"/>
  <c r="T357" i="7"/>
  <c r="Q354" i="7"/>
  <c r="R349" i="7"/>
  <c r="R332" i="7"/>
  <c r="S329" i="7"/>
  <c r="S323" i="7"/>
  <c r="S313" i="7"/>
  <c r="T310" i="7"/>
  <c r="R303" i="7"/>
  <c r="T277" i="7"/>
  <c r="T275" i="7"/>
  <c r="S259" i="7"/>
  <c r="R238" i="7"/>
  <c r="Q226" i="7"/>
  <c r="R222" i="7"/>
  <c r="S203" i="7"/>
  <c r="Q200" i="7"/>
  <c r="Q192" i="7"/>
  <c r="S188" i="7"/>
  <c r="S177" i="7"/>
  <c r="S169" i="7"/>
  <c r="S117" i="7"/>
  <c r="R115" i="7"/>
  <c r="T109" i="7"/>
  <c r="R107" i="7"/>
  <c r="S100" i="7"/>
  <c r="S94" i="7"/>
  <c r="S76" i="7"/>
  <c r="S70" i="7"/>
  <c r="S60" i="7"/>
  <c r="T50" i="7"/>
  <c r="S49" i="7"/>
  <c r="Q47" i="7"/>
  <c r="Q39" i="7"/>
  <c r="T34" i="7"/>
  <c r="S33" i="7"/>
  <c r="S30" i="7"/>
  <c r="Q28" i="7"/>
  <c r="S22" i="7"/>
  <c r="Q20" i="7"/>
  <c r="S14" i="7"/>
  <c r="T486" i="7"/>
  <c r="T273" i="7"/>
  <c r="T206" i="7"/>
  <c r="T196" i="7"/>
  <c r="R104" i="7"/>
  <c r="R96" i="7"/>
  <c r="S571" i="7"/>
  <c r="S570" i="7"/>
  <c r="R564" i="7"/>
  <c r="S552" i="7"/>
  <c r="R546" i="7"/>
  <c r="R544" i="7"/>
  <c r="R543" i="7"/>
  <c r="R542" i="7"/>
  <c r="R540" i="7"/>
  <c r="R530" i="7"/>
  <c r="S528" i="7"/>
  <c r="S519" i="7"/>
  <c r="R478" i="7"/>
  <c r="S476" i="7"/>
  <c r="R470" i="7"/>
  <c r="S468" i="7"/>
  <c r="R462" i="7"/>
  <c r="R441" i="7"/>
  <c r="S414" i="7"/>
  <c r="S406" i="7"/>
  <c r="R377" i="7"/>
  <c r="S366" i="7"/>
  <c r="S350" i="7"/>
  <c r="S342" i="7"/>
  <c r="R317" i="7"/>
  <c r="R298" i="7"/>
  <c r="T287" i="7"/>
  <c r="R281" i="7"/>
  <c r="T279" i="7"/>
  <c r="T274" i="7"/>
  <c r="S233" i="7"/>
  <c r="T223" i="7"/>
  <c r="S209" i="7"/>
  <c r="S197" i="7"/>
  <c r="S189" i="7"/>
  <c r="S183" i="7"/>
  <c r="S165" i="7"/>
  <c r="S155" i="7"/>
  <c r="S146" i="7"/>
  <c r="S111" i="7"/>
  <c r="S103" i="7"/>
  <c r="S97" i="7"/>
  <c r="T95" i="7"/>
  <c r="S89" i="7"/>
  <c r="R63" i="7"/>
  <c r="S25" i="7"/>
  <c r="S17" i="7"/>
  <c r="Q999" i="7"/>
  <c r="R995" i="7"/>
  <c r="T986" i="7"/>
  <c r="Q1000" i="7"/>
  <c r="U990" i="7"/>
  <c r="S976" i="7"/>
  <c r="S958" i="7"/>
  <c r="R956" i="7"/>
  <c r="S944" i="7"/>
  <c r="R976" i="7"/>
  <c r="R944" i="7"/>
  <c r="T970" i="7"/>
  <c r="Q958" i="7"/>
  <c r="Q957" i="7"/>
  <c r="U950" i="7"/>
  <c r="S990" i="7"/>
  <c r="R988" i="7"/>
  <c r="R971" i="7"/>
  <c r="R970" i="7"/>
  <c r="T962" i="7"/>
  <c r="R954" i="7"/>
  <c r="R951" i="7"/>
  <c r="R949" i="7"/>
  <c r="U938" i="7"/>
  <c r="S998" i="7"/>
  <c r="Q996" i="7"/>
  <c r="Q994" i="7"/>
  <c r="R992" i="7"/>
  <c r="R990" i="7"/>
  <c r="Q988" i="7"/>
  <c r="Q981" i="7"/>
  <c r="Q980" i="7"/>
  <c r="Q979" i="7"/>
  <c r="Q978" i="7"/>
  <c r="Q967" i="7"/>
  <c r="R950" i="7"/>
  <c r="R942" i="7"/>
  <c r="R939" i="7"/>
  <c r="Q997" i="7"/>
  <c r="Q990" i="7"/>
  <c r="Q989" i="7"/>
  <c r="Q968" i="7"/>
  <c r="T922" i="7"/>
  <c r="T906" i="7"/>
  <c r="U906" i="7"/>
  <c r="Q987" i="7"/>
  <c r="Q970" i="7"/>
  <c r="T958" i="7"/>
  <c r="S956" i="7"/>
  <c r="Q954" i="7"/>
  <c r="S948" i="7"/>
  <c r="S946" i="7"/>
  <c r="R945" i="7"/>
  <c r="Q941" i="7"/>
  <c r="Q940" i="7"/>
  <c r="Q939" i="7"/>
  <c r="Q937" i="7"/>
  <c r="R933" i="7"/>
  <c r="R925" i="7"/>
  <c r="R912" i="7"/>
  <c r="S906" i="7"/>
  <c r="R905" i="7"/>
  <c r="Q904" i="7"/>
  <c r="T890" i="7"/>
  <c r="R874" i="7"/>
  <c r="T866" i="7"/>
  <c r="U862" i="7"/>
  <c r="T854" i="7"/>
  <c r="R845" i="7"/>
  <c r="S842" i="7"/>
  <c r="R841" i="7"/>
  <c r="S830" i="7"/>
  <c r="Q827" i="7"/>
  <c r="Q818" i="7"/>
  <c r="Q813" i="7"/>
  <c r="T804" i="7"/>
  <c r="T800" i="7"/>
  <c r="T798" i="7"/>
  <c r="Q794" i="7"/>
  <c r="Q791" i="7"/>
  <c r="U786" i="7"/>
  <c r="U784" i="7"/>
  <c r="U776" i="7"/>
  <c r="U774" i="7"/>
  <c r="U766" i="7"/>
  <c r="U758" i="7"/>
  <c r="U748" i="7"/>
  <c r="T737" i="7"/>
  <c r="T734" i="7"/>
  <c r="T733" i="7"/>
  <c r="T731" i="7"/>
  <c r="T730" i="7"/>
  <c r="T724" i="7"/>
  <c r="U694" i="7"/>
  <c r="R688" i="7"/>
  <c r="Q681" i="7"/>
  <c r="S678" i="7"/>
  <c r="Q676" i="7"/>
  <c r="Q672" i="7"/>
  <c r="Q671" i="7"/>
  <c r="S654" i="7"/>
  <c r="Q651" i="7"/>
  <c r="Q650" i="7"/>
  <c r="Q649" i="7"/>
  <c r="Q648" i="7"/>
  <c r="Q647" i="7"/>
  <c r="Q644" i="7"/>
  <c r="T620" i="7"/>
  <c r="Q611" i="7"/>
  <c r="U583" i="7"/>
  <c r="T583" i="7"/>
  <c r="Q579" i="7"/>
  <c r="S924" i="7"/>
  <c r="S916" i="7"/>
  <c r="S914" i="7"/>
  <c r="R913" i="7"/>
  <c r="R901" i="7"/>
  <c r="R893" i="7"/>
  <c r="R885" i="7"/>
  <c r="R883" i="7"/>
  <c r="R882" i="7"/>
  <c r="S880" i="7"/>
  <c r="R872" i="7"/>
  <c r="R867" i="7"/>
  <c r="R866" i="7"/>
  <c r="R863" i="7"/>
  <c r="S844" i="7"/>
  <c r="R830" i="7"/>
  <c r="U808" i="7"/>
  <c r="U806" i="7"/>
  <c r="U783" i="7"/>
  <c r="T781" i="7"/>
  <c r="U780" i="7"/>
  <c r="T773" i="7"/>
  <c r="U772" i="7"/>
  <c r="U765" i="7"/>
  <c r="U757" i="7"/>
  <c r="U693" i="7"/>
  <c r="T692" i="7"/>
  <c r="S684" i="7"/>
  <c r="T666" i="7"/>
  <c r="S616" i="7"/>
  <c r="S614" i="7"/>
  <c r="S599" i="7"/>
  <c r="Q964" i="7"/>
  <c r="Q962" i="7"/>
  <c r="R960" i="7"/>
  <c r="R958" i="7"/>
  <c r="Q956" i="7"/>
  <c r="Q949" i="7"/>
  <c r="Q948" i="7"/>
  <c r="Q947" i="7"/>
  <c r="Q946" i="7"/>
  <c r="T934" i="7"/>
  <c r="Q931" i="7"/>
  <c r="R924" i="7"/>
  <c r="Q923" i="7"/>
  <c r="Q906" i="7"/>
  <c r="T894" i="7"/>
  <c r="R880" i="7"/>
  <c r="R873" i="7"/>
  <c r="Q872" i="7"/>
  <c r="T846" i="7"/>
  <c r="Q843" i="7"/>
  <c r="Q842" i="7"/>
  <c r="U838" i="7"/>
  <c r="R834" i="7"/>
  <c r="Q829" i="7"/>
  <c r="R806" i="7"/>
  <c r="Q798" i="7"/>
  <c r="T788" i="7"/>
  <c r="T778" i="7"/>
  <c r="U771" i="7"/>
  <c r="U763" i="7"/>
  <c r="T753" i="7"/>
  <c r="T750" i="7"/>
  <c r="T749" i="7"/>
  <c r="T747" i="7"/>
  <c r="T746" i="7"/>
  <c r="T740" i="7"/>
  <c r="U701" i="7"/>
  <c r="R692" i="7"/>
  <c r="Q683" i="7"/>
  <c r="T674" i="7"/>
  <c r="Q659" i="7"/>
  <c r="T636" i="7"/>
  <c r="T628" i="7"/>
  <c r="Q619" i="7"/>
  <c r="T599" i="7"/>
  <c r="T597" i="7"/>
  <c r="Q581" i="7"/>
  <c r="R869" i="7"/>
  <c r="R861" i="7"/>
  <c r="R859" i="7"/>
  <c r="R858" i="7"/>
  <c r="R837" i="7"/>
  <c r="R835" i="7"/>
  <c r="U826" i="7"/>
  <c r="R821" i="7"/>
  <c r="R819" i="7"/>
  <c r="R812" i="7"/>
  <c r="R790" i="7"/>
  <c r="U680" i="7"/>
  <c r="T672" i="7"/>
  <c r="U670" i="7"/>
  <c r="R668" i="7"/>
  <c r="S650" i="7"/>
  <c r="U646" i="7"/>
  <c r="R640" i="7"/>
  <c r="T638" i="7"/>
  <c r="R636" i="7"/>
  <c r="R632" i="7"/>
  <c r="T610" i="7"/>
  <c r="R604" i="7"/>
  <c r="R590" i="7"/>
  <c r="R827" i="7"/>
  <c r="R818" i="7"/>
  <c r="T809" i="7"/>
  <c r="R794" i="7"/>
  <c r="T782" i="7"/>
  <c r="U726" i="7"/>
  <c r="U716" i="7"/>
  <c r="U678" i="7"/>
  <c r="R676" i="7"/>
  <c r="R672" i="7"/>
  <c r="U654" i="7"/>
  <c r="T652" i="7"/>
  <c r="R648" i="7"/>
  <c r="R644" i="7"/>
  <c r="S601" i="7"/>
  <c r="U560" i="7"/>
  <c r="T560" i="7"/>
  <c r="T954" i="7"/>
  <c r="S936" i="7"/>
  <c r="Q901" i="7"/>
  <c r="Q894" i="7"/>
  <c r="Q893" i="7"/>
  <c r="Q885" i="7"/>
  <c r="Q884" i="7"/>
  <c r="Q883" i="7"/>
  <c r="Q882" i="7"/>
  <c r="T870" i="7"/>
  <c r="Q867" i="7"/>
  <c r="S860" i="7"/>
  <c r="S858" i="7"/>
  <c r="T842" i="7"/>
  <c r="S836" i="7"/>
  <c r="S820" i="7"/>
  <c r="S812" i="7"/>
  <c r="S808" i="7"/>
  <c r="Q805" i="7"/>
  <c r="Q803" i="7"/>
  <c r="S796" i="7"/>
  <c r="T794" i="7"/>
  <c r="S790" i="7"/>
  <c r="Q787" i="7"/>
  <c r="Q777" i="7"/>
  <c r="U725" i="7"/>
  <c r="T713" i="7"/>
  <c r="T710" i="7"/>
  <c r="T709" i="7"/>
  <c r="T707" i="7"/>
  <c r="T706" i="7"/>
  <c r="T700" i="7"/>
  <c r="Q691" i="7"/>
  <c r="S674" i="7"/>
  <c r="S668" i="7"/>
  <c r="Q665" i="7"/>
  <c r="T642" i="7"/>
  <c r="S632" i="7"/>
  <c r="Q628" i="7"/>
  <c r="Q626" i="7"/>
  <c r="Q625" i="7"/>
  <c r="Q624" i="7"/>
  <c r="Q623" i="7"/>
  <c r="T611" i="7"/>
  <c r="S604" i="7"/>
  <c r="Q868" i="7"/>
  <c r="Q834" i="7"/>
  <c r="Q809" i="7"/>
  <c r="T796" i="7"/>
  <c r="T792" i="7"/>
  <c r="Q789" i="7"/>
  <c r="Q786" i="7"/>
  <c r="Q782" i="7"/>
  <c r="Q780" i="7"/>
  <c r="T721" i="7"/>
  <c r="T718" i="7"/>
  <c r="T717" i="7"/>
  <c r="T715" i="7"/>
  <c r="T714" i="7"/>
  <c r="T708" i="7"/>
  <c r="Q692" i="7"/>
  <c r="Q667" i="7"/>
  <c r="Q666" i="7"/>
  <c r="T657" i="7"/>
  <c r="Q635" i="7"/>
  <c r="Q589" i="7"/>
  <c r="U562" i="7"/>
  <c r="T562" i="7"/>
  <c r="R598" i="7"/>
  <c r="R597" i="7"/>
  <c r="T595" i="7"/>
  <c r="S594" i="7"/>
  <c r="Q592" i="7"/>
  <c r="Q571" i="7"/>
  <c r="T555" i="7"/>
  <c r="S553" i="7"/>
  <c r="S541" i="7"/>
  <c r="S535" i="7"/>
  <c r="Q533" i="7"/>
  <c r="S521" i="7"/>
  <c r="Q519" i="7"/>
  <c r="S513" i="7"/>
  <c r="Q506" i="7"/>
  <c r="R500" i="7"/>
  <c r="T495" i="7"/>
  <c r="R481" i="7"/>
  <c r="S473" i="7"/>
  <c r="R471" i="7"/>
  <c r="R466" i="7"/>
  <c r="Q462" i="7"/>
  <c r="Q456" i="7"/>
  <c r="S442" i="7"/>
  <c r="Q438" i="7"/>
  <c r="Q419" i="7"/>
  <c r="R413" i="7"/>
  <c r="S411" i="7"/>
  <c r="Q409" i="7"/>
  <c r="T397" i="7"/>
  <c r="Q394" i="7"/>
  <c r="R390" i="7"/>
  <c r="R389" i="7"/>
  <c r="Q388" i="7"/>
  <c r="S379" i="7"/>
  <c r="Q377" i="7"/>
  <c r="T372" i="7"/>
  <c r="T371" i="7"/>
  <c r="S369" i="7"/>
  <c r="Q366" i="7"/>
  <c r="Q360" i="7"/>
  <c r="Q358" i="7"/>
  <c r="R346" i="7"/>
  <c r="T345" i="7"/>
  <c r="T341" i="7"/>
  <c r="Q338" i="7"/>
  <c r="T325" i="7"/>
  <c r="T322" i="7"/>
  <c r="T317" i="7"/>
  <c r="S316" i="7"/>
  <c r="U241" i="7"/>
  <c r="T241" i="7"/>
  <c r="T157" i="7"/>
  <c r="U157" i="7"/>
  <c r="U123" i="7"/>
  <c r="T123" i="7"/>
  <c r="R577" i="7"/>
  <c r="T575" i="7"/>
  <c r="R565" i="7"/>
  <c r="S559" i="7"/>
  <c r="T547" i="7"/>
  <c r="S546" i="7"/>
  <c r="Q534" i="7"/>
  <c r="T515" i="7"/>
  <c r="S514" i="7"/>
  <c r="R508" i="7"/>
  <c r="Q507" i="7"/>
  <c r="S494" i="7"/>
  <c r="Q489" i="7"/>
  <c r="Q483" i="7"/>
  <c r="S475" i="7"/>
  <c r="Q472" i="7"/>
  <c r="R467" i="7"/>
  <c r="T466" i="7"/>
  <c r="Q463" i="7"/>
  <c r="Q461" i="7"/>
  <c r="Q460" i="7"/>
  <c r="Q459" i="7"/>
  <c r="Q455" i="7"/>
  <c r="Q454" i="7"/>
  <c r="Q453" i="7"/>
  <c r="Q452" i="7"/>
  <c r="T446" i="7"/>
  <c r="T445" i="7"/>
  <c r="S443" i="7"/>
  <c r="Q439" i="7"/>
  <c r="T435" i="7"/>
  <c r="U433" i="7"/>
  <c r="T429" i="7"/>
  <c r="U425" i="7"/>
  <c r="R406" i="7"/>
  <c r="T404" i="7"/>
  <c r="R391" i="7"/>
  <c r="Q390" i="7"/>
  <c r="Q389" i="7"/>
  <c r="S380" i="7"/>
  <c r="R379" i="7"/>
  <c r="R374" i="7"/>
  <c r="S372" i="7"/>
  <c r="S371" i="7"/>
  <c r="R369" i="7"/>
  <c r="Q368" i="7"/>
  <c r="Q367" i="7"/>
  <c r="Q361" i="7"/>
  <c r="Q359" i="7"/>
  <c r="U355" i="7"/>
  <c r="R348" i="7"/>
  <c r="T344" i="7"/>
  <c r="Q339" i="7"/>
  <c r="Q332" i="7"/>
  <c r="Q330" i="7"/>
  <c r="R323" i="7"/>
  <c r="R322" i="7"/>
  <c r="R320" i="7"/>
  <c r="R319" i="7"/>
  <c r="S317" i="7"/>
  <c r="Q315" i="7"/>
  <c r="U242" i="7"/>
  <c r="T242" i="7"/>
  <c r="S566" i="7"/>
  <c r="S560" i="7"/>
  <c r="T559" i="7"/>
  <c r="Q513" i="7"/>
  <c r="Q510" i="7"/>
  <c r="Q508" i="7"/>
  <c r="Q497" i="7"/>
  <c r="T477" i="7"/>
  <c r="R475" i="7"/>
  <c r="Q474" i="7"/>
  <c r="T467" i="7"/>
  <c r="R443" i="7"/>
  <c r="Q441" i="7"/>
  <c r="Q411" i="7"/>
  <c r="Q393" i="7"/>
  <c r="Q391" i="7"/>
  <c r="Q379" i="7"/>
  <c r="Q370" i="7"/>
  <c r="Q365" i="7"/>
  <c r="Q362" i="7"/>
  <c r="T354" i="7"/>
  <c r="T347" i="7"/>
  <c r="Q340" i="7"/>
  <c r="T335" i="7"/>
  <c r="T334" i="7"/>
  <c r="U333" i="7"/>
  <c r="Q331" i="7"/>
  <c r="S308" i="7"/>
  <c r="R308" i="7"/>
  <c r="U307" i="7"/>
  <c r="T307" i="7"/>
  <c r="U297" i="7"/>
  <c r="T297" i="7"/>
  <c r="R279" i="7"/>
  <c r="U235" i="7"/>
  <c r="T235" i="7"/>
  <c r="R518" i="7"/>
  <c r="T487" i="7"/>
  <c r="U481" i="7"/>
  <c r="T461" i="7"/>
  <c r="U457" i="7"/>
  <c r="R425" i="7"/>
  <c r="T419" i="7"/>
  <c r="R354" i="7"/>
  <c r="R352" i="7"/>
  <c r="R336" i="7"/>
  <c r="R334" i="7"/>
  <c r="U313" i="7"/>
  <c r="U290" i="7"/>
  <c r="R276" i="7"/>
  <c r="S249" i="7"/>
  <c r="R249" i="7"/>
  <c r="S159" i="7"/>
  <c r="T159" i="7"/>
  <c r="S485" i="7"/>
  <c r="U471" i="7"/>
  <c r="U439" i="7"/>
  <c r="T367" i="7"/>
  <c r="T332" i="7"/>
  <c r="T280" i="7"/>
  <c r="U280" i="7"/>
  <c r="U237" i="7"/>
  <c r="T237" i="7"/>
  <c r="U127" i="7"/>
  <c r="T127" i="7"/>
  <c r="S606" i="7"/>
  <c r="Q604" i="7"/>
  <c r="Q601" i="7"/>
  <c r="T591" i="7"/>
  <c r="S590" i="7"/>
  <c r="S585" i="7"/>
  <c r="Q578" i="7"/>
  <c r="Q577" i="7"/>
  <c r="Q576" i="7"/>
  <c r="R572" i="7"/>
  <c r="Q565" i="7"/>
  <c r="T551" i="7"/>
  <c r="S550" i="7"/>
  <c r="R534" i="7"/>
  <c r="Q526" i="7"/>
  <c r="T519" i="7"/>
  <c r="S518" i="7"/>
  <c r="R512" i="7"/>
  <c r="T510" i="7"/>
  <c r="T509" i="7"/>
  <c r="S505" i="7"/>
  <c r="T490" i="7"/>
  <c r="S481" i="7"/>
  <c r="Q477" i="7"/>
  <c r="Q467" i="7"/>
  <c r="T456" i="7"/>
  <c r="S449" i="7"/>
  <c r="T441" i="7"/>
  <c r="S435" i="7"/>
  <c r="S433" i="7"/>
  <c r="S429" i="7"/>
  <c r="S428" i="7"/>
  <c r="S427" i="7"/>
  <c r="S423" i="7"/>
  <c r="S422" i="7"/>
  <c r="S420" i="7"/>
  <c r="Q414" i="7"/>
  <c r="R383" i="7"/>
  <c r="Q382" i="7"/>
  <c r="T377" i="7"/>
  <c r="Q374" i="7"/>
  <c r="T369" i="7"/>
  <c r="R365" i="7"/>
  <c r="R351" i="7"/>
  <c r="Q350" i="7"/>
  <c r="Q348" i="7"/>
  <c r="R345" i="7"/>
  <c r="Q343" i="7"/>
  <c r="S333" i="7"/>
  <c r="Q326" i="7"/>
  <c r="Q322" i="7"/>
  <c r="Q320" i="7"/>
  <c r="U289" i="7"/>
  <c r="T289" i="7"/>
  <c r="U281" i="7"/>
  <c r="T281" i="7"/>
  <c r="S263" i="7"/>
  <c r="R263" i="7"/>
  <c r="U250" i="7"/>
  <c r="T250" i="7"/>
  <c r="T238" i="7"/>
  <c r="U238" i="7"/>
  <c r="T315" i="7"/>
  <c r="U315" i="7"/>
  <c r="U239" i="7"/>
  <c r="T239" i="7"/>
  <c r="U155" i="7"/>
  <c r="T155" i="7"/>
  <c r="R506" i="7"/>
  <c r="R412" i="7"/>
  <c r="R398" i="7"/>
  <c r="R397" i="7"/>
  <c r="R329" i="7"/>
  <c r="U323" i="7"/>
  <c r="U316" i="7"/>
  <c r="T316" i="7"/>
  <c r="T264" i="7"/>
  <c r="U264" i="7"/>
  <c r="R326" i="7"/>
  <c r="R324" i="7"/>
  <c r="R314" i="7"/>
  <c r="R311" i="7"/>
  <c r="Q302" i="7"/>
  <c r="S295" i="7"/>
  <c r="S292" i="7"/>
  <c r="R287" i="7"/>
  <c r="Q283" i="7"/>
  <c r="S273" i="7"/>
  <c r="Q268" i="7"/>
  <c r="Q265" i="7"/>
  <c r="T257" i="7"/>
  <c r="Q254" i="7"/>
  <c r="T249" i="7"/>
  <c r="Q247" i="7"/>
  <c r="Q246" i="7"/>
  <c r="U234" i="7"/>
  <c r="Q224" i="7"/>
  <c r="R221" i="7"/>
  <c r="Q217" i="7"/>
  <c r="R203" i="7"/>
  <c r="S195" i="7"/>
  <c r="R194" i="7"/>
  <c r="S186" i="7"/>
  <c r="T181" i="7"/>
  <c r="S179" i="7"/>
  <c r="Q177" i="7"/>
  <c r="S171" i="7"/>
  <c r="U163" i="7"/>
  <c r="S161" i="7"/>
  <c r="R158" i="7"/>
  <c r="S151" i="7"/>
  <c r="S143" i="7"/>
  <c r="Q141" i="7"/>
  <c r="S135" i="7"/>
  <c r="S113" i="7"/>
  <c r="Q111" i="7"/>
  <c r="S105" i="7"/>
  <c r="Q100" i="7"/>
  <c r="S82" i="7"/>
  <c r="S74" i="7"/>
  <c r="R68" i="7"/>
  <c r="S56" i="7"/>
  <c r="S46" i="7"/>
  <c r="Q44" i="7"/>
  <c r="R40" i="7"/>
  <c r="T38" i="7"/>
  <c r="S28" i="7"/>
  <c r="Q26" i="7"/>
  <c r="S20" i="7"/>
  <c r="Q9" i="7"/>
  <c r="Q7" i="7"/>
  <c r="S289" i="7"/>
  <c r="Q284" i="7"/>
  <c r="Q281" i="7"/>
  <c r="Q269" i="7"/>
  <c r="S237" i="7"/>
  <c r="T233" i="7"/>
  <c r="Q225" i="7"/>
  <c r="Q221" i="7"/>
  <c r="Q220" i="7"/>
  <c r="Q219" i="7"/>
  <c r="R195" i="7"/>
  <c r="Q194" i="7"/>
  <c r="R179" i="7"/>
  <c r="T173" i="7"/>
  <c r="R171" i="7"/>
  <c r="Q170" i="7"/>
  <c r="S152" i="7"/>
  <c r="R151" i="7"/>
  <c r="S144" i="7"/>
  <c r="R143" i="7"/>
  <c r="T137" i="7"/>
  <c r="S136" i="7"/>
  <c r="Q134" i="7"/>
  <c r="S127" i="7"/>
  <c r="S114" i="7"/>
  <c r="R113" i="7"/>
  <c r="Q103" i="7"/>
  <c r="R87" i="7"/>
  <c r="R84" i="7"/>
  <c r="R82" i="7"/>
  <c r="Q73" i="7"/>
  <c r="U50" i="7"/>
  <c r="Q45" i="7"/>
  <c r="T32" i="7"/>
  <c r="S13" i="7"/>
  <c r="R248" i="7"/>
  <c r="U222" i="7"/>
  <c r="T213" i="7"/>
  <c r="R205" i="7"/>
  <c r="R168" i="7"/>
  <c r="R132" i="7"/>
  <c r="U99" i="7"/>
  <c r="U60" i="7"/>
  <c r="R43" i="7"/>
  <c r="T8" i="7"/>
  <c r="Q324" i="7"/>
  <c r="T319" i="7"/>
  <c r="Q311" i="7"/>
  <c r="R307" i="7"/>
  <c r="Q306" i="7"/>
  <c r="S299" i="7"/>
  <c r="R282" i="7"/>
  <c r="Q274" i="7"/>
  <c r="Q273" i="7"/>
  <c r="Q272" i="7"/>
  <c r="S265" i="7"/>
  <c r="T263" i="7"/>
  <c r="T232" i="7"/>
  <c r="R231" i="7"/>
  <c r="R224" i="7"/>
  <c r="T221" i="7"/>
  <c r="T219" i="7"/>
  <c r="R217" i="7"/>
  <c r="Q211" i="7"/>
  <c r="R207" i="7"/>
  <c r="S204" i="7"/>
  <c r="R202" i="7"/>
  <c r="R201" i="7"/>
  <c r="S191" i="7"/>
  <c r="R190" i="7"/>
  <c r="Q189" i="7"/>
  <c r="S175" i="7"/>
  <c r="R157" i="7"/>
  <c r="R155" i="7"/>
  <c r="S147" i="7"/>
  <c r="Q145" i="7"/>
  <c r="S139" i="7"/>
  <c r="S131" i="7"/>
  <c r="S119" i="7"/>
  <c r="R117" i="7"/>
  <c r="S109" i="7"/>
  <c r="Q107" i="7"/>
  <c r="R102" i="7"/>
  <c r="R100" i="7"/>
  <c r="T85" i="7"/>
  <c r="T84" i="7"/>
  <c r="R80" i="7"/>
  <c r="S78" i="7"/>
  <c r="R72" i="7"/>
  <c r="Q68" i="7"/>
  <c r="S50" i="7"/>
  <c r="Q48" i="7"/>
  <c r="S44" i="7"/>
  <c r="Q40" i="7"/>
  <c r="S24" i="7"/>
  <c r="Q22" i="7"/>
  <c r="S16" i="7"/>
  <c r="S8" i="7"/>
  <c r="R7" i="7"/>
  <c r="Q307" i="7"/>
  <c r="T302" i="7"/>
  <c r="S301" i="7"/>
  <c r="Q290" i="7"/>
  <c r="Q289" i="7"/>
  <c r="Q288" i="7"/>
  <c r="S281" i="7"/>
  <c r="T261" i="7"/>
  <c r="Q251" i="7"/>
  <c r="Q242" i="7"/>
  <c r="Q241" i="7"/>
  <c r="Q240" i="7"/>
  <c r="Q239" i="7"/>
  <c r="Q238" i="7"/>
  <c r="R233" i="7"/>
  <c r="Q231" i="7"/>
  <c r="U226" i="7"/>
  <c r="S225" i="7"/>
  <c r="S221" i="7"/>
  <c r="Q213" i="7"/>
  <c r="Q212" i="7"/>
  <c r="T201" i="7"/>
  <c r="Q198" i="7"/>
  <c r="T193" i="7"/>
  <c r="Q190" i="7"/>
  <c r="U185" i="7"/>
  <c r="R175" i="7"/>
  <c r="Q174" i="7"/>
  <c r="T169" i="7"/>
  <c r="S168" i="7"/>
  <c r="Q155" i="7"/>
  <c r="R147" i="7"/>
  <c r="R139" i="7"/>
  <c r="S132" i="7"/>
  <c r="Q128" i="7"/>
  <c r="R121" i="7"/>
  <c r="R119" i="7"/>
  <c r="Q118" i="7"/>
  <c r="S110" i="7"/>
  <c r="R109" i="7"/>
  <c r="S98" i="7"/>
  <c r="S96" i="7"/>
  <c r="U82" i="7"/>
  <c r="S79" i="7"/>
  <c r="R78" i="7"/>
  <c r="Q77" i="7"/>
  <c r="T56" i="7"/>
  <c r="T36" i="7"/>
  <c r="U28" i="7"/>
  <c r="R24" i="7"/>
  <c r="Q234" i="7"/>
  <c r="Q233" i="7"/>
  <c r="Q232" i="7"/>
  <c r="Q215" i="7"/>
  <c r="Q214" i="7"/>
  <c r="Q175" i="7"/>
  <c r="Q139" i="7"/>
  <c r="Q109" i="7"/>
  <c r="Q78" i="7"/>
  <c r="Q51" i="7"/>
  <c r="Q42" i="7"/>
  <c r="Q24" i="7"/>
  <c r="R271" i="7"/>
  <c r="T255" i="7"/>
  <c r="R64" i="7"/>
  <c r="R39" i="7"/>
  <c r="R33" i="7"/>
  <c r="R13" i="7"/>
  <c r="Q993" i="7"/>
  <c r="Q992" i="7"/>
  <c r="Q991" i="7"/>
  <c r="Q982" i="7"/>
  <c r="R980" i="7"/>
  <c r="R975" i="7"/>
  <c r="T974" i="7"/>
  <c r="Q961" i="7"/>
  <c r="Q960" i="7"/>
  <c r="Q959" i="7"/>
  <c r="Q950" i="7"/>
  <c r="R948" i="7"/>
  <c r="R943" i="7"/>
  <c r="T942" i="7"/>
  <c r="Q929" i="7"/>
  <c r="Q928" i="7"/>
  <c r="Q927" i="7"/>
  <c r="Q918" i="7"/>
  <c r="R916" i="7"/>
  <c r="R911" i="7"/>
  <c r="T910" i="7"/>
  <c r="Q897" i="7"/>
  <c r="Q896" i="7"/>
  <c r="Q895" i="7"/>
  <c r="Q886" i="7"/>
  <c r="R884" i="7"/>
  <c r="R879" i="7"/>
  <c r="T878" i="7"/>
  <c r="S872" i="7"/>
  <c r="Q850" i="7"/>
  <c r="Q849" i="7"/>
  <c r="Q848" i="7"/>
  <c r="Q847" i="7"/>
  <c r="T797" i="7"/>
  <c r="U797" i="7"/>
  <c r="T727" i="7"/>
  <c r="U727" i="7"/>
  <c r="T720" i="7"/>
  <c r="U720" i="7"/>
  <c r="T728" i="7"/>
  <c r="U728" i="7"/>
  <c r="T736" i="7"/>
  <c r="U736" i="7"/>
  <c r="S996" i="7"/>
  <c r="S986" i="7"/>
  <c r="S964" i="7"/>
  <c r="S954" i="7"/>
  <c r="S932" i="7"/>
  <c r="S922" i="7"/>
  <c r="S900" i="7"/>
  <c r="S890" i="7"/>
  <c r="S868" i="7"/>
  <c r="S854" i="7"/>
  <c r="T751" i="7"/>
  <c r="U751" i="7"/>
  <c r="T744" i="7"/>
  <c r="U744" i="7"/>
  <c r="Q998" i="7"/>
  <c r="R996" i="7"/>
  <c r="R991" i="7"/>
  <c r="S984" i="7"/>
  <c r="Q977" i="7"/>
  <c r="Q976" i="7"/>
  <c r="Q975" i="7"/>
  <c r="S974" i="7"/>
  <c r="Q966" i="7"/>
  <c r="R964" i="7"/>
  <c r="R959" i="7"/>
  <c r="S952" i="7"/>
  <c r="Q945" i="7"/>
  <c r="Q944" i="7"/>
  <c r="Q943" i="7"/>
  <c r="S942" i="7"/>
  <c r="Q934" i="7"/>
  <c r="R932" i="7"/>
  <c r="R927" i="7"/>
  <c r="S920" i="7"/>
  <c r="Q913" i="7"/>
  <c r="Q912" i="7"/>
  <c r="Q911" i="7"/>
  <c r="S910" i="7"/>
  <c r="Q902" i="7"/>
  <c r="R900" i="7"/>
  <c r="R895" i="7"/>
  <c r="S888" i="7"/>
  <c r="Q881" i="7"/>
  <c r="Q880" i="7"/>
  <c r="Q879" i="7"/>
  <c r="S878" i="7"/>
  <c r="Q870" i="7"/>
  <c r="R868" i="7"/>
  <c r="S866" i="7"/>
  <c r="S864" i="7"/>
  <c r="Q857" i="7"/>
  <c r="Q856" i="7"/>
  <c r="Q855" i="7"/>
  <c r="S852" i="7"/>
  <c r="R847" i="7"/>
  <c r="T767" i="7"/>
  <c r="U767" i="7"/>
  <c r="T759" i="7"/>
  <c r="U759" i="7"/>
  <c r="T752" i="7"/>
  <c r="U752" i="7"/>
  <c r="T695" i="7"/>
  <c r="U695" i="7"/>
  <c r="S688" i="7"/>
  <c r="T688" i="7"/>
  <c r="T735" i="7"/>
  <c r="U735" i="7"/>
  <c r="T743" i="7"/>
  <c r="U743" i="7"/>
  <c r="S994" i="7"/>
  <c r="R984" i="7"/>
  <c r="T978" i="7"/>
  <c r="S972" i="7"/>
  <c r="U966" i="7"/>
  <c r="S962" i="7"/>
  <c r="R952" i="7"/>
  <c r="T946" i="7"/>
  <c r="S940" i="7"/>
  <c r="U934" i="7"/>
  <c r="S930" i="7"/>
  <c r="R920" i="7"/>
  <c r="T914" i="7"/>
  <c r="S908" i="7"/>
  <c r="U902" i="7"/>
  <c r="S898" i="7"/>
  <c r="R888" i="7"/>
  <c r="T882" i="7"/>
  <c r="S876" i="7"/>
  <c r="U870" i="7"/>
  <c r="R864" i="7"/>
  <c r="T858" i="7"/>
  <c r="R852" i="7"/>
  <c r="T768" i="7"/>
  <c r="U768" i="7"/>
  <c r="T760" i="7"/>
  <c r="U760" i="7"/>
  <c r="T703" i="7"/>
  <c r="U703" i="7"/>
  <c r="T696" i="7"/>
  <c r="U696" i="7"/>
  <c r="S682" i="7"/>
  <c r="T682" i="7"/>
  <c r="U998" i="7"/>
  <c r="R999" i="7"/>
  <c r="S992" i="7"/>
  <c r="U986" i="7"/>
  <c r="Q985" i="7"/>
  <c r="Q984" i="7"/>
  <c r="Q983" i="7"/>
  <c r="S982" i="7"/>
  <c r="Q974" i="7"/>
  <c r="R972" i="7"/>
  <c r="R967" i="7"/>
  <c r="S960" i="7"/>
  <c r="U954" i="7"/>
  <c r="Q953" i="7"/>
  <c r="Q952" i="7"/>
  <c r="Q951" i="7"/>
  <c r="S950" i="7"/>
  <c r="Q942" i="7"/>
  <c r="R940" i="7"/>
  <c r="R935" i="7"/>
  <c r="S928" i="7"/>
  <c r="U922" i="7"/>
  <c r="Q921" i="7"/>
  <c r="Q920" i="7"/>
  <c r="Q919" i="7"/>
  <c r="S918" i="7"/>
  <c r="Q910" i="7"/>
  <c r="R908" i="7"/>
  <c r="R903" i="7"/>
  <c r="S896" i="7"/>
  <c r="U890" i="7"/>
  <c r="Q889" i="7"/>
  <c r="Q888" i="7"/>
  <c r="Q887" i="7"/>
  <c r="S886" i="7"/>
  <c r="Q878" i="7"/>
  <c r="R876" i="7"/>
  <c r="R871" i="7"/>
  <c r="Q866" i="7"/>
  <c r="Q865" i="7"/>
  <c r="Q864" i="7"/>
  <c r="Q863" i="7"/>
  <c r="S862" i="7"/>
  <c r="S850" i="7"/>
  <c r="T834" i="7"/>
  <c r="U830" i="7"/>
  <c r="S786" i="7"/>
  <c r="S776" i="7"/>
  <c r="T711" i="7"/>
  <c r="U711" i="7"/>
  <c r="T704" i="7"/>
  <c r="U704" i="7"/>
  <c r="T675" i="7"/>
  <c r="U675" i="7"/>
  <c r="R987" i="7"/>
  <c r="R955" i="7"/>
  <c r="R923" i="7"/>
  <c r="R891" i="7"/>
  <c r="U854" i="7"/>
  <c r="T719" i="7"/>
  <c r="U719" i="7"/>
  <c r="T712" i="7"/>
  <c r="U712" i="7"/>
  <c r="Q846" i="7"/>
  <c r="R844" i="7"/>
  <c r="R839" i="7"/>
  <c r="S832" i="7"/>
  <c r="Q825" i="7"/>
  <c r="Q824" i="7"/>
  <c r="Q823" i="7"/>
  <c r="S822" i="7"/>
  <c r="Q811" i="7"/>
  <c r="T805" i="7"/>
  <c r="Q801" i="7"/>
  <c r="Q781" i="7"/>
  <c r="Q779" i="7"/>
  <c r="Q772" i="7"/>
  <c r="Q771" i="7"/>
  <c r="R768" i="7"/>
  <c r="Q764" i="7"/>
  <c r="Q763" i="7"/>
  <c r="R760" i="7"/>
  <c r="Q756" i="7"/>
  <c r="Q755" i="7"/>
  <c r="R752" i="7"/>
  <c r="Q748" i="7"/>
  <c r="Q747" i="7"/>
  <c r="R744" i="7"/>
  <c r="Q740" i="7"/>
  <c r="Q739" i="7"/>
  <c r="R736" i="7"/>
  <c r="Q732" i="7"/>
  <c r="Q731" i="7"/>
  <c r="R728" i="7"/>
  <c r="Q724" i="7"/>
  <c r="Q723" i="7"/>
  <c r="R720" i="7"/>
  <c r="Q716" i="7"/>
  <c r="Q715" i="7"/>
  <c r="R712" i="7"/>
  <c r="Q708" i="7"/>
  <c r="Q707" i="7"/>
  <c r="R704" i="7"/>
  <c r="Q700" i="7"/>
  <c r="Q699" i="7"/>
  <c r="R696" i="7"/>
  <c r="T681" i="7"/>
  <c r="Q670" i="7"/>
  <c r="Q664" i="7"/>
  <c r="Q663" i="7"/>
  <c r="Q833" i="7"/>
  <c r="Q832" i="7"/>
  <c r="Q831" i="7"/>
  <c r="Q822" i="7"/>
  <c r="R820" i="7"/>
  <c r="R815" i="7"/>
  <c r="T814" i="7"/>
  <c r="Q810" i="7"/>
  <c r="Q799" i="7"/>
  <c r="Q788" i="7"/>
  <c r="Q778" i="7"/>
  <c r="R774" i="7"/>
  <c r="Q770" i="7"/>
  <c r="Q769" i="7"/>
  <c r="Q762" i="7"/>
  <c r="Q761" i="7"/>
  <c r="Q753" i="7"/>
  <c r="Q746" i="7"/>
  <c r="Q745" i="7"/>
  <c r="Q738" i="7"/>
  <c r="Q737" i="7"/>
  <c r="Q730" i="7"/>
  <c r="Q729" i="7"/>
  <c r="Q721" i="7"/>
  <c r="Q714" i="7"/>
  <c r="Q713" i="7"/>
  <c r="Q706" i="7"/>
  <c r="Q705" i="7"/>
  <c r="Q698" i="7"/>
  <c r="Q697" i="7"/>
  <c r="S686" i="7"/>
  <c r="T673" i="7"/>
  <c r="T668" i="7"/>
  <c r="T658" i="7"/>
  <c r="U822" i="7"/>
  <c r="S818" i="7"/>
  <c r="T812" i="7"/>
  <c r="U810" i="7"/>
  <c r="T802" i="7"/>
  <c r="U800" i="7"/>
  <c r="T790" i="7"/>
  <c r="U778" i="7"/>
  <c r="U770" i="7"/>
  <c r="U762" i="7"/>
  <c r="U755" i="7"/>
  <c r="U754" i="7"/>
  <c r="U747" i="7"/>
  <c r="U746" i="7"/>
  <c r="U739" i="7"/>
  <c r="U738" i="7"/>
  <c r="U731" i="7"/>
  <c r="U730" i="7"/>
  <c r="U723" i="7"/>
  <c r="U722" i="7"/>
  <c r="U715" i="7"/>
  <c r="U714" i="7"/>
  <c r="U707" i="7"/>
  <c r="U706" i="7"/>
  <c r="U699" i="7"/>
  <c r="U698" i="7"/>
  <c r="T690" i="7"/>
  <c r="S676" i="7"/>
  <c r="T667" i="7"/>
  <c r="U667" i="7"/>
  <c r="S664" i="7"/>
  <c r="T660" i="7"/>
  <c r="U657" i="7"/>
  <c r="S620" i="7"/>
  <c r="Q862" i="7"/>
  <c r="R860" i="7"/>
  <c r="R855" i="7"/>
  <c r="S848" i="7"/>
  <c r="Q841" i="7"/>
  <c r="Q840" i="7"/>
  <c r="Q839" i="7"/>
  <c r="S838" i="7"/>
  <c r="Q830" i="7"/>
  <c r="R828" i="7"/>
  <c r="R823" i="7"/>
  <c r="S816" i="7"/>
  <c r="T813" i="7"/>
  <c r="S811" i="7"/>
  <c r="Q807" i="7"/>
  <c r="Q797" i="7"/>
  <c r="Q795" i="7"/>
  <c r="T789" i="7"/>
  <c r="U788" i="7"/>
  <c r="Q785" i="7"/>
  <c r="Q775" i="7"/>
  <c r="R772" i="7"/>
  <c r="Q768" i="7"/>
  <c r="Q767" i="7"/>
  <c r="R764" i="7"/>
  <c r="Q760" i="7"/>
  <c r="Q759" i="7"/>
  <c r="R756" i="7"/>
  <c r="Q752" i="7"/>
  <c r="Q751" i="7"/>
  <c r="R748" i="7"/>
  <c r="Q744" i="7"/>
  <c r="Q743" i="7"/>
  <c r="R740" i="7"/>
  <c r="Q736" i="7"/>
  <c r="Q735" i="7"/>
  <c r="R732" i="7"/>
  <c r="Q728" i="7"/>
  <c r="Q727" i="7"/>
  <c r="R724" i="7"/>
  <c r="Q720" i="7"/>
  <c r="Q719" i="7"/>
  <c r="R716" i="7"/>
  <c r="Q712" i="7"/>
  <c r="Q711" i="7"/>
  <c r="R708" i="7"/>
  <c r="Q704" i="7"/>
  <c r="Q703" i="7"/>
  <c r="R700" i="7"/>
  <c r="Q696" i="7"/>
  <c r="Q695" i="7"/>
  <c r="T691" i="7"/>
  <c r="Q686" i="7"/>
  <c r="T665" i="7"/>
  <c r="R660" i="7"/>
  <c r="T659" i="7"/>
  <c r="U659" i="7"/>
  <c r="S656" i="7"/>
  <c r="S826" i="7"/>
  <c r="U799" i="7"/>
  <c r="S780" i="7"/>
  <c r="U769" i="7"/>
  <c r="U761" i="7"/>
  <c r="U753" i="7"/>
  <c r="U745" i="7"/>
  <c r="U737" i="7"/>
  <c r="U729" i="7"/>
  <c r="U721" i="7"/>
  <c r="U713" i="7"/>
  <c r="U705" i="7"/>
  <c r="U697" i="7"/>
  <c r="T651" i="7"/>
  <c r="U651" i="7"/>
  <c r="T643" i="7"/>
  <c r="U643" i="7"/>
  <c r="T635" i="7"/>
  <c r="U635" i="7"/>
  <c r="S622" i="7"/>
  <c r="T622" i="7"/>
  <c r="Q838" i="7"/>
  <c r="R836" i="7"/>
  <c r="R831" i="7"/>
  <c r="Q817" i="7"/>
  <c r="Q816" i="7"/>
  <c r="Q815" i="7"/>
  <c r="R810" i="7"/>
  <c r="Q804" i="7"/>
  <c r="Q793" i="7"/>
  <c r="Q783" i="7"/>
  <c r="R778" i="7"/>
  <c r="Q774" i="7"/>
  <c r="Q773" i="7"/>
  <c r="Q766" i="7"/>
  <c r="Q765" i="7"/>
  <c r="Q757" i="7"/>
  <c r="Q750" i="7"/>
  <c r="Q749" i="7"/>
  <c r="Q741" i="7"/>
  <c r="Q734" i="7"/>
  <c r="Q733" i="7"/>
  <c r="Q725" i="7"/>
  <c r="Q718" i="7"/>
  <c r="Q717" i="7"/>
  <c r="Q709" i="7"/>
  <c r="Q702" i="7"/>
  <c r="Q701" i="7"/>
  <c r="Q693" i="7"/>
  <c r="T689" i="7"/>
  <c r="T684" i="7"/>
  <c r="U681" i="7"/>
  <c r="S670" i="7"/>
  <c r="S660" i="7"/>
  <c r="T683" i="7"/>
  <c r="U683" i="7"/>
  <c r="S662" i="7"/>
  <c r="S652" i="7"/>
  <c r="S648" i="7"/>
  <c r="T648" i="7"/>
  <c r="S644" i="7"/>
  <c r="S640" i="7"/>
  <c r="T640" i="7"/>
  <c r="S636" i="7"/>
  <c r="S630" i="7"/>
  <c r="T630" i="7"/>
  <c r="U328" i="7"/>
  <c r="T328" i="7"/>
  <c r="S215" i="7"/>
  <c r="R215" i="7"/>
  <c r="S385" i="7"/>
  <c r="T385" i="7"/>
  <c r="T329" i="7"/>
  <c r="U329" i="7"/>
  <c r="S318" i="7"/>
  <c r="T318" i="7"/>
  <c r="S253" i="7"/>
  <c r="R253" i="7"/>
  <c r="Q669" i="7"/>
  <c r="Q661" i="7"/>
  <c r="Q654" i="7"/>
  <c r="Q653" i="7"/>
  <c r="Q645" i="7"/>
  <c r="Q638" i="7"/>
  <c r="Q637" i="7"/>
  <c r="T632" i="7"/>
  <c r="Q630" i="7"/>
  <c r="Q629" i="7"/>
  <c r="T624" i="7"/>
  <c r="Q622" i="7"/>
  <c r="Q621" i="7"/>
  <c r="T616" i="7"/>
  <c r="Q614" i="7"/>
  <c r="Q613" i="7"/>
  <c r="T608" i="7"/>
  <c r="Q606" i="7"/>
  <c r="Q605" i="7"/>
  <c r="Q593" i="7"/>
  <c r="Q591" i="7"/>
  <c r="T589" i="7"/>
  <c r="T587" i="7"/>
  <c r="R582" i="7"/>
  <c r="Q574" i="7"/>
  <c r="T557" i="7"/>
  <c r="Q548" i="7"/>
  <c r="U531" i="7"/>
  <c r="Q525" i="7"/>
  <c r="S512" i="7"/>
  <c r="R509" i="7"/>
  <c r="T508" i="7"/>
  <c r="Q502" i="7"/>
  <c r="S500" i="7"/>
  <c r="S499" i="7"/>
  <c r="S497" i="7"/>
  <c r="S489" i="7"/>
  <c r="U477" i="7"/>
  <c r="Q473" i="7"/>
  <c r="Q471" i="7"/>
  <c r="Q470" i="7"/>
  <c r="Q469" i="7"/>
  <c r="Q468" i="7"/>
  <c r="S467" i="7"/>
  <c r="S465" i="7"/>
  <c r="S462" i="7"/>
  <c r="T455" i="7"/>
  <c r="Q451" i="7"/>
  <c r="Q450" i="7"/>
  <c r="Q448" i="7"/>
  <c r="Q447" i="7"/>
  <c r="Q442" i="7"/>
  <c r="S441" i="7"/>
  <c r="S439" i="7"/>
  <c r="S438" i="7"/>
  <c r="S436" i="7"/>
  <c r="T434" i="7"/>
  <c r="T432" i="7"/>
  <c r="T430" i="7"/>
  <c r="T423" i="7"/>
  <c r="R414" i="7"/>
  <c r="T413" i="7"/>
  <c r="U413" i="7"/>
  <c r="S412" i="7"/>
  <c r="R411" i="7"/>
  <c r="Q410" i="7"/>
  <c r="T403" i="7"/>
  <c r="S387" i="7"/>
  <c r="T387" i="7"/>
  <c r="S300" i="7"/>
  <c r="T649" i="7"/>
  <c r="T641" i="7"/>
  <c r="T633" i="7"/>
  <c r="T625" i="7"/>
  <c r="T617" i="7"/>
  <c r="T609" i="7"/>
  <c r="R599" i="7"/>
  <c r="T596" i="7"/>
  <c r="T585" i="7"/>
  <c r="T576" i="7"/>
  <c r="Q573" i="7"/>
  <c r="T563" i="7"/>
  <c r="R560" i="7"/>
  <c r="U555" i="7"/>
  <c r="Q551" i="7"/>
  <c r="Q550" i="7"/>
  <c r="Q549" i="7"/>
  <c r="R541" i="7"/>
  <c r="R537" i="7"/>
  <c r="R536" i="7"/>
  <c r="T529" i="7"/>
  <c r="Q516" i="7"/>
  <c r="T506" i="7"/>
  <c r="R504" i="7"/>
  <c r="T503" i="7"/>
  <c r="S491" i="7"/>
  <c r="S484" i="7"/>
  <c r="R465" i="7"/>
  <c r="Q464" i="7"/>
  <c r="Q449" i="7"/>
  <c r="Q445" i="7"/>
  <c r="Q444" i="7"/>
  <c r="Q443" i="7"/>
  <c r="Q440" i="7"/>
  <c r="R439" i="7"/>
  <c r="R437" i="7"/>
  <c r="S426" i="7"/>
  <c r="R415" i="7"/>
  <c r="S413" i="7"/>
  <c r="R404" i="7"/>
  <c r="R400" i="7"/>
  <c r="T362" i="7"/>
  <c r="U362" i="7"/>
  <c r="S341" i="7"/>
  <c r="R341" i="7"/>
  <c r="S269" i="7"/>
  <c r="R269" i="7"/>
  <c r="T254" i="7"/>
  <c r="U254" i="7"/>
  <c r="T614" i="7"/>
  <c r="T606" i="7"/>
  <c r="U595" i="7"/>
  <c r="U575" i="7"/>
  <c r="T553" i="7"/>
  <c r="T525" i="7"/>
  <c r="U521" i="7"/>
  <c r="R491" i="7"/>
  <c r="T473" i="7"/>
  <c r="T451" i="7"/>
  <c r="U445" i="7"/>
  <c r="S285" i="7"/>
  <c r="R285" i="7"/>
  <c r="T687" i="7"/>
  <c r="T679" i="7"/>
  <c r="T671" i="7"/>
  <c r="T663" i="7"/>
  <c r="T655" i="7"/>
  <c r="T647" i="7"/>
  <c r="T639" i="7"/>
  <c r="T631" i="7"/>
  <c r="U628" i="7"/>
  <c r="T623" i="7"/>
  <c r="U620" i="7"/>
  <c r="T615" i="7"/>
  <c r="U612" i="7"/>
  <c r="T607" i="7"/>
  <c r="U604" i="7"/>
  <c r="R601" i="7"/>
  <c r="Q600" i="7"/>
  <c r="S598" i="7"/>
  <c r="R596" i="7"/>
  <c r="R595" i="7"/>
  <c r="Q588" i="7"/>
  <c r="Q587" i="7"/>
  <c r="R585" i="7"/>
  <c r="Q584" i="7"/>
  <c r="T579" i="7"/>
  <c r="R576" i="7"/>
  <c r="U573" i="7"/>
  <c r="Q569" i="7"/>
  <c r="Q566" i="7"/>
  <c r="U551" i="7"/>
  <c r="U547" i="7"/>
  <c r="Q545" i="7"/>
  <c r="Q543" i="7"/>
  <c r="Q542" i="7"/>
  <c r="T535" i="7"/>
  <c r="R528" i="7"/>
  <c r="R524" i="7"/>
  <c r="R511" i="7"/>
  <c r="S506" i="7"/>
  <c r="S504" i="7"/>
  <c r="T502" i="7"/>
  <c r="T501" i="7"/>
  <c r="Q498" i="7"/>
  <c r="Q491" i="7"/>
  <c r="Q490" i="7"/>
  <c r="R487" i="7"/>
  <c r="Q486" i="7"/>
  <c r="Q482" i="7"/>
  <c r="S480" i="7"/>
  <c r="S478" i="7"/>
  <c r="R472" i="7"/>
  <c r="U467" i="7"/>
  <c r="R459" i="7"/>
  <c r="Q458" i="7"/>
  <c r="S457" i="7"/>
  <c r="T452" i="7"/>
  <c r="U449" i="7"/>
  <c r="R446" i="7"/>
  <c r="Q434" i="7"/>
  <c r="R433" i="7"/>
  <c r="Q432" i="7"/>
  <c r="Q430" i="7"/>
  <c r="R419" i="7"/>
  <c r="R409" i="7"/>
  <c r="T408" i="7"/>
  <c r="T407" i="7"/>
  <c r="U407" i="7"/>
  <c r="T402" i="7"/>
  <c r="S400" i="7"/>
  <c r="T381" i="7"/>
  <c r="U381" i="7"/>
  <c r="T270" i="7"/>
  <c r="U270" i="7"/>
  <c r="S589" i="7"/>
  <c r="S574" i="7"/>
  <c r="S572" i="7"/>
  <c r="R553" i="7"/>
  <c r="R552" i="7"/>
  <c r="R525" i="7"/>
  <c r="U519" i="7"/>
  <c r="T513" i="7"/>
  <c r="R502" i="7"/>
  <c r="T500" i="7"/>
  <c r="R448" i="7"/>
  <c r="S417" i="7"/>
  <c r="T417" i="7"/>
  <c r="U350" i="7"/>
  <c r="T350" i="7"/>
  <c r="T343" i="7"/>
  <c r="U343" i="7"/>
  <c r="S304" i="7"/>
  <c r="T304" i="7"/>
  <c r="T286" i="7"/>
  <c r="U286" i="7"/>
  <c r="T685" i="7"/>
  <c r="T677" i="7"/>
  <c r="T669" i="7"/>
  <c r="T661" i="7"/>
  <c r="T653" i="7"/>
  <c r="T645" i="7"/>
  <c r="T637" i="7"/>
  <c r="T629" i="7"/>
  <c r="U627" i="7"/>
  <c r="T621" i="7"/>
  <c r="U619" i="7"/>
  <c r="T613" i="7"/>
  <c r="U611" i="7"/>
  <c r="T605" i="7"/>
  <c r="U603" i="7"/>
  <c r="Q599" i="7"/>
  <c r="T588" i="7"/>
  <c r="Q582" i="7"/>
  <c r="R573" i="7"/>
  <c r="T570" i="7"/>
  <c r="T566" i="7"/>
  <c r="Q560" i="7"/>
  <c r="R550" i="7"/>
  <c r="R549" i="7"/>
  <c r="T545" i="7"/>
  <c r="Q536" i="7"/>
  <c r="Q532" i="7"/>
  <c r="T523" i="7"/>
  <c r="R521" i="7"/>
  <c r="R520" i="7"/>
  <c r="R514" i="7"/>
  <c r="R507" i="7"/>
  <c r="S501" i="7"/>
  <c r="T498" i="7"/>
  <c r="R496" i="7"/>
  <c r="Q480" i="7"/>
  <c r="Q479" i="7"/>
  <c r="Q478" i="7"/>
  <c r="R464" i="7"/>
  <c r="Q457" i="7"/>
  <c r="R453" i="7"/>
  <c r="T450" i="7"/>
  <c r="T448" i="7"/>
  <c r="R440" i="7"/>
  <c r="Q416" i="7"/>
  <c r="Q415" i="7"/>
  <c r="R405" i="7"/>
  <c r="T351" i="7"/>
  <c r="U351" i="7"/>
  <c r="S305" i="7"/>
  <c r="T305" i="7"/>
  <c r="S258" i="7"/>
  <c r="T258" i="7"/>
  <c r="U357" i="7"/>
  <c r="T348" i="7"/>
  <c r="T324" i="7"/>
  <c r="S297" i="7"/>
  <c r="S241" i="7"/>
  <c r="S239" i="7"/>
  <c r="S227" i="7"/>
  <c r="T225" i="7"/>
  <c r="T165" i="7"/>
  <c r="U165" i="7"/>
  <c r="R130" i="7"/>
  <c r="S130" i="7"/>
  <c r="S71" i="7"/>
  <c r="R71" i="7"/>
  <c r="S404" i="7"/>
  <c r="T400" i="7"/>
  <c r="T398" i="7"/>
  <c r="Q387" i="7"/>
  <c r="Q385" i="7"/>
  <c r="Q378" i="7"/>
  <c r="S377" i="7"/>
  <c r="S375" i="7"/>
  <c r="S374" i="7"/>
  <c r="S368" i="7"/>
  <c r="Q363" i="7"/>
  <c r="T356" i="7"/>
  <c r="Q342" i="7"/>
  <c r="S336" i="7"/>
  <c r="S326" i="7"/>
  <c r="S325" i="7"/>
  <c r="Q318" i="7"/>
  <c r="Q305" i="7"/>
  <c r="Q303" i="7"/>
  <c r="T296" i="7"/>
  <c r="R295" i="7"/>
  <c r="R291" i="7"/>
  <c r="Q287" i="7"/>
  <c r="Q271" i="7"/>
  <c r="Q258" i="7"/>
  <c r="Q257" i="7"/>
  <c r="Q256" i="7"/>
  <c r="Q255" i="7"/>
  <c r="U243" i="7"/>
  <c r="T243" i="7"/>
  <c r="R237" i="7"/>
  <c r="T228" i="7"/>
  <c r="U228" i="7"/>
  <c r="U227" i="7"/>
  <c r="T227" i="7"/>
  <c r="S223" i="7"/>
  <c r="R223" i="7"/>
  <c r="T216" i="7"/>
  <c r="U216" i="7"/>
  <c r="S206" i="7"/>
  <c r="R206" i="7"/>
  <c r="T167" i="7"/>
  <c r="U167" i="7"/>
  <c r="R61" i="7"/>
  <c r="S61" i="7"/>
  <c r="R375" i="7"/>
  <c r="R373" i="7"/>
  <c r="R302" i="7"/>
  <c r="T244" i="7"/>
  <c r="U244" i="7"/>
  <c r="U229" i="7"/>
  <c r="T229" i="7"/>
  <c r="R184" i="7"/>
  <c r="S184" i="7"/>
  <c r="T101" i="7"/>
  <c r="U101" i="7"/>
  <c r="R62" i="7"/>
  <c r="S62" i="7"/>
  <c r="T44" i="7"/>
  <c r="U44" i="7"/>
  <c r="U245" i="7"/>
  <c r="T245" i="7"/>
  <c r="S185" i="7"/>
  <c r="R185" i="7"/>
  <c r="T103" i="7"/>
  <c r="U103" i="7"/>
  <c r="U73" i="7"/>
  <c r="T73" i="7"/>
  <c r="R65" i="7"/>
  <c r="S65" i="7"/>
  <c r="R11" i="7"/>
  <c r="S11" i="7"/>
  <c r="R427" i="7"/>
  <c r="Q426" i="7"/>
  <c r="S425" i="7"/>
  <c r="T420" i="7"/>
  <c r="R418" i="7"/>
  <c r="R416" i="7"/>
  <c r="Q407" i="7"/>
  <c r="Q406" i="7"/>
  <c r="Q405" i="7"/>
  <c r="R401" i="7"/>
  <c r="Q400" i="7"/>
  <c r="Q398" i="7"/>
  <c r="S397" i="7"/>
  <c r="S396" i="7"/>
  <c r="S395" i="7"/>
  <c r="T388" i="7"/>
  <c r="R386" i="7"/>
  <c r="R384" i="7"/>
  <c r="U377" i="7"/>
  <c r="Q371" i="7"/>
  <c r="Q369" i="7"/>
  <c r="R367" i="7"/>
  <c r="R353" i="7"/>
  <c r="R344" i="7"/>
  <c r="U341" i="7"/>
  <c r="Q334" i="7"/>
  <c r="Q327" i="7"/>
  <c r="R321" i="7"/>
  <c r="U317" i="7"/>
  <c r="Q317" i="7"/>
  <c r="Q316" i="7"/>
  <c r="Q314" i="7"/>
  <c r="S312" i="7"/>
  <c r="S309" i="7"/>
  <c r="U302" i="7"/>
  <c r="Q299" i="7"/>
  <c r="Q298" i="7"/>
  <c r="S296" i="7"/>
  <c r="R288" i="7"/>
  <c r="Q282" i="7"/>
  <c r="R272" i="7"/>
  <c r="Q266" i="7"/>
  <c r="R260" i="7"/>
  <c r="Q250" i="7"/>
  <c r="Q243" i="7"/>
  <c r="U231" i="7"/>
  <c r="T231" i="7"/>
  <c r="U209" i="7"/>
  <c r="T209" i="7"/>
  <c r="R160" i="7"/>
  <c r="S160" i="7"/>
  <c r="T74" i="7"/>
  <c r="U74" i="7"/>
  <c r="R395" i="7"/>
  <c r="S393" i="7"/>
  <c r="S388" i="7"/>
  <c r="R378" i="7"/>
  <c r="U375" i="7"/>
  <c r="U371" i="7"/>
  <c r="U361" i="7"/>
  <c r="U359" i="7"/>
  <c r="S352" i="7"/>
  <c r="U349" i="7"/>
  <c r="R342" i="7"/>
  <c r="U339" i="7"/>
  <c r="S332" i="7"/>
  <c r="S330" i="7"/>
  <c r="U327" i="7"/>
  <c r="S320" i="7"/>
  <c r="S319" i="7"/>
  <c r="R318" i="7"/>
  <c r="R305" i="7"/>
  <c r="R304" i="7"/>
  <c r="S287" i="7"/>
  <c r="T285" i="7"/>
  <c r="S271" i="7"/>
  <c r="T269" i="7"/>
  <c r="S257" i="7"/>
  <c r="R256" i="7"/>
  <c r="T253" i="7"/>
  <c r="T210" i="7"/>
  <c r="U210" i="7"/>
  <c r="T187" i="7"/>
  <c r="U187" i="7"/>
  <c r="R126" i="7"/>
  <c r="S126" i="7"/>
  <c r="Q425" i="7"/>
  <c r="R421" i="7"/>
  <c r="S416" i="7"/>
  <c r="T414" i="7"/>
  <c r="R410" i="7"/>
  <c r="R408" i="7"/>
  <c r="Q397" i="7"/>
  <c r="Q396" i="7"/>
  <c r="Q395" i="7"/>
  <c r="Q392" i="7"/>
  <c r="S391" i="7"/>
  <c r="S390" i="7"/>
  <c r="S384" i="7"/>
  <c r="S382" i="7"/>
  <c r="R376" i="7"/>
  <c r="R372" i="7"/>
  <c r="S364" i="7"/>
  <c r="R362" i="7"/>
  <c r="R360" i="7"/>
  <c r="Q356" i="7"/>
  <c r="R350" i="7"/>
  <c r="Q347" i="7"/>
  <c r="R343" i="7"/>
  <c r="R340" i="7"/>
  <c r="T338" i="7"/>
  <c r="R328" i="7"/>
  <c r="R310" i="7"/>
  <c r="Q309" i="7"/>
  <c r="S307" i="7"/>
  <c r="R301" i="7"/>
  <c r="T299" i="7"/>
  <c r="Q295" i="7"/>
  <c r="Q292" i="7"/>
  <c r="Q291" i="7"/>
  <c r="R286" i="7"/>
  <c r="T283" i="7"/>
  <c r="Q280" i="7"/>
  <c r="S274" i="7"/>
  <c r="R270" i="7"/>
  <c r="T267" i="7"/>
  <c r="Q264" i="7"/>
  <c r="S260" i="7"/>
  <c r="R254" i="7"/>
  <c r="T251" i="7"/>
  <c r="Q248" i="7"/>
  <c r="Q245" i="7"/>
  <c r="Q230" i="7"/>
  <c r="Q222" i="7"/>
  <c r="R162" i="7"/>
  <c r="S162" i="7"/>
  <c r="R77" i="7"/>
  <c r="U40" i="7"/>
  <c r="T40" i="7"/>
  <c r="Q218" i="7"/>
  <c r="Q197" i="7"/>
  <c r="Q196" i="7"/>
  <c r="Q176" i="7"/>
  <c r="Q150" i="7"/>
  <c r="Q138" i="7"/>
  <c r="T135" i="7"/>
  <c r="T133" i="7"/>
  <c r="Q119" i="7"/>
  <c r="Q113" i="7"/>
  <c r="Q112" i="7"/>
  <c r="Q81" i="7"/>
  <c r="Q56" i="7"/>
  <c r="Q55" i="7"/>
  <c r="T16" i="7"/>
  <c r="T14" i="7"/>
  <c r="S226" i="7"/>
  <c r="S210" i="7"/>
  <c r="R193" i="7"/>
  <c r="U179" i="7"/>
  <c r="R169" i="7"/>
  <c r="T153" i="7"/>
  <c r="U147" i="7"/>
  <c r="R135" i="7"/>
  <c r="R133" i="7"/>
  <c r="T115" i="7"/>
  <c r="R105" i="7"/>
  <c r="R16" i="7"/>
  <c r="R14" i="7"/>
  <c r="T217" i="7"/>
  <c r="S205" i="7"/>
  <c r="T195" i="7"/>
  <c r="R187" i="7"/>
  <c r="Q186" i="7"/>
  <c r="R180" i="7"/>
  <c r="T175" i="7"/>
  <c r="R167" i="7"/>
  <c r="Q166" i="7"/>
  <c r="R165" i="7"/>
  <c r="Q164" i="7"/>
  <c r="U137" i="7"/>
  <c r="Q135" i="7"/>
  <c r="Q132" i="7"/>
  <c r="T125" i="7"/>
  <c r="R120" i="7"/>
  <c r="R118" i="7"/>
  <c r="T111" i="7"/>
  <c r="R103" i="7"/>
  <c r="Q102" i="7"/>
  <c r="R101" i="7"/>
  <c r="R94" i="7"/>
  <c r="R88" i="7"/>
  <c r="T79" i="7"/>
  <c r="Q72" i="7"/>
  <c r="T64" i="7"/>
  <c r="R59" i="7"/>
  <c r="R57" i="7"/>
  <c r="R52" i="7"/>
  <c r="Q41" i="7"/>
  <c r="R31" i="7"/>
  <c r="R29" i="7"/>
  <c r="U18" i="7"/>
  <c r="Q16" i="7"/>
  <c r="Q13" i="7"/>
  <c r="R232" i="7"/>
  <c r="R218" i="7"/>
  <c r="Q210" i="7"/>
  <c r="Q209" i="7"/>
  <c r="Q208" i="7"/>
  <c r="T203" i="7"/>
  <c r="S202" i="7"/>
  <c r="T200" i="7"/>
  <c r="T199" i="7"/>
  <c r="U193" i="7"/>
  <c r="T188" i="7"/>
  <c r="R176" i="7"/>
  <c r="U173" i="7"/>
  <c r="T171" i="7"/>
  <c r="U169" i="7"/>
  <c r="R163" i="7"/>
  <c r="R161" i="7"/>
  <c r="R152" i="7"/>
  <c r="R150" i="7"/>
  <c r="T143" i="7"/>
  <c r="R131" i="7"/>
  <c r="R129" i="7"/>
  <c r="R127" i="7"/>
  <c r="R114" i="7"/>
  <c r="R112" i="7"/>
  <c r="U109" i="7"/>
  <c r="T107" i="7"/>
  <c r="U105" i="7"/>
  <c r="S86" i="7"/>
  <c r="R81" i="7"/>
  <c r="T77" i="7"/>
  <c r="R56" i="7"/>
  <c r="R55" i="7"/>
  <c r="R36" i="7"/>
  <c r="T24" i="7"/>
  <c r="R12" i="7"/>
  <c r="R10" i="7"/>
  <c r="R8" i="7"/>
  <c r="R4" i="7"/>
  <c r="S247" i="7"/>
  <c r="Q237" i="7"/>
  <c r="Q236" i="7"/>
  <c r="Q235" i="7"/>
  <c r="S231" i="7"/>
  <c r="Q223" i="7"/>
  <c r="S217" i="7"/>
  <c r="T215" i="7"/>
  <c r="Q205" i="7"/>
  <c r="R200" i="7"/>
  <c r="R199" i="7"/>
  <c r="R191" i="7"/>
  <c r="R188" i="7"/>
  <c r="Q185" i="7"/>
  <c r="Q184" i="7"/>
  <c r="R178" i="7"/>
  <c r="R174" i="7"/>
  <c r="Q163" i="7"/>
  <c r="Q161" i="7"/>
  <c r="Q160" i="7"/>
  <c r="R159" i="7"/>
  <c r="R146" i="7"/>
  <c r="R144" i="7"/>
  <c r="U135" i="7"/>
  <c r="U133" i="7"/>
  <c r="Q129" i="7"/>
  <c r="Q127" i="7"/>
  <c r="Q126" i="7"/>
  <c r="R125" i="7"/>
  <c r="R123" i="7"/>
  <c r="T119" i="7"/>
  <c r="R110" i="7"/>
  <c r="R99" i="7"/>
  <c r="R97" i="7"/>
  <c r="R91" i="7"/>
  <c r="Q90" i="7"/>
  <c r="R86" i="7"/>
  <c r="R75" i="7"/>
  <c r="Q70" i="7"/>
  <c r="Q63" i="7"/>
  <c r="Q61" i="7"/>
  <c r="R49" i="7"/>
  <c r="R47" i="7"/>
  <c r="Q36" i="7"/>
  <c r="R34" i="7"/>
  <c r="R27" i="7"/>
  <c r="R25" i="7"/>
  <c r="U16" i="7"/>
  <c r="U14" i="7"/>
  <c r="Q12" i="7"/>
  <c r="Q10" i="7"/>
  <c r="Q8" i="7"/>
  <c r="R6" i="7"/>
  <c r="Q4" i="7"/>
  <c r="R216" i="7"/>
  <c r="Q204" i="7"/>
  <c r="Q202" i="7"/>
  <c r="R192" i="7"/>
  <c r="Q182" i="7"/>
  <c r="Q159" i="7"/>
  <c r="T151" i="7"/>
  <c r="R142" i="7"/>
  <c r="R136" i="7"/>
  <c r="R134" i="7"/>
  <c r="Q123" i="7"/>
  <c r="Q116" i="7"/>
  <c r="Q99" i="7"/>
  <c r="Q97" i="7"/>
  <c r="Q96" i="7"/>
  <c r="Q91" i="7"/>
  <c r="Q86" i="7"/>
  <c r="Q85" i="7"/>
  <c r="S77" i="7"/>
  <c r="T71" i="7"/>
  <c r="Q64" i="7"/>
  <c r="R46" i="7"/>
  <c r="R45" i="7"/>
  <c r="R23" i="7"/>
  <c r="R17" i="7"/>
  <c r="R15" i="7"/>
  <c r="Q87" i="7"/>
  <c r="Q84" i="7"/>
  <c r="Q83" i="7"/>
  <c r="S68" i="7"/>
  <c r="Q60" i="7"/>
  <c r="Q58" i="7"/>
  <c r="Q57" i="7"/>
  <c r="Q52" i="7"/>
  <c r="T48" i="7"/>
  <c r="T46" i="7"/>
  <c r="S43" i="7"/>
  <c r="S40" i="7"/>
  <c r="S39" i="7"/>
  <c r="Q32" i="7"/>
  <c r="T22" i="7"/>
  <c r="Q162" i="7"/>
  <c r="Q800" i="7"/>
  <c r="Q580" i="7"/>
  <c r="Q140" i="7"/>
  <c r="Q120" i="7"/>
  <c r="Q528" i="7"/>
  <c r="Q136" i="7"/>
  <c r="Q110" i="7"/>
  <c r="Q108" i="7"/>
  <c r="Q106" i="7"/>
  <c r="Q53" i="7"/>
  <c r="Q11" i="7"/>
  <c r="Q178" i="7"/>
  <c r="Q792" i="7"/>
  <c r="Q512" i="7"/>
  <c r="Q488" i="7"/>
  <c r="Q596" i="7"/>
  <c r="Q546" i="7"/>
  <c r="Q594" i="7"/>
  <c r="Q544" i="7"/>
  <c r="Q158" i="7"/>
  <c r="Q156" i="7"/>
  <c r="Q154" i="7"/>
  <c r="Q43" i="7"/>
  <c r="Q23" i="7"/>
  <c r="Q17" i="7"/>
  <c r="Q67" i="7"/>
  <c r="Q496" i="7"/>
  <c r="Q104" i="7"/>
  <c r="Q88" i="7"/>
  <c r="Q602" i="7"/>
  <c r="Q808" i="7"/>
  <c r="Q564" i="7"/>
  <c r="Q530" i="7"/>
  <c r="Q598" i="7"/>
  <c r="Q522" i="7"/>
  <c r="Q776" i="7"/>
  <c r="Q572" i="7"/>
  <c r="Q552" i="7"/>
  <c r="Q114" i="7"/>
  <c r="Q33" i="7"/>
  <c r="Q784" i="7"/>
  <c r="Q554" i="7"/>
  <c r="Q538" i="7"/>
  <c r="Q168" i="7"/>
  <c r="Q586" i="7"/>
  <c r="Q540" i="7"/>
  <c r="Q504" i="7"/>
  <c r="Q71" i="7"/>
  <c r="Q65" i="7"/>
  <c r="Q49" i="7"/>
  <c r="Q520" i="7"/>
  <c r="Q146" i="7"/>
  <c r="Q130" i="7"/>
  <c r="Q98" i="7"/>
  <c r="Q37" i="7"/>
  <c r="Q35" i="7"/>
  <c r="Q814" i="7"/>
  <c r="Q590" i="7"/>
  <c r="Q514" i="7"/>
  <c r="Q172" i="7"/>
  <c r="Q142" i="7"/>
  <c r="Q124" i="7"/>
  <c r="Q122" i="7"/>
  <c r="Q92" i="7"/>
  <c r="Q59" i="7"/>
  <c r="Q27" i="7"/>
  <c r="Q19" i="7"/>
  <c r="Q5" i="7"/>
  <c r="Q152" i="7"/>
  <c r="Q69" i="7"/>
  <c r="Q21" i="7"/>
  <c r="R691" i="7"/>
  <c r="S691" i="7"/>
  <c r="R659" i="7"/>
  <c r="S659" i="7"/>
  <c r="U568" i="7"/>
  <c r="T568" i="7"/>
  <c r="R804" i="7"/>
  <c r="S804" i="7"/>
  <c r="R695" i="7"/>
  <c r="S695" i="7"/>
  <c r="S335" i="7"/>
  <c r="R335" i="7"/>
  <c r="R19" i="7"/>
  <c r="S19" i="7"/>
  <c r="T10" i="7"/>
  <c r="U10" i="7"/>
  <c r="R731" i="7"/>
  <c r="S731" i="7"/>
  <c r="R667" i="7"/>
  <c r="S667" i="7"/>
  <c r="S577" i="7"/>
  <c r="T577" i="7"/>
  <c r="R558" i="7"/>
  <c r="S558" i="7"/>
  <c r="T517" i="7"/>
  <c r="U517" i="7"/>
  <c r="T516" i="7"/>
  <c r="U516" i="7"/>
  <c r="S999" i="7"/>
  <c r="T999" i="7"/>
  <c r="S995" i="7"/>
  <c r="T995" i="7"/>
  <c r="S991" i="7"/>
  <c r="T991" i="7"/>
  <c r="S987" i="7"/>
  <c r="T987" i="7"/>
  <c r="S983" i="7"/>
  <c r="T983" i="7"/>
  <c r="S979" i="7"/>
  <c r="T979" i="7"/>
  <c r="S975" i="7"/>
  <c r="T975" i="7"/>
  <c r="S971" i="7"/>
  <c r="T971" i="7"/>
  <c r="S967" i="7"/>
  <c r="T967" i="7"/>
  <c r="S963" i="7"/>
  <c r="T963" i="7"/>
  <c r="S959" i="7"/>
  <c r="T959" i="7"/>
  <c r="S955" i="7"/>
  <c r="T955" i="7"/>
  <c r="S951" i="7"/>
  <c r="T951" i="7"/>
  <c r="S947" i="7"/>
  <c r="T947" i="7"/>
  <c r="S943" i="7"/>
  <c r="T943" i="7"/>
  <c r="S939" i="7"/>
  <c r="T939" i="7"/>
  <c r="S935" i="7"/>
  <c r="T935" i="7"/>
  <c r="S931" i="7"/>
  <c r="T931" i="7"/>
  <c r="S927" i="7"/>
  <c r="T927" i="7"/>
  <c r="S923" i="7"/>
  <c r="T923" i="7"/>
  <c r="S919" i="7"/>
  <c r="T919" i="7"/>
  <c r="S915" i="7"/>
  <c r="T915" i="7"/>
  <c r="S911" i="7"/>
  <c r="T911" i="7"/>
  <c r="S907" i="7"/>
  <c r="T907" i="7"/>
  <c r="S903" i="7"/>
  <c r="T903" i="7"/>
  <c r="S899" i="7"/>
  <c r="T899" i="7"/>
  <c r="S895" i="7"/>
  <c r="T895" i="7"/>
  <c r="S891" i="7"/>
  <c r="T891" i="7"/>
  <c r="S887" i="7"/>
  <c r="T887" i="7"/>
  <c r="S883" i="7"/>
  <c r="T883" i="7"/>
  <c r="S879" i="7"/>
  <c r="T879" i="7"/>
  <c r="S875" i="7"/>
  <c r="T875" i="7"/>
  <c r="S871" i="7"/>
  <c r="T871" i="7"/>
  <c r="S867" i="7"/>
  <c r="T867" i="7"/>
  <c r="S863" i="7"/>
  <c r="T863" i="7"/>
  <c r="S859" i="7"/>
  <c r="T859" i="7"/>
  <c r="S855" i="7"/>
  <c r="T855" i="7"/>
  <c r="S851" i="7"/>
  <c r="T851" i="7"/>
  <c r="S847" i="7"/>
  <c r="T847" i="7"/>
  <c r="S843" i="7"/>
  <c r="T843" i="7"/>
  <c r="S839" i="7"/>
  <c r="T839" i="7"/>
  <c r="S835" i="7"/>
  <c r="T835" i="7"/>
  <c r="S831" i="7"/>
  <c r="T831" i="7"/>
  <c r="S827" i="7"/>
  <c r="T827" i="7"/>
  <c r="S823" i="7"/>
  <c r="T823" i="7"/>
  <c r="S819" i="7"/>
  <c r="T819" i="7"/>
  <c r="S815" i="7"/>
  <c r="T815" i="7"/>
  <c r="R809" i="7"/>
  <c r="S809" i="7"/>
  <c r="Q806" i="7"/>
  <c r="R797" i="7"/>
  <c r="S797" i="7"/>
  <c r="T791" i="7"/>
  <c r="U791" i="7"/>
  <c r="R767" i="7"/>
  <c r="S767" i="7"/>
  <c r="Q742" i="7"/>
  <c r="R735" i="7"/>
  <c r="S735" i="7"/>
  <c r="Q710" i="7"/>
  <c r="R703" i="7"/>
  <c r="S703" i="7"/>
  <c r="Q678" i="7"/>
  <c r="R671" i="7"/>
  <c r="S671" i="7"/>
  <c r="Q646" i="7"/>
  <c r="T561" i="7"/>
  <c r="S561" i="7"/>
  <c r="R526" i="7"/>
  <c r="S526" i="7"/>
  <c r="S409" i="7"/>
  <c r="T409" i="7"/>
  <c r="R723" i="7"/>
  <c r="S723" i="7"/>
  <c r="S196" i="7"/>
  <c r="R196" i="7"/>
  <c r="T176" i="7"/>
  <c r="U176" i="7"/>
  <c r="R9" i="7"/>
  <c r="S9" i="7"/>
  <c r="U779" i="7"/>
  <c r="T779" i="7"/>
  <c r="R591" i="7"/>
  <c r="S591" i="7"/>
  <c r="R3" i="7"/>
  <c r="S3" i="7"/>
  <c r="T785" i="7"/>
  <c r="U785" i="7"/>
  <c r="R763" i="7"/>
  <c r="S763" i="7"/>
  <c r="R699" i="7"/>
  <c r="S699" i="7"/>
  <c r="R771" i="7"/>
  <c r="S771" i="7"/>
  <c r="R739" i="7"/>
  <c r="S739" i="7"/>
  <c r="R707" i="7"/>
  <c r="S707" i="7"/>
  <c r="T996" i="7"/>
  <c r="T992" i="7"/>
  <c r="T980" i="7"/>
  <c r="T968" i="7"/>
  <c r="T960" i="7"/>
  <c r="T956" i="7"/>
  <c r="T948" i="7"/>
  <c r="T944" i="7"/>
  <c r="T940" i="7"/>
  <c r="T936" i="7"/>
  <c r="T924" i="7"/>
  <c r="T916" i="7"/>
  <c r="T912" i="7"/>
  <c r="T908" i="7"/>
  <c r="T900" i="7"/>
  <c r="T892" i="7"/>
  <c r="T884" i="7"/>
  <c r="T876" i="7"/>
  <c r="T868" i="7"/>
  <c r="T864" i="7"/>
  <c r="T860" i="7"/>
  <c r="T856" i="7"/>
  <c r="T852" i="7"/>
  <c r="T848" i="7"/>
  <c r="T844" i="7"/>
  <c r="T840" i="7"/>
  <c r="T836" i="7"/>
  <c r="T832" i="7"/>
  <c r="T828" i="7"/>
  <c r="T824" i="7"/>
  <c r="T820" i="7"/>
  <c r="T816" i="7"/>
  <c r="T811" i="7"/>
  <c r="R807" i="7"/>
  <c r="S807" i="7"/>
  <c r="T801" i="7"/>
  <c r="U801" i="7"/>
  <c r="U795" i="7"/>
  <c r="T795" i="7"/>
  <c r="S794" i="7"/>
  <c r="R782" i="7"/>
  <c r="S782" i="7"/>
  <c r="R743" i="7"/>
  <c r="S743" i="7"/>
  <c r="R711" i="7"/>
  <c r="S711" i="7"/>
  <c r="R679" i="7"/>
  <c r="S679" i="7"/>
  <c r="R647" i="7"/>
  <c r="S647" i="7"/>
  <c r="R584" i="7"/>
  <c r="S584" i="7"/>
  <c r="T538" i="7"/>
  <c r="U538" i="7"/>
  <c r="R548" i="7"/>
  <c r="S548" i="7"/>
  <c r="R785" i="7"/>
  <c r="S785" i="7"/>
  <c r="R727" i="7"/>
  <c r="S727" i="7"/>
  <c r="R663" i="7"/>
  <c r="S663" i="7"/>
  <c r="T11" i="7"/>
  <c r="U11" i="7"/>
  <c r="R675" i="7"/>
  <c r="S675" i="7"/>
  <c r="R643" i="7"/>
  <c r="S643" i="7"/>
  <c r="T528" i="7"/>
  <c r="U528" i="7"/>
  <c r="T527" i="7"/>
  <c r="U527" i="7"/>
  <c r="T1000" i="7"/>
  <c r="T988" i="7"/>
  <c r="T984" i="7"/>
  <c r="T976" i="7"/>
  <c r="T972" i="7"/>
  <c r="T964" i="7"/>
  <c r="T952" i="7"/>
  <c r="T932" i="7"/>
  <c r="T928" i="7"/>
  <c r="T920" i="7"/>
  <c r="T904" i="7"/>
  <c r="T896" i="7"/>
  <c r="T888" i="7"/>
  <c r="T880" i="7"/>
  <c r="T872" i="7"/>
  <c r="T807" i="7"/>
  <c r="U807" i="7"/>
  <c r="S806" i="7"/>
  <c r="R788" i="7"/>
  <c r="S788" i="7"/>
  <c r="R775" i="7"/>
  <c r="S775" i="7"/>
  <c r="Q754" i="7"/>
  <c r="R747" i="7"/>
  <c r="S747" i="7"/>
  <c r="Q722" i="7"/>
  <c r="R715" i="7"/>
  <c r="S715" i="7"/>
  <c r="Q690" i="7"/>
  <c r="R683" i="7"/>
  <c r="S683" i="7"/>
  <c r="Q658" i="7"/>
  <c r="R651" i="7"/>
  <c r="S651" i="7"/>
  <c r="U598" i="7"/>
  <c r="T598" i="7"/>
  <c r="U586" i="7"/>
  <c r="T586" i="7"/>
  <c r="U584" i="7"/>
  <c r="T584" i="7"/>
  <c r="T539" i="7"/>
  <c r="U539" i="7"/>
  <c r="R755" i="7"/>
  <c r="S755" i="7"/>
  <c r="R798" i="7"/>
  <c r="S798" i="7"/>
  <c r="R759" i="7"/>
  <c r="S759" i="7"/>
  <c r="S569" i="7"/>
  <c r="T569" i="7"/>
  <c r="R5" i="7"/>
  <c r="S5" i="7"/>
  <c r="R791" i="7"/>
  <c r="S791" i="7"/>
  <c r="R813" i="7"/>
  <c r="S813" i="7"/>
  <c r="R801" i="7"/>
  <c r="S801" i="7"/>
  <c r="S997" i="7"/>
  <c r="T997" i="7"/>
  <c r="S993" i="7"/>
  <c r="T993" i="7"/>
  <c r="S989" i="7"/>
  <c r="T989" i="7"/>
  <c r="S985" i="7"/>
  <c r="T985" i="7"/>
  <c r="S981" i="7"/>
  <c r="T981" i="7"/>
  <c r="S977" i="7"/>
  <c r="T977" i="7"/>
  <c r="S973" i="7"/>
  <c r="T973" i="7"/>
  <c r="S969" i="7"/>
  <c r="T969" i="7"/>
  <c r="S965" i="7"/>
  <c r="T965" i="7"/>
  <c r="S961" i="7"/>
  <c r="T961" i="7"/>
  <c r="S957" i="7"/>
  <c r="T957" i="7"/>
  <c r="S953" i="7"/>
  <c r="T953" i="7"/>
  <c r="S949" i="7"/>
  <c r="T949" i="7"/>
  <c r="S945" i="7"/>
  <c r="T945" i="7"/>
  <c r="S941" i="7"/>
  <c r="T941" i="7"/>
  <c r="S937" i="7"/>
  <c r="T937" i="7"/>
  <c r="S933" i="7"/>
  <c r="T933" i="7"/>
  <c r="S929" i="7"/>
  <c r="T929" i="7"/>
  <c r="S925" i="7"/>
  <c r="T925" i="7"/>
  <c r="S921" i="7"/>
  <c r="T921" i="7"/>
  <c r="S917" i="7"/>
  <c r="T917" i="7"/>
  <c r="S913" i="7"/>
  <c r="T913" i="7"/>
  <c r="S909" i="7"/>
  <c r="T909" i="7"/>
  <c r="S905" i="7"/>
  <c r="T905" i="7"/>
  <c r="S901" i="7"/>
  <c r="T901" i="7"/>
  <c r="S897" i="7"/>
  <c r="T897" i="7"/>
  <c r="S893" i="7"/>
  <c r="T893" i="7"/>
  <c r="S889" i="7"/>
  <c r="T889" i="7"/>
  <c r="S885" i="7"/>
  <c r="T885" i="7"/>
  <c r="S881" i="7"/>
  <c r="T881" i="7"/>
  <c r="S877" i="7"/>
  <c r="T877" i="7"/>
  <c r="S873" i="7"/>
  <c r="T873" i="7"/>
  <c r="S869" i="7"/>
  <c r="T869" i="7"/>
  <c r="S865" i="7"/>
  <c r="T865" i="7"/>
  <c r="S861" i="7"/>
  <c r="T861" i="7"/>
  <c r="S857" i="7"/>
  <c r="T857" i="7"/>
  <c r="S853" i="7"/>
  <c r="T853" i="7"/>
  <c r="S849" i="7"/>
  <c r="T849" i="7"/>
  <c r="S845" i="7"/>
  <c r="T845" i="7"/>
  <c r="S841" i="7"/>
  <c r="T841" i="7"/>
  <c r="S837" i="7"/>
  <c r="T837" i="7"/>
  <c r="S833" i="7"/>
  <c r="T833" i="7"/>
  <c r="S829" i="7"/>
  <c r="T829" i="7"/>
  <c r="S825" i="7"/>
  <c r="T825" i="7"/>
  <c r="S821" i="7"/>
  <c r="T821" i="7"/>
  <c r="S817" i="7"/>
  <c r="T817" i="7"/>
  <c r="R781" i="7"/>
  <c r="S781" i="7"/>
  <c r="T775" i="7"/>
  <c r="U775" i="7"/>
  <c r="Q758" i="7"/>
  <c r="R751" i="7"/>
  <c r="S751" i="7"/>
  <c r="Q726" i="7"/>
  <c r="R719" i="7"/>
  <c r="S719" i="7"/>
  <c r="Q694" i="7"/>
  <c r="R687" i="7"/>
  <c r="S687" i="7"/>
  <c r="Q662" i="7"/>
  <c r="R655" i="7"/>
  <c r="S655" i="7"/>
  <c r="T552" i="7"/>
  <c r="U552" i="7"/>
  <c r="T505" i="7"/>
  <c r="U505" i="7"/>
  <c r="T492" i="7"/>
  <c r="S492" i="7"/>
  <c r="R639" i="7"/>
  <c r="S639" i="7"/>
  <c r="R635" i="7"/>
  <c r="S635" i="7"/>
  <c r="R631" i="7"/>
  <c r="S631" i="7"/>
  <c r="R627" i="7"/>
  <c r="S627" i="7"/>
  <c r="R623" i="7"/>
  <c r="S623" i="7"/>
  <c r="R619" i="7"/>
  <c r="S619" i="7"/>
  <c r="R615" i="7"/>
  <c r="S615" i="7"/>
  <c r="R611" i="7"/>
  <c r="S611" i="7"/>
  <c r="R607" i="7"/>
  <c r="S607" i="7"/>
  <c r="U590" i="7"/>
  <c r="T590" i="7"/>
  <c r="T565" i="7"/>
  <c r="U565" i="7"/>
  <c r="U558" i="7"/>
  <c r="T558" i="7"/>
  <c r="T549" i="7"/>
  <c r="U549" i="7"/>
  <c r="T548" i="7"/>
  <c r="U548" i="7"/>
  <c r="R522" i="7"/>
  <c r="S522" i="7"/>
  <c r="T482" i="7"/>
  <c r="U482" i="7"/>
  <c r="S474" i="7"/>
  <c r="S357" i="7"/>
  <c r="R357" i="7"/>
  <c r="S275" i="7"/>
  <c r="R275" i="7"/>
  <c r="S251" i="7"/>
  <c r="R251" i="7"/>
  <c r="T76" i="7"/>
  <c r="U76" i="7"/>
  <c r="R41" i="7"/>
  <c r="S41" i="7"/>
  <c r="U4" i="7"/>
  <c r="T4" i="7"/>
  <c r="T3" i="7"/>
  <c r="U3" i="7"/>
  <c r="R803" i="7"/>
  <c r="S803" i="7"/>
  <c r="R800" i="7"/>
  <c r="R787" i="7"/>
  <c r="S787" i="7"/>
  <c r="R784" i="7"/>
  <c r="S603" i="7"/>
  <c r="T581" i="7"/>
  <c r="U581" i="7"/>
  <c r="Q570" i="7"/>
  <c r="S565" i="7"/>
  <c r="Q541" i="7"/>
  <c r="T536" i="7"/>
  <c r="U536" i="7"/>
  <c r="T522" i="7"/>
  <c r="U522" i="7"/>
  <c r="S502" i="7"/>
  <c r="S483" i="7"/>
  <c r="T483" i="7"/>
  <c r="S415" i="7"/>
  <c r="T415" i="7"/>
  <c r="S383" i="7"/>
  <c r="T383" i="7"/>
  <c r="T382" i="7"/>
  <c r="S373" i="7"/>
  <c r="T373" i="7"/>
  <c r="R355" i="7"/>
  <c r="S355" i="7"/>
  <c r="S346" i="7"/>
  <c r="R532" i="7"/>
  <c r="S532" i="7"/>
  <c r="S453" i="7"/>
  <c r="T453" i="7"/>
  <c r="U309" i="7"/>
  <c r="T309" i="7"/>
  <c r="S229" i="7"/>
  <c r="R229" i="7"/>
  <c r="R814" i="7"/>
  <c r="R799" i="7"/>
  <c r="S799" i="7"/>
  <c r="R796" i="7"/>
  <c r="R783" i="7"/>
  <c r="S783" i="7"/>
  <c r="R780" i="7"/>
  <c r="R770" i="7"/>
  <c r="R766" i="7"/>
  <c r="R762" i="7"/>
  <c r="R758" i="7"/>
  <c r="R754" i="7"/>
  <c r="R750" i="7"/>
  <c r="R746" i="7"/>
  <c r="R742" i="7"/>
  <c r="R738" i="7"/>
  <c r="R734" i="7"/>
  <c r="R730" i="7"/>
  <c r="R726" i="7"/>
  <c r="R722" i="7"/>
  <c r="R718" i="7"/>
  <c r="R714" i="7"/>
  <c r="R710" i="7"/>
  <c r="R706" i="7"/>
  <c r="R702" i="7"/>
  <c r="R698" i="7"/>
  <c r="R694" i="7"/>
  <c r="R690" i="7"/>
  <c r="R686" i="7"/>
  <c r="R682" i="7"/>
  <c r="R678" i="7"/>
  <c r="R674" i="7"/>
  <c r="R670" i="7"/>
  <c r="R666" i="7"/>
  <c r="R662" i="7"/>
  <c r="R658" i="7"/>
  <c r="R654" i="7"/>
  <c r="R650" i="7"/>
  <c r="R646" i="7"/>
  <c r="R642" i="7"/>
  <c r="R638" i="7"/>
  <c r="R634" i="7"/>
  <c r="R630" i="7"/>
  <c r="R626" i="7"/>
  <c r="R622" i="7"/>
  <c r="R618" i="7"/>
  <c r="R614" i="7"/>
  <c r="R610" i="7"/>
  <c r="R606" i="7"/>
  <c r="T601" i="7"/>
  <c r="U600" i="7"/>
  <c r="T600" i="7"/>
  <c r="S595" i="7"/>
  <c r="U580" i="7"/>
  <c r="T580" i="7"/>
  <c r="R578" i="7"/>
  <c r="S578" i="7"/>
  <c r="R571" i="7"/>
  <c r="T554" i="7"/>
  <c r="U554" i="7"/>
  <c r="T544" i="7"/>
  <c r="U544" i="7"/>
  <c r="T543" i="7"/>
  <c r="U543" i="7"/>
  <c r="T533" i="7"/>
  <c r="U533" i="7"/>
  <c r="T532" i="7"/>
  <c r="U532" i="7"/>
  <c r="S530" i="7"/>
  <c r="T497" i="7"/>
  <c r="U497" i="7"/>
  <c r="S496" i="7"/>
  <c r="T489" i="7"/>
  <c r="S363" i="7"/>
  <c r="R363" i="7"/>
  <c r="R777" i="7"/>
  <c r="S777" i="7"/>
  <c r="U602" i="7"/>
  <c r="T602" i="7"/>
  <c r="R600" i="7"/>
  <c r="S600" i="7"/>
  <c r="U564" i="7"/>
  <c r="T564" i="7"/>
  <c r="R562" i="7"/>
  <c r="S562" i="7"/>
  <c r="R554" i="7"/>
  <c r="S554" i="7"/>
  <c r="U496" i="7"/>
  <c r="T496" i="7"/>
  <c r="S283" i="7"/>
  <c r="R283" i="7"/>
  <c r="T205" i="7"/>
  <c r="U205" i="7"/>
  <c r="R805" i="7"/>
  <c r="S805" i="7"/>
  <c r="R802" i="7"/>
  <c r="R789" i="7"/>
  <c r="S789" i="7"/>
  <c r="R786" i="7"/>
  <c r="R773" i="7"/>
  <c r="S773" i="7"/>
  <c r="R769" i="7"/>
  <c r="S769" i="7"/>
  <c r="R765" i="7"/>
  <c r="S765" i="7"/>
  <c r="R761" i="7"/>
  <c r="S761" i="7"/>
  <c r="R757" i="7"/>
  <c r="S757" i="7"/>
  <c r="R753" i="7"/>
  <c r="S753" i="7"/>
  <c r="R749" i="7"/>
  <c r="S749" i="7"/>
  <c r="R745" i="7"/>
  <c r="S745" i="7"/>
  <c r="R741" i="7"/>
  <c r="S741" i="7"/>
  <c r="R737" i="7"/>
  <c r="S737" i="7"/>
  <c r="R733" i="7"/>
  <c r="S733" i="7"/>
  <c r="R729" i="7"/>
  <c r="S729" i="7"/>
  <c r="R725" i="7"/>
  <c r="S725" i="7"/>
  <c r="R721" i="7"/>
  <c r="S721" i="7"/>
  <c r="R717" i="7"/>
  <c r="S717" i="7"/>
  <c r="R713" i="7"/>
  <c r="S713" i="7"/>
  <c r="R709" i="7"/>
  <c r="S709" i="7"/>
  <c r="R705" i="7"/>
  <c r="S705" i="7"/>
  <c r="R701" i="7"/>
  <c r="S701" i="7"/>
  <c r="R697" i="7"/>
  <c r="S697" i="7"/>
  <c r="R693" i="7"/>
  <c r="S693" i="7"/>
  <c r="R689" i="7"/>
  <c r="S689" i="7"/>
  <c r="R685" i="7"/>
  <c r="S685" i="7"/>
  <c r="R681" i="7"/>
  <c r="S681" i="7"/>
  <c r="R677" i="7"/>
  <c r="S677" i="7"/>
  <c r="R673" i="7"/>
  <c r="S673" i="7"/>
  <c r="R669" i="7"/>
  <c r="S669" i="7"/>
  <c r="R665" i="7"/>
  <c r="S665" i="7"/>
  <c r="R661" i="7"/>
  <c r="S661" i="7"/>
  <c r="R657" i="7"/>
  <c r="S657" i="7"/>
  <c r="R653" i="7"/>
  <c r="S653" i="7"/>
  <c r="R649" i="7"/>
  <c r="S649" i="7"/>
  <c r="R645" i="7"/>
  <c r="S645" i="7"/>
  <c r="R641" i="7"/>
  <c r="S641" i="7"/>
  <c r="R637" i="7"/>
  <c r="S637" i="7"/>
  <c r="R633" i="7"/>
  <c r="S633" i="7"/>
  <c r="R629" i="7"/>
  <c r="S629" i="7"/>
  <c r="R625" i="7"/>
  <c r="S625" i="7"/>
  <c r="R621" i="7"/>
  <c r="S621" i="7"/>
  <c r="R617" i="7"/>
  <c r="S617" i="7"/>
  <c r="R613" i="7"/>
  <c r="S613" i="7"/>
  <c r="R609" i="7"/>
  <c r="S609" i="7"/>
  <c r="R605" i="7"/>
  <c r="S605" i="7"/>
  <c r="U594" i="7"/>
  <c r="T594" i="7"/>
  <c r="R592" i="7"/>
  <c r="S592" i="7"/>
  <c r="S573" i="7"/>
  <c r="U572" i="7"/>
  <c r="T572" i="7"/>
  <c r="T571" i="7"/>
  <c r="U571" i="7"/>
  <c r="U567" i="7"/>
  <c r="T520" i="7"/>
  <c r="U520" i="7"/>
  <c r="U515" i="7"/>
  <c r="S493" i="7"/>
  <c r="R493" i="7"/>
  <c r="S490" i="7"/>
  <c r="R490" i="7"/>
  <c r="R489" i="7"/>
  <c r="T484" i="7"/>
  <c r="S479" i="7"/>
  <c r="T479" i="7"/>
  <c r="T478" i="7"/>
  <c r="S469" i="7"/>
  <c r="T469" i="7"/>
  <c r="T468" i="7"/>
  <c r="S401" i="7"/>
  <c r="T401" i="7"/>
  <c r="R793" i="7"/>
  <c r="S793" i="7"/>
  <c r="S581" i="7"/>
  <c r="S276" i="7"/>
  <c r="T276" i="7"/>
  <c r="R808" i="7"/>
  <c r="R795" i="7"/>
  <c r="S795" i="7"/>
  <c r="R792" i="7"/>
  <c r="R779" i="7"/>
  <c r="S779" i="7"/>
  <c r="R776" i="7"/>
  <c r="S597" i="7"/>
  <c r="T593" i="7"/>
  <c r="U592" i="7"/>
  <c r="T592" i="7"/>
  <c r="S587" i="7"/>
  <c r="R568" i="7"/>
  <c r="S568" i="7"/>
  <c r="U559" i="7"/>
  <c r="R538" i="7"/>
  <c r="S538" i="7"/>
  <c r="Q535" i="7"/>
  <c r="R527" i="7"/>
  <c r="R516" i="7"/>
  <c r="S516" i="7"/>
  <c r="U504" i="7"/>
  <c r="T504" i="7"/>
  <c r="Q500" i="7"/>
  <c r="U488" i="7"/>
  <c r="T488" i="7"/>
  <c r="S399" i="7"/>
  <c r="T399" i="7"/>
  <c r="S378" i="7"/>
  <c r="R583" i="7"/>
  <c r="Q575" i="7"/>
  <c r="R567" i="7"/>
  <c r="Q559" i="7"/>
  <c r="R557" i="7"/>
  <c r="S556" i="7"/>
  <c r="Q555" i="7"/>
  <c r="R547" i="7"/>
  <c r="T542" i="7"/>
  <c r="U542" i="7"/>
  <c r="S540" i="7"/>
  <c r="Q539" i="7"/>
  <c r="R531" i="7"/>
  <c r="T526" i="7"/>
  <c r="U526" i="7"/>
  <c r="S524" i="7"/>
  <c r="Q523" i="7"/>
  <c r="R515" i="7"/>
  <c r="S510" i="7"/>
  <c r="Q505" i="7"/>
  <c r="S488" i="7"/>
  <c r="T485" i="7"/>
  <c r="Q484" i="7"/>
  <c r="S482" i="7"/>
  <c r="T465" i="7"/>
  <c r="S458" i="7"/>
  <c r="S398" i="7"/>
  <c r="S389" i="7"/>
  <c r="T389" i="7"/>
  <c r="U352" i="7"/>
  <c r="T352" i="7"/>
  <c r="U312" i="7"/>
  <c r="T312" i="7"/>
  <c r="T198" i="7"/>
  <c r="S198" i="7"/>
  <c r="U194" i="7"/>
  <c r="T194" i="7"/>
  <c r="U191" i="7"/>
  <c r="T191" i="7"/>
  <c r="T189" i="7"/>
  <c r="U189" i="7"/>
  <c r="R579" i="7"/>
  <c r="R563" i="7"/>
  <c r="R551" i="7"/>
  <c r="T546" i="7"/>
  <c r="U546" i="7"/>
  <c r="R535" i="7"/>
  <c r="T530" i="7"/>
  <c r="U530" i="7"/>
  <c r="R519" i="7"/>
  <c r="T514" i="7"/>
  <c r="U514" i="7"/>
  <c r="T507" i="7"/>
  <c r="U507" i="7"/>
  <c r="S431" i="7"/>
  <c r="T431" i="7"/>
  <c r="S405" i="7"/>
  <c r="T405" i="7"/>
  <c r="U308" i="7"/>
  <c r="T308" i="7"/>
  <c r="S261" i="7"/>
  <c r="R261" i="7"/>
  <c r="S230" i="7"/>
  <c r="T230" i="7"/>
  <c r="S220" i="7"/>
  <c r="T220" i="7"/>
  <c r="R569" i="7"/>
  <c r="Q553" i="7"/>
  <c r="R545" i="7"/>
  <c r="T540" i="7"/>
  <c r="U540" i="7"/>
  <c r="Q537" i="7"/>
  <c r="R529" i="7"/>
  <c r="T524" i="7"/>
  <c r="U524" i="7"/>
  <c r="Q521" i="7"/>
  <c r="R513" i="7"/>
  <c r="T499" i="7"/>
  <c r="U499" i="7"/>
  <c r="S486" i="7"/>
  <c r="S447" i="7"/>
  <c r="T447" i="7"/>
  <c r="S430" i="7"/>
  <c r="S421" i="7"/>
  <c r="T421" i="7"/>
  <c r="S394" i="7"/>
  <c r="R361" i="7"/>
  <c r="S361" i="7"/>
  <c r="U360" i="7"/>
  <c r="T360" i="7"/>
  <c r="R339" i="7"/>
  <c r="S339" i="7"/>
  <c r="T292" i="7"/>
  <c r="U292" i="7"/>
  <c r="S284" i="7"/>
  <c r="T284" i="7"/>
  <c r="S235" i="7"/>
  <c r="R235" i="7"/>
  <c r="Q583" i="7"/>
  <c r="R575" i="7"/>
  <c r="Q567" i="7"/>
  <c r="R559" i="7"/>
  <c r="Q557" i="7"/>
  <c r="R555" i="7"/>
  <c r="T550" i="7"/>
  <c r="U550" i="7"/>
  <c r="Q547" i="7"/>
  <c r="R539" i="7"/>
  <c r="T534" i="7"/>
  <c r="U534" i="7"/>
  <c r="Q531" i="7"/>
  <c r="R523" i="7"/>
  <c r="T518" i="7"/>
  <c r="U518" i="7"/>
  <c r="Q515" i="7"/>
  <c r="U512" i="7"/>
  <c r="T512" i="7"/>
  <c r="R505" i="7"/>
  <c r="T491" i="7"/>
  <c r="U491" i="7"/>
  <c r="S463" i="7"/>
  <c r="T463" i="7"/>
  <c r="T462" i="7"/>
  <c r="S446" i="7"/>
  <c r="S437" i="7"/>
  <c r="T437" i="7"/>
  <c r="T436" i="7"/>
  <c r="T366" i="7"/>
  <c r="Q333" i="7"/>
  <c r="Q323" i="7"/>
  <c r="T475" i="7"/>
  <c r="S472" i="7"/>
  <c r="T459" i="7"/>
  <c r="S456" i="7"/>
  <c r="T443" i="7"/>
  <c r="S440" i="7"/>
  <c r="T427" i="7"/>
  <c r="S424" i="7"/>
  <c r="T411" i="7"/>
  <c r="S408" i="7"/>
  <c r="T395" i="7"/>
  <c r="S392" i="7"/>
  <c r="T379" i="7"/>
  <c r="S376" i="7"/>
  <c r="T340" i="7"/>
  <c r="S334" i="7"/>
  <c r="R315" i="7"/>
  <c r="S315" i="7"/>
  <c r="U314" i="7"/>
  <c r="T314" i="7"/>
  <c r="S306" i="7"/>
  <c r="U293" i="7"/>
  <c r="T293" i="7"/>
  <c r="U291" i="7"/>
  <c r="T291" i="7"/>
  <c r="R148" i="7"/>
  <c r="S148" i="7"/>
  <c r="R116" i="7"/>
  <c r="S116" i="7"/>
  <c r="T93" i="7"/>
  <c r="U93" i="7"/>
  <c r="S85" i="7"/>
  <c r="R85" i="7"/>
  <c r="R51" i="7"/>
  <c r="S51" i="7"/>
  <c r="T43" i="7"/>
  <c r="U43" i="7"/>
  <c r="T42" i="7"/>
  <c r="U42" i="7"/>
  <c r="T41" i="7"/>
  <c r="U41" i="7"/>
  <c r="T476" i="7"/>
  <c r="S466" i="7"/>
  <c r="T460" i="7"/>
  <c r="S450" i="7"/>
  <c r="T444" i="7"/>
  <c r="S434" i="7"/>
  <c r="T428" i="7"/>
  <c r="S418" i="7"/>
  <c r="T412" i="7"/>
  <c r="S402" i="7"/>
  <c r="T396" i="7"/>
  <c r="S386" i="7"/>
  <c r="T380" i="7"/>
  <c r="S370" i="7"/>
  <c r="R368" i="7"/>
  <c r="Q355" i="7"/>
  <c r="S314" i="7"/>
  <c r="Q297" i="7"/>
  <c r="S255" i="7"/>
  <c r="R255" i="7"/>
  <c r="S245" i="7"/>
  <c r="R245" i="7"/>
  <c r="S236" i="7"/>
  <c r="T236" i="7"/>
  <c r="T150" i="7"/>
  <c r="U150" i="7"/>
  <c r="T149" i="7"/>
  <c r="U149" i="7"/>
  <c r="T117" i="7"/>
  <c r="U117" i="7"/>
  <c r="T102" i="7"/>
  <c r="U102" i="7"/>
  <c r="Q509" i="7"/>
  <c r="Q501" i="7"/>
  <c r="Q493" i="7"/>
  <c r="Q485" i="7"/>
  <c r="T480" i="7"/>
  <c r="U480" i="7"/>
  <c r="T470" i="7"/>
  <c r="T454" i="7"/>
  <c r="T438" i="7"/>
  <c r="T422" i="7"/>
  <c r="T406" i="7"/>
  <c r="T390" i="7"/>
  <c r="T374" i="7"/>
  <c r="T368" i="7"/>
  <c r="U368" i="7"/>
  <c r="T358" i="7"/>
  <c r="R331" i="7"/>
  <c r="S331" i="7"/>
  <c r="U330" i="7"/>
  <c r="T330" i="7"/>
  <c r="U320" i="7"/>
  <c r="T320" i="7"/>
  <c r="U301" i="7"/>
  <c r="T301" i="7"/>
  <c r="S268" i="7"/>
  <c r="T268" i="7"/>
  <c r="S256" i="7"/>
  <c r="T256" i="7"/>
  <c r="S243" i="7"/>
  <c r="R243" i="7"/>
  <c r="S211" i="7"/>
  <c r="R211" i="7"/>
  <c r="Q157" i="7"/>
  <c r="R128" i="7"/>
  <c r="S128" i="7"/>
  <c r="U68" i="7"/>
  <c r="T68" i="7"/>
  <c r="T54" i="7"/>
  <c r="U54" i="7"/>
  <c r="Q511" i="7"/>
  <c r="Q503" i="7"/>
  <c r="Q495" i="7"/>
  <c r="Q487" i="7"/>
  <c r="Q481" i="7"/>
  <c r="T474" i="7"/>
  <c r="S464" i="7"/>
  <c r="T458" i="7"/>
  <c r="S448" i="7"/>
  <c r="T442" i="7"/>
  <c r="S432" i="7"/>
  <c r="T426" i="7"/>
  <c r="T410" i="7"/>
  <c r="T394" i="7"/>
  <c r="T378" i="7"/>
  <c r="R347" i="7"/>
  <c r="S347" i="7"/>
  <c r="U346" i="7"/>
  <c r="T346" i="7"/>
  <c r="U336" i="7"/>
  <c r="T336" i="7"/>
  <c r="T298" i="7"/>
  <c r="U298" i="7"/>
  <c r="S219" i="7"/>
  <c r="R219" i="7"/>
  <c r="S212" i="7"/>
  <c r="T212" i="7"/>
  <c r="U207" i="7"/>
  <c r="T207" i="7"/>
  <c r="R172" i="7"/>
  <c r="S172" i="7"/>
  <c r="T162" i="7"/>
  <c r="U162" i="7"/>
  <c r="T161" i="7"/>
  <c r="U161" i="7"/>
  <c r="U139" i="7"/>
  <c r="T139" i="7"/>
  <c r="T138" i="7"/>
  <c r="U138" i="7"/>
  <c r="R124" i="7"/>
  <c r="S124" i="7"/>
  <c r="T112" i="7"/>
  <c r="U112" i="7"/>
  <c r="S360" i="7"/>
  <c r="S356" i="7"/>
  <c r="Q353" i="7"/>
  <c r="S340" i="7"/>
  <c r="Q337" i="7"/>
  <c r="S324" i="7"/>
  <c r="Q321" i="7"/>
  <c r="Q310" i="7"/>
  <c r="T306" i="7"/>
  <c r="U306" i="7"/>
  <c r="Q294" i="7"/>
  <c r="Q293" i="7"/>
  <c r="S272" i="7"/>
  <c r="T272" i="7"/>
  <c r="S246" i="7"/>
  <c r="T246" i="7"/>
  <c r="S228" i="7"/>
  <c r="S208" i="7"/>
  <c r="T208" i="7"/>
  <c r="Q187" i="7"/>
  <c r="R170" i="7"/>
  <c r="S170" i="7"/>
  <c r="R156" i="7"/>
  <c r="S156" i="7"/>
  <c r="R138" i="7"/>
  <c r="S138" i="7"/>
  <c r="T130" i="7"/>
  <c r="U130" i="7"/>
  <c r="T129" i="7"/>
  <c r="U129" i="7"/>
  <c r="T128" i="7"/>
  <c r="U128" i="7"/>
  <c r="U52" i="7"/>
  <c r="T52" i="7"/>
  <c r="T51" i="7"/>
  <c r="U51" i="7"/>
  <c r="R37" i="7"/>
  <c r="S37" i="7"/>
  <c r="U478" i="7"/>
  <c r="U476" i="7"/>
  <c r="U474" i="7"/>
  <c r="U472" i="7"/>
  <c r="U470" i="7"/>
  <c r="U468" i="7"/>
  <c r="U466" i="7"/>
  <c r="U464" i="7"/>
  <c r="U462" i="7"/>
  <c r="U460" i="7"/>
  <c r="U458" i="7"/>
  <c r="U456" i="7"/>
  <c r="U454" i="7"/>
  <c r="U452" i="7"/>
  <c r="U450" i="7"/>
  <c r="U448" i="7"/>
  <c r="U446" i="7"/>
  <c r="U444" i="7"/>
  <c r="U442" i="7"/>
  <c r="U440" i="7"/>
  <c r="U438" i="7"/>
  <c r="U436" i="7"/>
  <c r="U434" i="7"/>
  <c r="U432" i="7"/>
  <c r="U430" i="7"/>
  <c r="U428" i="7"/>
  <c r="U426" i="7"/>
  <c r="U424" i="7"/>
  <c r="U422" i="7"/>
  <c r="U420" i="7"/>
  <c r="U418" i="7"/>
  <c r="U416" i="7"/>
  <c r="U414" i="7"/>
  <c r="U412" i="7"/>
  <c r="U410" i="7"/>
  <c r="U408" i="7"/>
  <c r="U406" i="7"/>
  <c r="U404" i="7"/>
  <c r="U402" i="7"/>
  <c r="U400" i="7"/>
  <c r="U398" i="7"/>
  <c r="U396" i="7"/>
  <c r="U394" i="7"/>
  <c r="U392" i="7"/>
  <c r="U390" i="7"/>
  <c r="U388" i="7"/>
  <c r="U386" i="7"/>
  <c r="U384" i="7"/>
  <c r="U382" i="7"/>
  <c r="U380" i="7"/>
  <c r="U378" i="7"/>
  <c r="U376" i="7"/>
  <c r="U374" i="7"/>
  <c r="U372" i="7"/>
  <c r="U370" i="7"/>
  <c r="Q357" i="7"/>
  <c r="S353" i="7"/>
  <c r="S344" i="7"/>
  <c r="T342" i="7"/>
  <c r="Q341" i="7"/>
  <c r="S337" i="7"/>
  <c r="S328" i="7"/>
  <c r="T326" i="7"/>
  <c r="Q325" i="7"/>
  <c r="S321" i="7"/>
  <c r="S298" i="7"/>
  <c r="R296" i="7"/>
  <c r="S288" i="7"/>
  <c r="T288" i="7"/>
  <c r="S262" i="7"/>
  <c r="T262" i="7"/>
  <c r="R259" i="7"/>
  <c r="R250" i="7"/>
  <c r="S244" i="7"/>
  <c r="R239" i="7"/>
  <c r="S224" i="7"/>
  <c r="T224" i="7"/>
  <c r="T141" i="7"/>
  <c r="U141" i="7"/>
  <c r="U80" i="7"/>
  <c r="T80" i="7"/>
  <c r="T70" i="7"/>
  <c r="U70" i="7"/>
  <c r="R364" i="7"/>
  <c r="S362" i="7"/>
  <c r="S354" i="7"/>
  <c r="Q351" i="7"/>
  <c r="S338" i="7"/>
  <c r="Q335" i="7"/>
  <c r="S322" i="7"/>
  <c r="Q319" i="7"/>
  <c r="S311" i="7"/>
  <c r="S277" i="7"/>
  <c r="R277" i="7"/>
  <c r="S267" i="7"/>
  <c r="R267" i="7"/>
  <c r="S252" i="7"/>
  <c r="T252" i="7"/>
  <c r="S213" i="7"/>
  <c r="R213" i="7"/>
  <c r="S192" i="7"/>
  <c r="T192" i="7"/>
  <c r="Q147" i="7"/>
  <c r="T122" i="7"/>
  <c r="U122" i="7"/>
  <c r="R92" i="7"/>
  <c r="S92" i="7"/>
  <c r="R90" i="7"/>
  <c r="S90" i="7"/>
  <c r="S81" i="7"/>
  <c r="T81" i="7"/>
  <c r="T78" i="7"/>
  <c r="U78" i="7"/>
  <c r="T63" i="7"/>
  <c r="U63" i="7"/>
  <c r="T62" i="7"/>
  <c r="U62" i="7"/>
  <c r="Q345" i="7"/>
  <c r="Q329" i="7"/>
  <c r="Q313" i="7"/>
  <c r="T300" i="7"/>
  <c r="R294" i="7"/>
  <c r="S294" i="7"/>
  <c r="R292" i="7"/>
  <c r="S278" i="7"/>
  <c r="T278" i="7"/>
  <c r="R266" i="7"/>
  <c r="S240" i="7"/>
  <c r="T240" i="7"/>
  <c r="S214" i="7"/>
  <c r="T214" i="7"/>
  <c r="U202" i="7"/>
  <c r="T202" i="7"/>
  <c r="T134" i="7"/>
  <c r="U134" i="7"/>
  <c r="U91" i="7"/>
  <c r="T91" i="7"/>
  <c r="T90" i="7"/>
  <c r="U90" i="7"/>
  <c r="Q312" i="7"/>
  <c r="Q304" i="7"/>
  <c r="Q296" i="7"/>
  <c r="S282" i="7"/>
  <c r="S266" i="7"/>
  <c r="S250" i="7"/>
  <c r="S234" i="7"/>
  <c r="S218" i="7"/>
  <c r="S207" i="7"/>
  <c r="Q203" i="7"/>
  <c r="T182" i="7"/>
  <c r="U182" i="7"/>
  <c r="T170" i="7"/>
  <c r="U170" i="7"/>
  <c r="T160" i="7"/>
  <c r="U160" i="7"/>
  <c r="Q131" i="7"/>
  <c r="R122" i="7"/>
  <c r="S122" i="7"/>
  <c r="T114" i="7"/>
  <c r="U114" i="7"/>
  <c r="T113" i="7"/>
  <c r="U113" i="7"/>
  <c r="T6" i="7"/>
  <c r="R290" i="7"/>
  <c r="R289" i="7"/>
  <c r="S286" i="7"/>
  <c r="R274" i="7"/>
  <c r="R273" i="7"/>
  <c r="S270" i="7"/>
  <c r="R258" i="7"/>
  <c r="R257" i="7"/>
  <c r="S254" i="7"/>
  <c r="R242" i="7"/>
  <c r="R241" i="7"/>
  <c r="S238" i="7"/>
  <c r="R226" i="7"/>
  <c r="R225" i="7"/>
  <c r="S222" i="7"/>
  <c r="R210" i="7"/>
  <c r="R209" i="7"/>
  <c r="S200" i="7"/>
  <c r="S194" i="7"/>
  <c r="S176" i="7"/>
  <c r="S164" i="7"/>
  <c r="R154" i="7"/>
  <c r="S154" i="7"/>
  <c r="T146" i="7"/>
  <c r="U146" i="7"/>
  <c r="T145" i="7"/>
  <c r="U145" i="7"/>
  <c r="R108" i="7"/>
  <c r="S108" i="7"/>
  <c r="S87" i="7"/>
  <c r="T87" i="7"/>
  <c r="S75" i="7"/>
  <c r="T72" i="7"/>
  <c r="S29" i="7"/>
  <c r="T15" i="7"/>
  <c r="U15" i="7"/>
  <c r="T311" i="7"/>
  <c r="T303" i="7"/>
  <c r="T295" i="7"/>
  <c r="R284" i="7"/>
  <c r="S280" i="7"/>
  <c r="R268" i="7"/>
  <c r="S264" i="7"/>
  <c r="R252" i="7"/>
  <c r="S248" i="7"/>
  <c r="R236" i="7"/>
  <c r="S232" i="7"/>
  <c r="R220" i="7"/>
  <c r="S216" i="7"/>
  <c r="S199" i="7"/>
  <c r="Q195" i="7"/>
  <c r="T190" i="7"/>
  <c r="T186" i="7"/>
  <c r="U186" i="7"/>
  <c r="Q173" i="7"/>
  <c r="T166" i="7"/>
  <c r="U166" i="7"/>
  <c r="T154" i="7"/>
  <c r="U154" i="7"/>
  <c r="T144" i="7"/>
  <c r="U144" i="7"/>
  <c r="Q115" i="7"/>
  <c r="R106" i="7"/>
  <c r="S106" i="7"/>
  <c r="T98" i="7"/>
  <c r="U98" i="7"/>
  <c r="T97" i="7"/>
  <c r="U97" i="7"/>
  <c r="R73" i="7"/>
  <c r="S73" i="7"/>
  <c r="T57" i="7"/>
  <c r="U57" i="7"/>
  <c r="Q308" i="7"/>
  <c r="Q300" i="7"/>
  <c r="R278" i="7"/>
  <c r="R262" i="7"/>
  <c r="R246" i="7"/>
  <c r="R230" i="7"/>
  <c r="R214" i="7"/>
  <c r="Q206" i="7"/>
  <c r="T197" i="7"/>
  <c r="U197" i="7"/>
  <c r="T178" i="7"/>
  <c r="U178" i="7"/>
  <c r="T177" i="7"/>
  <c r="U177" i="7"/>
  <c r="R140" i="7"/>
  <c r="S140" i="7"/>
  <c r="Q125" i="7"/>
  <c r="T118" i="7"/>
  <c r="U118" i="7"/>
  <c r="T106" i="7"/>
  <c r="U106" i="7"/>
  <c r="T96" i="7"/>
  <c r="U96" i="7"/>
  <c r="Q76" i="7"/>
  <c r="T67" i="7"/>
  <c r="U67" i="7"/>
  <c r="T30" i="7"/>
  <c r="U30" i="7"/>
  <c r="T180" i="7"/>
  <c r="U180" i="7"/>
  <c r="T164" i="7"/>
  <c r="U164" i="7"/>
  <c r="T148" i="7"/>
  <c r="U148" i="7"/>
  <c r="T132" i="7"/>
  <c r="U132" i="7"/>
  <c r="T116" i="7"/>
  <c r="U116" i="7"/>
  <c r="T100" i="7"/>
  <c r="U100" i="7"/>
  <c r="S72" i="7"/>
  <c r="R48" i="7"/>
  <c r="R35" i="7"/>
  <c r="S35" i="7"/>
  <c r="T27" i="7"/>
  <c r="U27" i="7"/>
  <c r="T26" i="7"/>
  <c r="U26" i="7"/>
  <c r="T184" i="7"/>
  <c r="U184" i="7"/>
  <c r="T174" i="7"/>
  <c r="U174" i="7"/>
  <c r="T158" i="7"/>
  <c r="U158" i="7"/>
  <c r="T142" i="7"/>
  <c r="U142" i="7"/>
  <c r="T126" i="7"/>
  <c r="U126" i="7"/>
  <c r="T110" i="7"/>
  <c r="U110" i="7"/>
  <c r="T94" i="7"/>
  <c r="U94" i="7"/>
  <c r="U83" i="7"/>
  <c r="T83" i="7"/>
  <c r="R69" i="7"/>
  <c r="S69" i="7"/>
  <c r="Q54" i="7"/>
  <c r="T47" i="7"/>
  <c r="U47" i="7"/>
  <c r="T35" i="7"/>
  <c r="U35" i="7"/>
  <c r="T25" i="7"/>
  <c r="U25" i="7"/>
  <c r="U22" i="7"/>
  <c r="T20" i="7"/>
  <c r="Q207" i="7"/>
  <c r="Q199" i="7"/>
  <c r="Q191" i="7"/>
  <c r="S182" i="7"/>
  <c r="Q181" i="7"/>
  <c r="T168" i="7"/>
  <c r="U168" i="7"/>
  <c r="S166" i="7"/>
  <c r="Q165" i="7"/>
  <c r="T152" i="7"/>
  <c r="U152" i="7"/>
  <c r="S150" i="7"/>
  <c r="Q149" i="7"/>
  <c r="T136" i="7"/>
  <c r="U136" i="7"/>
  <c r="S134" i="7"/>
  <c r="Q133" i="7"/>
  <c r="T120" i="7"/>
  <c r="U120" i="7"/>
  <c r="S118" i="7"/>
  <c r="Q117" i="7"/>
  <c r="T104" i="7"/>
  <c r="U104" i="7"/>
  <c r="S102" i="7"/>
  <c r="Q101" i="7"/>
  <c r="T88" i="7"/>
  <c r="U88" i="7"/>
  <c r="S83" i="7"/>
  <c r="Q79" i="7"/>
  <c r="R67" i="7"/>
  <c r="S67" i="7"/>
  <c r="T59" i="7"/>
  <c r="U59" i="7"/>
  <c r="T58" i="7"/>
  <c r="U58" i="7"/>
  <c r="R21" i="7"/>
  <c r="S21" i="7"/>
  <c r="Q6" i="7"/>
  <c r="Q201" i="7"/>
  <c r="Q193" i="7"/>
  <c r="T172" i="7"/>
  <c r="U172" i="7"/>
  <c r="Q169" i="7"/>
  <c r="T156" i="7"/>
  <c r="U156" i="7"/>
  <c r="Q153" i="7"/>
  <c r="T140" i="7"/>
  <c r="U140" i="7"/>
  <c r="Q137" i="7"/>
  <c r="T124" i="7"/>
  <c r="U124" i="7"/>
  <c r="Q121" i="7"/>
  <c r="T108" i="7"/>
  <c r="U108" i="7"/>
  <c r="Q105" i="7"/>
  <c r="T92" i="7"/>
  <c r="U92" i="7"/>
  <c r="Q89" i="7"/>
  <c r="T86" i="7"/>
  <c r="U86" i="7"/>
  <c r="U75" i="7"/>
  <c r="T75" i="7"/>
  <c r="R53" i="7"/>
  <c r="S53" i="7"/>
  <c r="Q38" i="7"/>
  <c r="T31" i="7"/>
  <c r="U31" i="7"/>
  <c r="T19" i="7"/>
  <c r="U19" i="7"/>
  <c r="T9" i="7"/>
  <c r="U9" i="7"/>
  <c r="R66" i="7"/>
  <c r="T61" i="7"/>
  <c r="U61" i="7"/>
  <c r="R50" i="7"/>
  <c r="T45" i="7"/>
  <c r="U45" i="7"/>
  <c r="T29" i="7"/>
  <c r="U29" i="7"/>
  <c r="T13" i="7"/>
  <c r="U13" i="7"/>
  <c r="R60" i="7"/>
  <c r="T55" i="7"/>
  <c r="U55" i="7"/>
  <c r="R44" i="7"/>
  <c r="T39" i="7"/>
  <c r="U39" i="7"/>
  <c r="T23" i="7"/>
  <c r="U23" i="7"/>
  <c r="T7" i="7"/>
  <c r="Q80" i="7"/>
  <c r="R70" i="7"/>
  <c r="T65" i="7"/>
  <c r="U65" i="7"/>
  <c r="S63" i="7"/>
  <c r="Q62" i="7"/>
  <c r="R54" i="7"/>
  <c r="T49" i="7"/>
  <c r="U49" i="7"/>
  <c r="S47" i="7"/>
  <c r="Q46" i="7"/>
  <c r="R38" i="7"/>
  <c r="T33" i="7"/>
  <c r="U33" i="7"/>
  <c r="S31" i="7"/>
  <c r="Q30" i="7"/>
  <c r="T17" i="7"/>
  <c r="U17" i="7"/>
  <c r="S15" i="7"/>
  <c r="Q14" i="7"/>
  <c r="Q82" i="7"/>
  <c r="Q74" i="7"/>
  <c r="T69" i="7"/>
  <c r="U69" i="7"/>
  <c r="Q66" i="7"/>
  <c r="R58" i="7"/>
  <c r="T53" i="7"/>
  <c r="U53" i="7"/>
  <c r="Q50" i="7"/>
  <c r="R42" i="7"/>
  <c r="T37" i="7"/>
  <c r="U37" i="7"/>
  <c r="Q34" i="7"/>
  <c r="T21" i="7"/>
  <c r="U21" i="7"/>
  <c r="Q18" i="7"/>
  <c r="T5" i="7"/>
  <c r="U5" i="7"/>
  <c r="P2" i="7"/>
  <c r="O2" i="7"/>
  <c r="N2" i="7"/>
  <c r="M2" i="7"/>
  <c r="H2" i="7"/>
  <c r="G2" i="7"/>
  <c r="F2" i="7"/>
  <c r="E2" i="7"/>
  <c r="D2" i="7"/>
  <c r="U7" i="7" l="1"/>
  <c r="U6" i="7"/>
  <c r="H7" i="2"/>
  <c r="H8" i="2"/>
  <c r="H10" i="2"/>
  <c r="H11" i="2"/>
  <c r="H12" i="2"/>
  <c r="H13" i="2"/>
  <c r="H14" i="2"/>
  <c r="H15" i="2"/>
  <c r="H16" i="2"/>
  <c r="H17" i="2"/>
  <c r="H18" i="2"/>
  <c r="H19" i="2"/>
  <c r="H20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R2" i="7" l="1"/>
  <c r="S2" i="7"/>
  <c r="L2" i="7"/>
  <c r="K2" i="7"/>
  <c r="B6" i="6" s="1"/>
  <c r="J2" i="7"/>
  <c r="I2" i="7"/>
  <c r="B2" i="6" s="1"/>
  <c r="C2" i="7"/>
  <c r="Q2" i="7" s="1"/>
  <c r="B2" i="7"/>
  <c r="D14" i="6" l="1"/>
  <c r="A14" i="6"/>
  <c r="B4" i="6"/>
  <c r="C4" i="6"/>
  <c r="D4" i="6"/>
  <c r="E4" i="6"/>
  <c r="J4" i="6"/>
  <c r="I4" i="6"/>
  <c r="H4" i="6"/>
  <c r="G4" i="6"/>
  <c r="G2" i="6"/>
  <c r="B8" i="6"/>
  <c r="C18" i="6"/>
  <c r="A18" i="6"/>
  <c r="C8" i="6"/>
  <c r="D8" i="6"/>
  <c r="E8" i="6"/>
  <c r="B13" i="6"/>
  <c r="A13" i="6"/>
  <c r="B18" i="6"/>
  <c r="D18" i="6"/>
  <c r="B14" i="6"/>
  <c r="C14" i="6"/>
  <c r="D13" i="6"/>
  <c r="C13" i="6"/>
  <c r="T2" i="7"/>
  <c r="A19" i="6" l="1"/>
  <c r="U2" i="7"/>
  <c r="D19" i="6"/>
  <c r="C19" i="6"/>
  <c r="B19" i="6"/>
  <c r="H6" i="2"/>
  <c r="F6" i="2"/>
  <c r="A23" i="6" l="1"/>
  <c r="B23" i="6"/>
  <c r="D23" i="6"/>
  <c r="C23" i="6"/>
  <c r="C6" i="2"/>
  <c r="D6" i="2"/>
  <c r="E6" i="2"/>
  <c r="B2" i="4" l="1"/>
</calcChain>
</file>

<file path=xl/sharedStrings.xml><?xml version="1.0" encoding="utf-8"?>
<sst xmlns="http://schemas.openxmlformats.org/spreadsheetml/2006/main" count="160" uniqueCount="74">
  <si>
    <t>COE</t>
  </si>
  <si>
    <t>N°</t>
  </si>
  <si>
    <t>Name</t>
  </si>
  <si>
    <t>Créé par</t>
  </si>
  <si>
    <t>Date de création</t>
  </si>
  <si>
    <t>Date Start workflow</t>
  </si>
  <si>
    <t>Statut ECN</t>
  </si>
  <si>
    <t>ECO Status</t>
  </si>
  <si>
    <t>ECO next Step</t>
  </si>
  <si>
    <t>BASE SQL</t>
  </si>
  <si>
    <t>REQUETE SQL</t>
  </si>
  <si>
    <t>ECN NUMBER</t>
  </si>
  <si>
    <t>ECN_NUMBER</t>
  </si>
  <si>
    <t>ECN_NAME</t>
  </si>
  <si>
    <t>ECN_DESCRIPTION</t>
  </si>
  <si>
    <t>ECN_STATE</t>
  </si>
  <si>
    <t>ECN_CREATED_ON</t>
  </si>
  <si>
    <t>DESIGNER_START_APP_DATE</t>
  </si>
  <si>
    <t>FIRST_APPROVAL_DATE</t>
  </si>
  <si>
    <t>QUAL_CHECK_APPROVAL_DATE</t>
  </si>
  <si>
    <t>CAIII_APPROVAL_DATE</t>
  </si>
  <si>
    <t>CAIII_NAME</t>
  </si>
  <si>
    <t>PDM_PRODUCT</t>
  </si>
  <si>
    <t>PDM_CONTEXT</t>
  </si>
  <si>
    <t>NB_PART</t>
  </si>
  <si>
    <t>NB_EPM_DOC</t>
  </si>
  <si>
    <t>NB_DRW</t>
  </si>
  <si>
    <t>NB_WT_DOC</t>
  </si>
  <si>
    <t>PDM_ECN_ID</t>
  </si>
  <si>
    <t>ECO_CREATED_ON</t>
  </si>
  <si>
    <t>FIELD</t>
  </si>
  <si>
    <t>ECO_WF_STARTED_ON</t>
  </si>
  <si>
    <t>ECO_CLOSED_ON</t>
  </si>
  <si>
    <t>ECO_EFFECTIVITY_DATE</t>
  </si>
  <si>
    <t>ECO_STATUS</t>
  </si>
  <si>
    <t>ECN_CREATED_BY</t>
  </si>
  <si>
    <t>PDM_UPDATE_STATUS</t>
  </si>
  <si>
    <t>SAP_UPDATE_STATUS</t>
  </si>
  <si>
    <t>ECN/ECO</t>
  </si>
  <si>
    <t>FILED TYPE</t>
  </si>
  <si>
    <t>STRING</t>
  </si>
  <si>
    <t>DATE</t>
  </si>
  <si>
    <t>INTEGER</t>
  </si>
  <si>
    <t>DESIGNER_START_APP_DATE_OR_NOX</t>
  </si>
  <si>
    <t>DESIGN_TIME</t>
  </si>
  <si>
    <t>PDM_APPROVAL_TIME</t>
  </si>
  <si>
    <t>DATA_ENTRY_TIME</t>
  </si>
  <si>
    <t>ECO_PROCESS_TIME</t>
  </si>
  <si>
    <t>Max</t>
  </si>
  <si>
    <t xml:space="preserve">Min </t>
  </si>
  <si>
    <t>Average</t>
  </si>
  <si>
    <t>Total</t>
  </si>
  <si>
    <t>ECN Process Time</t>
  </si>
  <si>
    <t>Max (Day)</t>
  </si>
  <si>
    <t>Min (Day)</t>
  </si>
  <si>
    <t>Average (Day)</t>
  </si>
  <si>
    <t>ECO Process Time</t>
  </si>
  <si>
    <t>COMPLETE_TIME</t>
  </si>
  <si>
    <t>ECN/ECO Complete Process Time</t>
  </si>
  <si>
    <t>Provider=SQLOLEDB;Data Source=172.30.53.146;Initial Catalog=CREOTools; User ID=CREOToolsROnly;Password=McgCreo2016;</t>
  </si>
  <si>
    <t>Actions</t>
  </si>
  <si>
    <t>ECO Project</t>
  </si>
  <si>
    <t>ECN Notes</t>
  </si>
  <si>
    <t>ECO_PROJECT</t>
  </si>
  <si>
    <t>ECO_CATEG</t>
  </si>
  <si>
    <t>ECO_SUB_LINE</t>
  </si>
  <si>
    <t>ECO_TMLPSE_WI_CLOSE</t>
  </si>
  <si>
    <t>Step ECN Approval</t>
  </si>
  <si>
    <t>ECO time resolution (days)</t>
  </si>
  <si>
    <t>ECO_NEXT_STEP</t>
  </si>
  <si>
    <t>B-007323</t>
  </si>
  <si>
    <t>Commande indirecte</t>
  </si>
  <si>
    <t>Nb Part</t>
  </si>
  <si>
    <t>Nb Drw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</si>
</sst>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[$€-40C]\ ;\-#,##0.00\ [$€-40C]\ ;&quot; -&quot;#\ [$€-40C]\ ;@\ "/>
    <numFmt numFmtId="165" formatCode="_-* #,##0\ [$€-40C]_-;\-* #,##0\ [$€-40C]_-;_-* &quot;-&quot;??\ [$€-40C]_-;_-@_-"/>
  </numFmts>
  <fonts count="4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0"/>
      <color indexed="8"/>
      <name val="Arial"/>
      <family val="2"/>
    </font>
    <font>
      <b/>
      <sz val="12"/>
      <color theme="1"/>
      <name val="Calibri"/>
      <family val="2"/>
      <scheme val="minor"/>
    </font>
    <font>
      <u/>
      <sz val="10"/>
      <color indexed="12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10"/>
      <color theme="1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u/>
      <sz val="10"/>
      <color theme="10"/>
      <name val="Arial"/>
      <family val="2"/>
    </font>
    <font>
      <sz val="10"/>
      <color rgb="FF000000"/>
      <name val="Arial"/>
      <family val="2"/>
    </font>
    <font>
      <b/>
      <sz val="1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58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8" borderId="8" applyNumberFormat="0" applyFont="0" applyAlignment="0" applyProtection="0"/>
    <xf numFmtId="0" fontId="20" fillId="8" borderId="8" applyNumberFormat="0" applyFont="0" applyAlignment="0" applyProtection="0"/>
    <xf numFmtId="0" fontId="19" fillId="0" borderId="0" applyNumberFormat="0" applyFill="0" applyBorder="0" applyAlignment="0" applyProtection="0"/>
    <xf numFmtId="0" fontId="21" fillId="0" borderId="0"/>
    <xf numFmtId="0" fontId="1" fillId="0" borderId="0"/>
    <xf numFmtId="0" fontId="22" fillId="0" borderId="0"/>
    <xf numFmtId="0" fontId="37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37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37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37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37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37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37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37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37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37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37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37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37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37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37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37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37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37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37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37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37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37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37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37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40" fillId="12" borderId="0" applyNumberFormat="0" applyBorder="0" applyAlignment="0" applyProtection="0"/>
    <xf numFmtId="0" fontId="40" fillId="16" borderId="0" applyNumberFormat="0" applyBorder="0" applyAlignment="0" applyProtection="0"/>
    <xf numFmtId="0" fontId="40" fillId="20" borderId="0" applyNumberFormat="0" applyBorder="0" applyAlignment="0" applyProtection="0"/>
    <xf numFmtId="0" fontId="40" fillId="24" borderId="0" applyNumberFormat="0" applyBorder="0" applyAlignment="0" applyProtection="0"/>
    <xf numFmtId="0" fontId="40" fillId="28" borderId="0" applyNumberFormat="0" applyBorder="0" applyAlignment="0" applyProtection="0"/>
    <xf numFmtId="0" fontId="40" fillId="32" borderId="0" applyNumberFormat="0" applyBorder="0" applyAlignment="0" applyProtection="0"/>
    <xf numFmtId="0" fontId="40" fillId="9" borderId="0" applyNumberFormat="0" applyBorder="0" applyAlignment="0" applyProtection="0"/>
    <xf numFmtId="0" fontId="40" fillId="13" borderId="0" applyNumberFormat="0" applyBorder="0" applyAlignment="0" applyProtection="0"/>
    <xf numFmtId="0" fontId="40" fillId="17" borderId="0" applyNumberFormat="0" applyBorder="0" applyAlignment="0" applyProtection="0"/>
    <xf numFmtId="0" fontId="40" fillId="21" borderId="0" applyNumberFormat="0" applyBorder="0" applyAlignment="0" applyProtection="0"/>
    <xf numFmtId="0" fontId="40" fillId="25" borderId="0" applyNumberFormat="0" applyBorder="0" applyAlignment="0" applyProtection="0"/>
    <xf numFmtId="0" fontId="40" fillId="29" borderId="0" applyNumberFormat="0" applyBorder="0" applyAlignment="0" applyProtection="0"/>
    <xf numFmtId="0" fontId="36" fillId="0" borderId="0" applyNumberFormat="0" applyFill="0" applyBorder="0" applyAlignment="0" applyProtection="0"/>
    <xf numFmtId="0" fontId="33" fillId="6" borderId="4" applyNumberFormat="0" applyAlignment="0" applyProtection="0"/>
    <xf numFmtId="0" fontId="34" fillId="0" borderId="6" applyNumberFormat="0" applyFill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20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7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7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1" fillId="5" borderId="4" applyNumberFormat="0" applyAlignment="0" applyProtection="0"/>
    <xf numFmtId="0" fontId="21" fillId="0" borderId="0"/>
    <xf numFmtId="164" fontId="20" fillId="0" borderId="0"/>
    <xf numFmtId="0" fontId="21" fillId="0" borderId="0"/>
    <xf numFmtId="0" fontId="29" fillId="3" borderId="0" applyNumberFormat="0" applyBorder="0" applyAlignment="0" applyProtection="0"/>
    <xf numFmtId="0" fontId="19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0" fontId="19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22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0" fontId="28" fillId="2" borderId="0" applyNumberFormat="0" applyBorder="0" applyAlignment="0" applyProtection="0"/>
    <xf numFmtId="0" fontId="32" fillId="6" borderId="5" applyNumberFormat="0" applyAlignment="0" applyProtection="0"/>
    <xf numFmtId="0" fontId="38" fillId="0" borderId="0" applyNumberFormat="0" applyFill="0" applyBorder="0" applyAlignment="0" applyProtection="0"/>
    <xf numFmtId="0" fontId="25" fillId="0" borderId="1" applyNumberFormat="0" applyFill="0" applyAlignment="0" applyProtection="0"/>
    <xf numFmtId="0" fontId="26" fillId="0" borderId="2" applyNumberFormat="0" applyFill="0" applyAlignment="0" applyProtection="0"/>
    <xf numFmtId="0" fontId="27" fillId="0" borderId="3" applyNumberFormat="0" applyFill="0" applyAlignment="0" applyProtection="0"/>
    <xf numFmtId="0" fontId="27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35" fillId="7" borderId="7" applyNumberFormat="0" applyAlignment="0" applyProtection="0"/>
    <xf numFmtId="0" fontId="42" fillId="0" borderId="0"/>
    <xf numFmtId="0" fontId="42" fillId="0" borderId="0"/>
    <xf numFmtId="0" fontId="21" fillId="0" borderId="0"/>
    <xf numFmtId="0" fontId="1" fillId="10" borderId="0"/>
    <xf numFmtId="0" fontId="37" fillId="10" borderId="0"/>
    <xf numFmtId="0" fontId="1" fillId="10" borderId="0"/>
    <xf numFmtId="0" fontId="1" fillId="10" borderId="0"/>
    <xf numFmtId="0" fontId="37" fillId="10" borderId="0"/>
    <xf numFmtId="0" fontId="1" fillId="10" borderId="0"/>
    <xf numFmtId="0" fontId="1" fillId="10" borderId="0"/>
    <xf numFmtId="0" fontId="1" fillId="10" borderId="0"/>
    <xf numFmtId="0" fontId="1" fillId="10" borderId="0"/>
    <xf numFmtId="0" fontId="1" fillId="10" borderId="0"/>
    <xf numFmtId="0" fontId="1" fillId="14" borderId="0"/>
    <xf numFmtId="0" fontId="37" fillId="14" borderId="0"/>
    <xf numFmtId="0" fontId="1" fillId="14" borderId="0"/>
    <xf numFmtId="0" fontId="1" fillId="14" borderId="0"/>
    <xf numFmtId="0" fontId="37" fillId="14" borderId="0"/>
    <xf numFmtId="0" fontId="1" fillId="14" borderId="0"/>
    <xf numFmtId="0" fontId="1" fillId="14" borderId="0"/>
    <xf numFmtId="0" fontId="1" fillId="14" borderId="0"/>
    <xf numFmtId="0" fontId="1" fillId="14" borderId="0"/>
    <xf numFmtId="0" fontId="1" fillId="14" borderId="0"/>
    <xf numFmtId="0" fontId="1" fillId="18" borderId="0"/>
    <xf numFmtId="0" fontId="37" fillId="18" borderId="0"/>
    <xf numFmtId="0" fontId="1" fillId="18" borderId="0"/>
    <xf numFmtId="0" fontId="1" fillId="18" borderId="0"/>
    <xf numFmtId="0" fontId="37" fillId="18" borderId="0"/>
    <xf numFmtId="0" fontId="1" fillId="18" borderId="0"/>
    <xf numFmtId="0" fontId="1" fillId="18" borderId="0"/>
    <xf numFmtId="0" fontId="1" fillId="18" borderId="0"/>
    <xf numFmtId="0" fontId="1" fillId="18" borderId="0"/>
    <xf numFmtId="0" fontId="1" fillId="18" borderId="0"/>
    <xf numFmtId="0" fontId="1" fillId="22" borderId="0"/>
    <xf numFmtId="0" fontId="37" fillId="22" borderId="0"/>
    <xf numFmtId="0" fontId="1" fillId="22" borderId="0"/>
    <xf numFmtId="0" fontId="1" fillId="22" borderId="0"/>
    <xf numFmtId="0" fontId="37" fillId="22" borderId="0"/>
    <xf numFmtId="0" fontId="1" fillId="22" borderId="0"/>
    <xf numFmtId="0" fontId="1" fillId="22" borderId="0"/>
    <xf numFmtId="0" fontId="1" fillId="22" borderId="0"/>
    <xf numFmtId="0" fontId="1" fillId="22" borderId="0"/>
    <xf numFmtId="0" fontId="1" fillId="22" borderId="0"/>
    <xf numFmtId="0" fontId="1" fillId="26" borderId="0"/>
    <xf numFmtId="0" fontId="37" fillId="26" borderId="0"/>
    <xf numFmtId="0" fontId="1" fillId="26" borderId="0"/>
    <xf numFmtId="0" fontId="1" fillId="26" borderId="0"/>
    <xf numFmtId="0" fontId="37" fillId="26" borderId="0"/>
    <xf numFmtId="0" fontId="1" fillId="26" borderId="0"/>
    <xf numFmtId="0" fontId="1" fillId="26" borderId="0"/>
    <xf numFmtId="0" fontId="1" fillId="26" borderId="0"/>
    <xf numFmtId="0" fontId="1" fillId="26" borderId="0"/>
    <xf numFmtId="0" fontId="1" fillId="26" borderId="0"/>
    <xf numFmtId="0" fontId="1" fillId="30" borderId="0"/>
    <xf numFmtId="0" fontId="37" fillId="30" borderId="0"/>
    <xf numFmtId="0" fontId="1" fillId="30" borderId="0"/>
    <xf numFmtId="0" fontId="1" fillId="30" borderId="0"/>
    <xf numFmtId="0" fontId="37" fillId="30" borderId="0"/>
    <xf numFmtId="0" fontId="1" fillId="30" borderId="0"/>
    <xf numFmtId="0" fontId="1" fillId="30" borderId="0"/>
    <xf numFmtId="0" fontId="1" fillId="30" borderId="0"/>
    <xf numFmtId="0" fontId="1" fillId="30" borderId="0"/>
    <xf numFmtId="0" fontId="1" fillId="30" borderId="0"/>
    <xf numFmtId="0" fontId="1" fillId="11" borderId="0"/>
    <xf numFmtId="0" fontId="37" fillId="11" borderId="0"/>
    <xf numFmtId="0" fontId="1" fillId="11" borderId="0"/>
    <xf numFmtId="0" fontId="1" fillId="11" borderId="0"/>
    <xf numFmtId="0" fontId="37" fillId="11" borderId="0"/>
    <xf numFmtId="0" fontId="1" fillId="11" borderId="0"/>
    <xf numFmtId="0" fontId="1" fillId="11" borderId="0"/>
    <xf numFmtId="0" fontId="1" fillId="11" borderId="0"/>
    <xf numFmtId="0" fontId="1" fillId="11" borderId="0"/>
    <xf numFmtId="0" fontId="1" fillId="11" borderId="0"/>
    <xf numFmtId="0" fontId="1" fillId="15" borderId="0"/>
    <xf numFmtId="0" fontId="37" fillId="15" borderId="0"/>
    <xf numFmtId="0" fontId="1" fillId="15" borderId="0"/>
    <xf numFmtId="0" fontId="1" fillId="15" borderId="0"/>
    <xf numFmtId="0" fontId="37" fillId="15" borderId="0"/>
    <xf numFmtId="0" fontId="1" fillId="15" borderId="0"/>
    <xf numFmtId="0" fontId="1" fillId="15" borderId="0"/>
    <xf numFmtId="0" fontId="1" fillId="15" borderId="0"/>
    <xf numFmtId="0" fontId="1" fillId="15" borderId="0"/>
    <xf numFmtId="0" fontId="1" fillId="15" borderId="0"/>
    <xf numFmtId="0" fontId="1" fillId="19" borderId="0"/>
    <xf numFmtId="0" fontId="37" fillId="19" borderId="0"/>
    <xf numFmtId="0" fontId="1" fillId="19" borderId="0"/>
    <xf numFmtId="0" fontId="1" fillId="19" borderId="0"/>
    <xf numFmtId="0" fontId="37" fillId="19" borderId="0"/>
    <xf numFmtId="0" fontId="1" fillId="19" borderId="0"/>
    <xf numFmtId="0" fontId="1" fillId="19" borderId="0"/>
    <xf numFmtId="0" fontId="1" fillId="19" borderId="0"/>
    <xf numFmtId="0" fontId="1" fillId="19" borderId="0"/>
    <xf numFmtId="0" fontId="1" fillId="19" borderId="0"/>
    <xf numFmtId="0" fontId="1" fillId="23" borderId="0"/>
    <xf numFmtId="0" fontId="37" fillId="23" borderId="0"/>
    <xf numFmtId="0" fontId="1" fillId="23" borderId="0"/>
    <xf numFmtId="0" fontId="1" fillId="23" borderId="0"/>
    <xf numFmtId="0" fontId="37" fillId="23" borderId="0"/>
    <xf numFmtId="0" fontId="1" fillId="23" borderId="0"/>
    <xf numFmtId="0" fontId="1" fillId="23" borderId="0"/>
    <xf numFmtId="0" fontId="1" fillId="23" borderId="0"/>
    <xf numFmtId="0" fontId="1" fillId="23" borderId="0"/>
    <xf numFmtId="0" fontId="1" fillId="23" borderId="0"/>
    <xf numFmtId="0" fontId="1" fillId="27" borderId="0"/>
    <xf numFmtId="0" fontId="37" fillId="27" borderId="0"/>
    <xf numFmtId="0" fontId="1" fillId="27" borderId="0"/>
    <xf numFmtId="0" fontId="1" fillId="27" borderId="0"/>
    <xf numFmtId="0" fontId="37" fillId="27" borderId="0"/>
    <xf numFmtId="0" fontId="1" fillId="27" borderId="0"/>
    <xf numFmtId="0" fontId="1" fillId="27" borderId="0"/>
    <xf numFmtId="0" fontId="1" fillId="27" borderId="0"/>
    <xf numFmtId="0" fontId="1" fillId="27" borderId="0"/>
    <xf numFmtId="0" fontId="1" fillId="27" borderId="0"/>
    <xf numFmtId="0" fontId="1" fillId="31" borderId="0"/>
    <xf numFmtId="0" fontId="37" fillId="31" borderId="0"/>
    <xf numFmtId="0" fontId="1" fillId="31" borderId="0"/>
    <xf numFmtId="0" fontId="1" fillId="31" borderId="0"/>
    <xf numFmtId="0" fontId="37" fillId="31" borderId="0"/>
    <xf numFmtId="0" fontId="1" fillId="31" borderId="0"/>
    <xf numFmtId="0" fontId="1" fillId="31" borderId="0"/>
    <xf numFmtId="0" fontId="1" fillId="31" borderId="0"/>
    <xf numFmtId="0" fontId="1" fillId="31" borderId="0"/>
    <xf numFmtId="0" fontId="1" fillId="31" borderId="0"/>
    <xf numFmtId="0" fontId="17" fillId="12" borderId="0"/>
    <xf numFmtId="0" fontId="40" fillId="12" borderId="0"/>
    <xf numFmtId="0" fontId="17" fillId="16" borderId="0"/>
    <xf numFmtId="0" fontId="40" fillId="16" borderId="0"/>
    <xf numFmtId="0" fontId="17" fillId="20" borderId="0"/>
    <xf numFmtId="0" fontId="40" fillId="20" borderId="0"/>
    <xf numFmtId="0" fontId="17" fillId="24" borderId="0"/>
    <xf numFmtId="0" fontId="40" fillId="24" borderId="0"/>
    <xf numFmtId="0" fontId="17" fillId="28" borderId="0"/>
    <xf numFmtId="0" fontId="40" fillId="28" borderId="0"/>
    <xf numFmtId="0" fontId="17" fillId="32" borderId="0"/>
    <xf numFmtId="0" fontId="40" fillId="32" borderId="0"/>
    <xf numFmtId="0" fontId="17" fillId="9" borderId="0"/>
    <xf numFmtId="0" fontId="40" fillId="9" borderId="0"/>
    <xf numFmtId="0" fontId="17" fillId="13" borderId="0"/>
    <xf numFmtId="0" fontId="40" fillId="13" borderId="0"/>
    <xf numFmtId="0" fontId="17" fillId="17" borderId="0"/>
    <xf numFmtId="0" fontId="40" fillId="17" borderId="0"/>
    <xf numFmtId="0" fontId="17" fillId="21" borderId="0"/>
    <xf numFmtId="0" fontId="40" fillId="21" borderId="0"/>
    <xf numFmtId="0" fontId="17" fillId="25" borderId="0"/>
    <xf numFmtId="0" fontId="40" fillId="25" borderId="0"/>
    <xf numFmtId="0" fontId="17" fillId="29" borderId="0"/>
    <xf numFmtId="0" fontId="40" fillId="29" borderId="0"/>
    <xf numFmtId="0" fontId="14" fillId="0" borderId="0"/>
    <xf numFmtId="0" fontId="36" fillId="0" borderId="0"/>
    <xf numFmtId="0" fontId="11" fillId="6" borderId="4"/>
    <xf numFmtId="0" fontId="33" fillId="6" borderId="4"/>
    <xf numFmtId="0" fontId="12" fillId="0" borderId="6"/>
    <xf numFmtId="0" fontId="34" fillId="0" borderId="6"/>
    <xf numFmtId="0" fontId="1" fillId="8" borderId="8"/>
    <xf numFmtId="0" fontId="1" fillId="8" borderId="8"/>
    <xf numFmtId="0" fontId="20" fillId="8" borderId="8"/>
    <xf numFmtId="0" fontId="1" fillId="8" borderId="8"/>
    <xf numFmtId="0" fontId="1" fillId="8" borderId="8"/>
    <xf numFmtId="0" fontId="1" fillId="8" borderId="8"/>
    <xf numFmtId="0" fontId="1" fillId="8" borderId="8"/>
    <xf numFmtId="0" fontId="1" fillId="8" borderId="8"/>
    <xf numFmtId="0" fontId="1" fillId="8" borderId="8"/>
    <xf numFmtId="0" fontId="1" fillId="8" borderId="8"/>
    <xf numFmtId="0" fontId="1" fillId="8" borderId="8"/>
    <xf numFmtId="0" fontId="1" fillId="8" borderId="8"/>
    <xf numFmtId="0" fontId="1" fillId="8" borderId="8"/>
    <xf numFmtId="0" fontId="1" fillId="8" borderId="8"/>
    <xf numFmtId="0" fontId="20" fillId="8" borderId="8"/>
    <xf numFmtId="0" fontId="1" fillId="8" borderId="8"/>
    <xf numFmtId="0" fontId="1" fillId="8" borderId="8"/>
    <xf numFmtId="0" fontId="1" fillId="8" borderId="8"/>
    <xf numFmtId="0" fontId="1" fillId="8" borderId="8"/>
    <xf numFmtId="0" fontId="37" fillId="8" borderId="8"/>
    <xf numFmtId="0" fontId="1" fillId="8" borderId="8"/>
    <xf numFmtId="0" fontId="1" fillId="8" borderId="8"/>
    <xf numFmtId="0" fontId="37" fillId="8" borderId="8"/>
    <xf numFmtId="0" fontId="1" fillId="8" borderId="8"/>
    <xf numFmtId="0" fontId="1" fillId="8" borderId="8"/>
    <xf numFmtId="0" fontId="1" fillId="8" borderId="8"/>
    <xf numFmtId="0" fontId="1" fillId="8" borderId="8"/>
    <xf numFmtId="0" fontId="1" fillId="8" borderId="8"/>
    <xf numFmtId="0" fontId="1" fillId="8" borderId="8"/>
    <xf numFmtId="0" fontId="1" fillId="8" borderId="8"/>
    <xf numFmtId="0" fontId="9" fillId="5" borderId="4"/>
    <xf numFmtId="0" fontId="31" fillId="5" borderId="4"/>
    <xf numFmtId="0" fontId="7" fillId="3" borderId="0"/>
    <xf numFmtId="0" fontId="29" fillId="3" borderId="0"/>
    <xf numFmtId="0" fontId="19" fillId="0" borderId="0"/>
    <xf numFmtId="0" fontId="19" fillId="0" borderId="0"/>
    <xf numFmtId="0" fontId="24" fillId="0" borderId="0">
      <alignment vertical="top"/>
      <protection locked="0"/>
    </xf>
    <xf numFmtId="0" fontId="19" fillId="0" borderId="0"/>
    <xf numFmtId="0" fontId="41" fillId="0" borderId="0"/>
    <xf numFmtId="0" fontId="8" fillId="4" borderId="0"/>
    <xf numFmtId="0" fontId="30" fillId="4" borderId="0"/>
    <xf numFmtId="0" fontId="6" fillId="2" borderId="0"/>
    <xf numFmtId="0" fontId="28" fillId="2" borderId="0"/>
    <xf numFmtId="0" fontId="10" fillId="6" borderId="5"/>
    <xf numFmtId="0" fontId="32" fillId="6" borderId="5"/>
    <xf numFmtId="0" fontId="15" fillId="0" borderId="0"/>
    <xf numFmtId="0" fontId="38" fillId="0" borderId="0"/>
    <xf numFmtId="0" fontId="2" fillId="0" borderId="0"/>
    <xf numFmtId="0" fontId="3" fillId="0" borderId="1"/>
    <xf numFmtId="0" fontId="25" fillId="0" borderId="1"/>
    <xf numFmtId="0" fontId="4" fillId="0" borderId="2"/>
    <xf numFmtId="0" fontId="26" fillId="0" borderId="2"/>
    <xf numFmtId="0" fontId="5" fillId="0" borderId="3"/>
    <xf numFmtId="0" fontId="27" fillId="0" borderId="3"/>
    <xf numFmtId="0" fontId="5" fillId="0" borderId="0"/>
    <xf numFmtId="0" fontId="27" fillId="0" borderId="0"/>
    <xf numFmtId="0" fontId="16" fillId="0" borderId="9"/>
    <xf numFmtId="0" fontId="39" fillId="0" borderId="9"/>
    <xf numFmtId="0" fontId="13" fillId="7" borderId="7"/>
    <xf numFmtId="0" fontId="35" fillId="7" borderId="7"/>
  </cellStyleXfs>
  <cellXfs count="60">
    <xf numFmtId="0" fontId="0" fillId="0" borderId="0" xfId="0"/>
    <xf numFmtId="0" fontId="17" fillId="33" borderId="12" xfId="0" applyFont="1" applyFill="1" applyBorder="1" applyAlignment="1">
      <alignment horizontal="center" vertical="center"/>
    </xf>
    <xf numFmtId="0" fontId="16" fillId="35" borderId="12" xfId="0" applyFont="1" applyFill="1" applyBorder="1" applyAlignment="1">
      <alignment horizontal="center"/>
    </xf>
    <xf numFmtId="49" fontId="18" fillId="33" borderId="0" xfId="0" applyNumberFormat="1" applyFont="1" applyFill="1"/>
    <xf numFmtId="0" fontId="0" fillId="0" borderId="0" xfId="0"/>
    <xf numFmtId="0" fontId="16" fillId="35" borderId="12" xfId="0" applyFont="1" applyFill="1" applyBorder="1"/>
    <xf numFmtId="0" fontId="0" fillId="0" borderId="12" xfId="0" applyBorder="1"/>
    <xf numFmtId="49" fontId="18" fillId="33" borderId="0" xfId="0" applyNumberFormat="1" applyFont="1" applyFill="1" applyAlignment="1">
      <alignment wrapText="1"/>
    </xf>
    <xf numFmtId="1" fontId="18" fillId="33" borderId="0" xfId="0" applyNumberFormat="1" applyFont="1" applyFill="1"/>
    <xf numFmtId="14" fontId="0" fillId="0" borderId="0" xfId="0" applyNumberFormat="1"/>
    <xf numFmtId="2" fontId="0" fillId="0" borderId="0" xfId="0" applyNumberFormat="1"/>
    <xf numFmtId="14" fontId="16" fillId="35" borderId="12" xfId="0" applyNumberFormat="1" applyFont="1" applyFill="1" applyBorder="1"/>
    <xf numFmtId="2" fontId="16" fillId="35" borderId="12" xfId="0" applyNumberFormat="1" applyFont="1" applyFill="1" applyBorder="1"/>
    <xf numFmtId="0" fontId="16" fillId="37" borderId="0" xfId="0" applyFont="1" applyFill="1"/>
    <xf numFmtId="0" fontId="16" fillId="0" borderId="0" xfId="0" applyFont="1"/>
    <xf numFmtId="2" fontId="16" fillId="37" borderId="10" xfId="0" applyNumberFormat="1" applyFont="1" applyFill="1" applyBorder="1"/>
    <xf numFmtId="0" fontId="0" fillId="33" borderId="0" xfId="0" applyFill="1" applyAlignment="1">
      <alignment vertical="center"/>
    </xf>
    <xf numFmtId="0" fontId="16" fillId="33" borderId="12" xfId="0" applyFont="1" applyFill="1" applyBorder="1" applyAlignment="1">
      <alignment horizontal="center" vertical="center"/>
    </xf>
    <xf numFmtId="1" fontId="0" fillId="33" borderId="12" xfId="0" applyNumberFormat="1" applyFill="1" applyBorder="1" applyAlignment="1">
      <alignment horizontal="center" vertical="center"/>
    </xf>
    <xf numFmtId="0" fontId="23" fillId="37" borderId="12" xfId="0" applyFont="1" applyFill="1" applyBorder="1" applyAlignment="1">
      <alignment horizontal="right" vertical="center"/>
    </xf>
    <xf numFmtId="0" fontId="23" fillId="39" borderId="12" xfId="0" applyFont="1" applyFill="1" applyBorder="1" applyAlignment="1">
      <alignment horizontal="right" vertical="center"/>
    </xf>
    <xf numFmtId="0" fontId="23" fillId="38" borderId="12" xfId="0" applyFont="1" applyFill="1" applyBorder="1" applyAlignment="1">
      <alignment horizontal="right" vertical="center"/>
    </xf>
    <xf numFmtId="0" fontId="18" fillId="33" borderId="0" xfId="0" applyNumberFormat="1" applyFont="1" applyFill="1"/>
    <xf numFmtId="14" fontId="18" fillId="33" borderId="0" xfId="0" applyNumberFormat="1" applyFont="1" applyFill="1"/>
    <xf numFmtId="49" fontId="43" fillId="0" borderId="12" xfId="0" applyNumberFormat="1" applyFont="1" applyBorder="1"/>
    <xf numFmtId="14" fontId="43" fillId="0" borderId="12" xfId="0" applyNumberFormat="1" applyFont="1" applyBorder="1"/>
    <xf numFmtId="1" fontId="43" fillId="0" borderId="12" xfId="0" applyNumberFormat="1" applyFont="1" applyBorder="1"/>
    <xf numFmtId="0" fontId="43" fillId="0" borderId="12" xfId="0" applyNumberFormat="1" applyFont="1" applyBorder="1"/>
    <xf numFmtId="0" fontId="43" fillId="0" borderId="12" xfId="0" applyNumberFormat="1" applyFont="1" applyFill="1" applyBorder="1"/>
    <xf numFmtId="49" fontId="43" fillId="0" borderId="12" xfId="0" applyNumberFormat="1" applyFont="1" applyFill="1" applyBorder="1"/>
    <xf numFmtId="49" fontId="43" fillId="33" borderId="0" xfId="0" applyNumberFormat="1" applyFont="1" applyFill="1"/>
    <xf numFmtId="0" fontId="16" fillId="33" borderId="12" xfId="0" applyNumberFormat="1" applyFont="1" applyFill="1" applyBorder="1" applyAlignment="1">
      <alignment horizontal="center" vertical="center"/>
    </xf>
    <xf numFmtId="1" fontId="0" fillId="33" borderId="12" xfId="0" applyNumberFormat="1" applyFont="1" applyFill="1" applyBorder="1" applyAlignment="1">
      <alignment horizontal="center" vertical="center"/>
    </xf>
    <xf numFmtId="2" fontId="43" fillId="33" borderId="0" xfId="0" applyNumberFormat="1" applyFont="1" applyFill="1"/>
    <xf numFmtId="2" fontId="18" fillId="33" borderId="0" xfId="0" applyNumberFormat="1" applyFont="1" applyFill="1"/>
    <xf numFmtId="0" fontId="43" fillId="33" borderId="0" xfId="0" applyNumberFormat="1" applyFont="1" applyFill="1"/>
    <xf numFmtId="0" fontId="23" fillId="38" borderId="12" xfId="0" applyFont="1" applyFill="1" applyBorder="1" applyAlignment="1">
      <alignment horizontal="center" vertical="center"/>
    </xf>
    <xf numFmtId="0" fontId="23" fillId="40" borderId="12" xfId="0" applyNumberFormat="1" applyFont="1" applyFill="1" applyBorder="1" applyAlignment="1">
      <alignment horizontal="center" vertical="center"/>
    </xf>
    <xf numFmtId="0" fontId="23" fillId="35" borderId="12" xfId="0" applyFont="1" applyFill="1" applyBorder="1" applyAlignment="1">
      <alignment horizontal="center" vertical="center"/>
    </xf>
    <xf numFmtId="0" fontId="23" fillId="36" borderId="12" xfId="0" applyFont="1" applyFill="1" applyBorder="1" applyAlignment="1">
      <alignment horizontal="center" vertical="center"/>
    </xf>
    <xf numFmtId="0" fontId="23" fillId="37" borderId="12" xfId="0" applyFont="1" applyFill="1" applyBorder="1" applyAlignment="1">
      <alignment horizontal="center" vertical="center"/>
    </xf>
    <xf numFmtId="0" fontId="23" fillId="39" borderId="12" xfId="0" applyFont="1" applyFill="1" applyBorder="1" applyAlignment="1">
      <alignment horizontal="center" vertical="center"/>
    </xf>
    <xf numFmtId="0" fontId="44" fillId="34" borderId="0" xfId="0" applyFont="1" applyFill="1" applyAlignment="1">
      <alignment horizontal="left" vertical="center"/>
    </xf>
    <xf numFmtId="0" fontId="45" fillId="33" borderId="0" xfId="0" applyFont="1" applyFill="1" applyAlignment="1">
      <alignment vertical="center"/>
    </xf>
    <xf numFmtId="14" fontId="45" fillId="33" borderId="0" xfId="0" applyNumberFormat="1" applyFont="1" applyFill="1" applyAlignment="1">
      <alignment horizontal="center" vertical="center"/>
    </xf>
    <xf numFmtId="49" fontId="45" fillId="33" borderId="0" xfId="0" applyNumberFormat="1" applyFont="1" applyFill="1" applyAlignment="1">
      <alignment vertical="center"/>
    </xf>
    <xf numFmtId="0" fontId="45" fillId="33" borderId="0" xfId="0" applyNumberFormat="1" applyFont="1" applyFill="1" applyAlignment="1">
      <alignment vertical="center"/>
    </xf>
    <xf numFmtId="0" fontId="45" fillId="33" borderId="0" xfId="0" applyFont="1" applyFill="1" applyAlignment="1">
      <alignment horizontal="center" vertical="center"/>
    </xf>
    <xf numFmtId="0" fontId="46" fillId="0" borderId="11" xfId="0" applyFont="1" applyBorder="1" applyAlignment="1">
      <alignment horizontal="center" vertical="center" wrapText="1"/>
    </xf>
    <xf numFmtId="0" fontId="46" fillId="35" borderId="11" xfId="0" applyFont="1" applyFill="1" applyBorder="1" applyAlignment="1">
      <alignment horizontal="center" vertical="center" wrapText="1"/>
    </xf>
    <xf numFmtId="14" fontId="46" fillId="35" borderId="11" xfId="0" applyNumberFormat="1" applyFont="1" applyFill="1" applyBorder="1" applyAlignment="1">
      <alignment horizontal="center" vertical="center" wrapText="1"/>
    </xf>
    <xf numFmtId="49" fontId="46" fillId="35" borderId="11" xfId="0" applyNumberFormat="1" applyFont="1" applyFill="1" applyBorder="1" applyAlignment="1">
      <alignment horizontal="center" vertical="center" wrapText="1"/>
    </xf>
    <xf numFmtId="0" fontId="46" fillId="35" borderId="11" xfId="0" applyNumberFormat="1" applyFont="1" applyFill="1" applyBorder="1" applyAlignment="1">
      <alignment horizontal="center" vertical="center" wrapText="1"/>
    </xf>
    <xf numFmtId="0" fontId="46" fillId="37" borderId="11" xfId="0" applyFont="1" applyFill="1" applyBorder="1" applyAlignment="1">
      <alignment horizontal="center" vertical="center" wrapText="1"/>
    </xf>
    <xf numFmtId="0" fontId="47" fillId="0" borderId="11" xfId="0" applyFont="1" applyBorder="1" applyAlignment="1">
      <alignment horizontal="center" vertical="center" wrapText="1"/>
    </xf>
    <xf numFmtId="0" fontId="45" fillId="33" borderId="0" xfId="0" applyFont="1" applyFill="1" applyAlignment="1">
      <alignment vertical="center" wrapText="1"/>
    </xf>
    <xf numFmtId="0" fontId="48" fillId="34" borderId="10" xfId="0" applyFont="1" applyFill="1" applyBorder="1" applyAlignment="1">
      <alignment horizontal="left" vertical="center"/>
    </xf>
    <xf numFmtId="0" fontId="48" fillId="34" borderId="10" xfId="0" applyFont="1" applyFill="1" applyBorder="1" applyAlignment="1">
      <alignment horizontal="center" vertical="center"/>
    </xf>
    <xf numFmtId="0" fontId="48" fillId="34" borderId="10" xfId="0" applyFont="1" applyFill="1" applyBorder="1" applyAlignment="1">
      <alignment vertical="center"/>
    </xf>
    <xf numFmtId="0" fontId="45" fillId="33" borderId="0" xfId="0" applyNumberFormat="1" applyFont="1" applyFill="1" applyAlignment="1">
      <alignment horizontal="center" vertical="center"/>
    </xf>
  </cellXfs>
  <cellStyles count="458">
    <cellStyle name="20 % - Accent1" xfId="19" builtinId="30" customBuiltin="1"/>
    <cellStyle name="20 % - Accent1 2" xfId="48" xr:uid="{00000000-0005-0000-0000-000001000000}"/>
    <cellStyle name="20 % - Accent1 2 2" xfId="49" xr:uid="{00000000-0005-0000-0000-000002000000}"/>
    <cellStyle name="20 % - Accent1 2 2 2" xfId="50" xr:uid="{00000000-0005-0000-0000-000003000000}"/>
    <cellStyle name="20 % - Accent1 2 2 2 2" xfId="251" xr:uid="{00000000-0005-0000-0000-000004000000}"/>
    <cellStyle name="20 % - Accent1 2 2 3" xfId="250" xr:uid="{00000000-0005-0000-0000-000005000000}"/>
    <cellStyle name="20 % - Accent1 2 3" xfId="51" xr:uid="{00000000-0005-0000-0000-000006000000}"/>
    <cellStyle name="20 % - Accent1 2 3 2" xfId="252" xr:uid="{00000000-0005-0000-0000-000007000000}"/>
    <cellStyle name="20 % - Accent1 2 4" xfId="52" xr:uid="{00000000-0005-0000-0000-000008000000}"/>
    <cellStyle name="20 % - Accent1 2 4 2" xfId="253" xr:uid="{00000000-0005-0000-0000-000009000000}"/>
    <cellStyle name="20 % - Accent1 2 5" xfId="53" xr:uid="{00000000-0005-0000-0000-00000A000000}"/>
    <cellStyle name="20 % - Accent1 2 5 2" xfId="254" xr:uid="{00000000-0005-0000-0000-00000B000000}"/>
    <cellStyle name="20 % - Accent1 2 6" xfId="249" xr:uid="{00000000-0005-0000-0000-00000C000000}"/>
    <cellStyle name="20 % - Accent1 3" xfId="54" xr:uid="{00000000-0005-0000-0000-00000D000000}"/>
    <cellStyle name="20 % - Accent1 3 2" xfId="55" xr:uid="{00000000-0005-0000-0000-00000E000000}"/>
    <cellStyle name="20 % - Accent1 3 2 2" xfId="256" xr:uid="{00000000-0005-0000-0000-00000F000000}"/>
    <cellStyle name="20 % - Accent1 3 3" xfId="255" xr:uid="{00000000-0005-0000-0000-000010000000}"/>
    <cellStyle name="20 % - Accent1 4" xfId="56" xr:uid="{00000000-0005-0000-0000-000011000000}"/>
    <cellStyle name="20 % - Accent1 4 2" xfId="257" xr:uid="{00000000-0005-0000-0000-000012000000}"/>
    <cellStyle name="20 % - Accent1 5" xfId="248" xr:uid="{00000000-0005-0000-0000-000013000000}"/>
    <cellStyle name="20 % - Accent2" xfId="23" builtinId="34" customBuiltin="1"/>
    <cellStyle name="20 % - Accent2 2" xfId="57" xr:uid="{00000000-0005-0000-0000-000015000000}"/>
    <cellStyle name="20 % - Accent2 2 2" xfId="58" xr:uid="{00000000-0005-0000-0000-000016000000}"/>
    <cellStyle name="20 % - Accent2 2 2 2" xfId="59" xr:uid="{00000000-0005-0000-0000-000017000000}"/>
    <cellStyle name="20 % - Accent2 2 2 2 2" xfId="261" xr:uid="{00000000-0005-0000-0000-000018000000}"/>
    <cellStyle name="20 % - Accent2 2 2 3" xfId="260" xr:uid="{00000000-0005-0000-0000-000019000000}"/>
    <cellStyle name="20 % - Accent2 2 3" xfId="60" xr:uid="{00000000-0005-0000-0000-00001A000000}"/>
    <cellStyle name="20 % - Accent2 2 3 2" xfId="262" xr:uid="{00000000-0005-0000-0000-00001B000000}"/>
    <cellStyle name="20 % - Accent2 2 4" xfId="61" xr:uid="{00000000-0005-0000-0000-00001C000000}"/>
    <cellStyle name="20 % - Accent2 2 4 2" xfId="263" xr:uid="{00000000-0005-0000-0000-00001D000000}"/>
    <cellStyle name="20 % - Accent2 2 5" xfId="62" xr:uid="{00000000-0005-0000-0000-00001E000000}"/>
    <cellStyle name="20 % - Accent2 2 5 2" xfId="264" xr:uid="{00000000-0005-0000-0000-00001F000000}"/>
    <cellStyle name="20 % - Accent2 2 6" xfId="259" xr:uid="{00000000-0005-0000-0000-000020000000}"/>
    <cellStyle name="20 % - Accent2 3" xfId="63" xr:uid="{00000000-0005-0000-0000-000021000000}"/>
    <cellStyle name="20 % - Accent2 3 2" xfId="64" xr:uid="{00000000-0005-0000-0000-000022000000}"/>
    <cellStyle name="20 % - Accent2 3 2 2" xfId="266" xr:uid="{00000000-0005-0000-0000-000023000000}"/>
    <cellStyle name="20 % - Accent2 3 3" xfId="265" xr:uid="{00000000-0005-0000-0000-000024000000}"/>
    <cellStyle name="20 % - Accent2 4" xfId="65" xr:uid="{00000000-0005-0000-0000-000025000000}"/>
    <cellStyle name="20 % - Accent2 4 2" xfId="267" xr:uid="{00000000-0005-0000-0000-000026000000}"/>
    <cellStyle name="20 % - Accent2 5" xfId="258" xr:uid="{00000000-0005-0000-0000-000027000000}"/>
    <cellStyle name="20 % - Accent3" xfId="27" builtinId="38" customBuiltin="1"/>
    <cellStyle name="20 % - Accent3 2" xfId="66" xr:uid="{00000000-0005-0000-0000-000029000000}"/>
    <cellStyle name="20 % - Accent3 2 2" xfId="67" xr:uid="{00000000-0005-0000-0000-00002A000000}"/>
    <cellStyle name="20 % - Accent3 2 2 2" xfId="68" xr:uid="{00000000-0005-0000-0000-00002B000000}"/>
    <cellStyle name="20 % - Accent3 2 2 2 2" xfId="271" xr:uid="{00000000-0005-0000-0000-00002C000000}"/>
    <cellStyle name="20 % - Accent3 2 2 3" xfId="270" xr:uid="{00000000-0005-0000-0000-00002D000000}"/>
    <cellStyle name="20 % - Accent3 2 3" xfId="69" xr:uid="{00000000-0005-0000-0000-00002E000000}"/>
    <cellStyle name="20 % - Accent3 2 3 2" xfId="272" xr:uid="{00000000-0005-0000-0000-00002F000000}"/>
    <cellStyle name="20 % - Accent3 2 4" xfId="70" xr:uid="{00000000-0005-0000-0000-000030000000}"/>
    <cellStyle name="20 % - Accent3 2 4 2" xfId="273" xr:uid="{00000000-0005-0000-0000-000031000000}"/>
    <cellStyle name="20 % - Accent3 2 5" xfId="71" xr:uid="{00000000-0005-0000-0000-000032000000}"/>
    <cellStyle name="20 % - Accent3 2 5 2" xfId="274" xr:uid="{00000000-0005-0000-0000-000033000000}"/>
    <cellStyle name="20 % - Accent3 2 6" xfId="269" xr:uid="{00000000-0005-0000-0000-000034000000}"/>
    <cellStyle name="20 % - Accent3 3" xfId="72" xr:uid="{00000000-0005-0000-0000-000035000000}"/>
    <cellStyle name="20 % - Accent3 3 2" xfId="73" xr:uid="{00000000-0005-0000-0000-000036000000}"/>
    <cellStyle name="20 % - Accent3 3 2 2" xfId="276" xr:uid="{00000000-0005-0000-0000-000037000000}"/>
    <cellStyle name="20 % - Accent3 3 3" xfId="275" xr:uid="{00000000-0005-0000-0000-000038000000}"/>
    <cellStyle name="20 % - Accent3 4" xfId="74" xr:uid="{00000000-0005-0000-0000-000039000000}"/>
    <cellStyle name="20 % - Accent3 4 2" xfId="277" xr:uid="{00000000-0005-0000-0000-00003A000000}"/>
    <cellStyle name="20 % - Accent3 5" xfId="268" xr:uid="{00000000-0005-0000-0000-00003B000000}"/>
    <cellStyle name="20 % - Accent4" xfId="31" builtinId="42" customBuiltin="1"/>
    <cellStyle name="20 % - Accent4 2" xfId="75" xr:uid="{00000000-0005-0000-0000-00003D000000}"/>
    <cellStyle name="20 % - Accent4 2 2" xfId="76" xr:uid="{00000000-0005-0000-0000-00003E000000}"/>
    <cellStyle name="20 % - Accent4 2 2 2" xfId="77" xr:uid="{00000000-0005-0000-0000-00003F000000}"/>
    <cellStyle name="20 % - Accent4 2 2 2 2" xfId="281" xr:uid="{00000000-0005-0000-0000-000040000000}"/>
    <cellStyle name="20 % - Accent4 2 2 3" xfId="280" xr:uid="{00000000-0005-0000-0000-000041000000}"/>
    <cellStyle name="20 % - Accent4 2 3" xfId="78" xr:uid="{00000000-0005-0000-0000-000042000000}"/>
    <cellStyle name="20 % - Accent4 2 3 2" xfId="282" xr:uid="{00000000-0005-0000-0000-000043000000}"/>
    <cellStyle name="20 % - Accent4 2 4" xfId="79" xr:uid="{00000000-0005-0000-0000-000044000000}"/>
    <cellStyle name="20 % - Accent4 2 4 2" xfId="283" xr:uid="{00000000-0005-0000-0000-000045000000}"/>
    <cellStyle name="20 % - Accent4 2 5" xfId="80" xr:uid="{00000000-0005-0000-0000-000046000000}"/>
    <cellStyle name="20 % - Accent4 2 5 2" xfId="284" xr:uid="{00000000-0005-0000-0000-000047000000}"/>
    <cellStyle name="20 % - Accent4 2 6" xfId="279" xr:uid="{00000000-0005-0000-0000-000048000000}"/>
    <cellStyle name="20 % - Accent4 3" xfId="81" xr:uid="{00000000-0005-0000-0000-000049000000}"/>
    <cellStyle name="20 % - Accent4 3 2" xfId="82" xr:uid="{00000000-0005-0000-0000-00004A000000}"/>
    <cellStyle name="20 % - Accent4 3 2 2" xfId="286" xr:uid="{00000000-0005-0000-0000-00004B000000}"/>
    <cellStyle name="20 % - Accent4 3 3" xfId="285" xr:uid="{00000000-0005-0000-0000-00004C000000}"/>
    <cellStyle name="20 % - Accent4 4" xfId="83" xr:uid="{00000000-0005-0000-0000-00004D000000}"/>
    <cellStyle name="20 % - Accent4 4 2" xfId="287" xr:uid="{00000000-0005-0000-0000-00004E000000}"/>
    <cellStyle name="20 % - Accent4 5" xfId="278" xr:uid="{00000000-0005-0000-0000-00004F000000}"/>
    <cellStyle name="20 % - Accent5" xfId="35" builtinId="46" customBuiltin="1"/>
    <cellStyle name="20 % - Accent5 2" xfId="84" xr:uid="{00000000-0005-0000-0000-000051000000}"/>
    <cellStyle name="20 % - Accent5 2 2" xfId="85" xr:uid="{00000000-0005-0000-0000-000052000000}"/>
    <cellStyle name="20 % - Accent5 2 2 2" xfId="86" xr:uid="{00000000-0005-0000-0000-000053000000}"/>
    <cellStyle name="20 % - Accent5 2 2 2 2" xfId="291" xr:uid="{00000000-0005-0000-0000-000054000000}"/>
    <cellStyle name="20 % - Accent5 2 2 3" xfId="290" xr:uid="{00000000-0005-0000-0000-000055000000}"/>
    <cellStyle name="20 % - Accent5 2 3" xfId="87" xr:uid="{00000000-0005-0000-0000-000056000000}"/>
    <cellStyle name="20 % - Accent5 2 3 2" xfId="292" xr:uid="{00000000-0005-0000-0000-000057000000}"/>
    <cellStyle name="20 % - Accent5 2 4" xfId="88" xr:uid="{00000000-0005-0000-0000-000058000000}"/>
    <cellStyle name="20 % - Accent5 2 4 2" xfId="293" xr:uid="{00000000-0005-0000-0000-000059000000}"/>
    <cellStyle name="20 % - Accent5 2 5" xfId="89" xr:uid="{00000000-0005-0000-0000-00005A000000}"/>
    <cellStyle name="20 % - Accent5 2 5 2" xfId="294" xr:uid="{00000000-0005-0000-0000-00005B000000}"/>
    <cellStyle name="20 % - Accent5 2 6" xfId="289" xr:uid="{00000000-0005-0000-0000-00005C000000}"/>
    <cellStyle name="20 % - Accent5 3" xfId="90" xr:uid="{00000000-0005-0000-0000-00005D000000}"/>
    <cellStyle name="20 % - Accent5 3 2" xfId="91" xr:uid="{00000000-0005-0000-0000-00005E000000}"/>
    <cellStyle name="20 % - Accent5 3 2 2" xfId="296" xr:uid="{00000000-0005-0000-0000-00005F000000}"/>
    <cellStyle name="20 % - Accent5 3 3" xfId="295" xr:uid="{00000000-0005-0000-0000-000060000000}"/>
    <cellStyle name="20 % - Accent5 4" xfId="92" xr:uid="{00000000-0005-0000-0000-000061000000}"/>
    <cellStyle name="20 % - Accent5 4 2" xfId="297" xr:uid="{00000000-0005-0000-0000-000062000000}"/>
    <cellStyle name="20 % - Accent5 5" xfId="288" xr:uid="{00000000-0005-0000-0000-000063000000}"/>
    <cellStyle name="20 % - Accent6" xfId="39" builtinId="50" customBuiltin="1"/>
    <cellStyle name="20 % - Accent6 2" xfId="93" xr:uid="{00000000-0005-0000-0000-000065000000}"/>
    <cellStyle name="20 % - Accent6 2 2" xfId="94" xr:uid="{00000000-0005-0000-0000-000066000000}"/>
    <cellStyle name="20 % - Accent6 2 2 2" xfId="95" xr:uid="{00000000-0005-0000-0000-000067000000}"/>
    <cellStyle name="20 % - Accent6 2 2 2 2" xfId="301" xr:uid="{00000000-0005-0000-0000-000068000000}"/>
    <cellStyle name="20 % - Accent6 2 2 3" xfId="300" xr:uid="{00000000-0005-0000-0000-000069000000}"/>
    <cellStyle name="20 % - Accent6 2 3" xfId="96" xr:uid="{00000000-0005-0000-0000-00006A000000}"/>
    <cellStyle name="20 % - Accent6 2 3 2" xfId="302" xr:uid="{00000000-0005-0000-0000-00006B000000}"/>
    <cellStyle name="20 % - Accent6 2 4" xfId="97" xr:uid="{00000000-0005-0000-0000-00006C000000}"/>
    <cellStyle name="20 % - Accent6 2 4 2" xfId="303" xr:uid="{00000000-0005-0000-0000-00006D000000}"/>
    <cellStyle name="20 % - Accent6 2 5" xfId="98" xr:uid="{00000000-0005-0000-0000-00006E000000}"/>
    <cellStyle name="20 % - Accent6 2 5 2" xfId="304" xr:uid="{00000000-0005-0000-0000-00006F000000}"/>
    <cellStyle name="20 % - Accent6 2 6" xfId="299" xr:uid="{00000000-0005-0000-0000-000070000000}"/>
    <cellStyle name="20 % - Accent6 3" xfId="99" xr:uid="{00000000-0005-0000-0000-000071000000}"/>
    <cellStyle name="20 % - Accent6 3 2" xfId="100" xr:uid="{00000000-0005-0000-0000-000072000000}"/>
    <cellStyle name="20 % - Accent6 3 2 2" xfId="306" xr:uid="{00000000-0005-0000-0000-000073000000}"/>
    <cellStyle name="20 % - Accent6 3 3" xfId="305" xr:uid="{00000000-0005-0000-0000-000074000000}"/>
    <cellStyle name="20 % - Accent6 4" xfId="101" xr:uid="{00000000-0005-0000-0000-000075000000}"/>
    <cellStyle name="20 % - Accent6 4 2" xfId="307" xr:uid="{00000000-0005-0000-0000-000076000000}"/>
    <cellStyle name="20 % - Accent6 5" xfId="298" xr:uid="{00000000-0005-0000-0000-000077000000}"/>
    <cellStyle name="40 % - Accent1" xfId="20" builtinId="31" customBuiltin="1"/>
    <cellStyle name="40 % - Accent1 2" xfId="102" xr:uid="{00000000-0005-0000-0000-000079000000}"/>
    <cellStyle name="40 % - Accent1 2 2" xfId="103" xr:uid="{00000000-0005-0000-0000-00007A000000}"/>
    <cellStyle name="40 % - Accent1 2 2 2" xfId="104" xr:uid="{00000000-0005-0000-0000-00007B000000}"/>
    <cellStyle name="40 % - Accent1 2 2 2 2" xfId="311" xr:uid="{00000000-0005-0000-0000-00007C000000}"/>
    <cellStyle name="40 % - Accent1 2 2 3" xfId="310" xr:uid="{00000000-0005-0000-0000-00007D000000}"/>
    <cellStyle name="40 % - Accent1 2 3" xfId="105" xr:uid="{00000000-0005-0000-0000-00007E000000}"/>
    <cellStyle name="40 % - Accent1 2 3 2" xfId="312" xr:uid="{00000000-0005-0000-0000-00007F000000}"/>
    <cellStyle name="40 % - Accent1 2 4" xfId="106" xr:uid="{00000000-0005-0000-0000-000080000000}"/>
    <cellStyle name="40 % - Accent1 2 4 2" xfId="313" xr:uid="{00000000-0005-0000-0000-000081000000}"/>
    <cellStyle name="40 % - Accent1 2 5" xfId="107" xr:uid="{00000000-0005-0000-0000-000082000000}"/>
    <cellStyle name="40 % - Accent1 2 5 2" xfId="314" xr:uid="{00000000-0005-0000-0000-000083000000}"/>
    <cellStyle name="40 % - Accent1 2 6" xfId="309" xr:uid="{00000000-0005-0000-0000-000084000000}"/>
    <cellStyle name="40 % - Accent1 3" xfId="108" xr:uid="{00000000-0005-0000-0000-000085000000}"/>
    <cellStyle name="40 % - Accent1 3 2" xfId="109" xr:uid="{00000000-0005-0000-0000-000086000000}"/>
    <cellStyle name="40 % - Accent1 3 2 2" xfId="316" xr:uid="{00000000-0005-0000-0000-000087000000}"/>
    <cellStyle name="40 % - Accent1 3 3" xfId="315" xr:uid="{00000000-0005-0000-0000-000088000000}"/>
    <cellStyle name="40 % - Accent1 4" xfId="110" xr:uid="{00000000-0005-0000-0000-000089000000}"/>
    <cellStyle name="40 % - Accent1 4 2" xfId="317" xr:uid="{00000000-0005-0000-0000-00008A000000}"/>
    <cellStyle name="40 % - Accent1 5" xfId="308" xr:uid="{00000000-0005-0000-0000-00008B000000}"/>
    <cellStyle name="40 % - Accent2" xfId="24" builtinId="35" customBuiltin="1"/>
    <cellStyle name="40 % - Accent2 2" xfId="111" xr:uid="{00000000-0005-0000-0000-00008D000000}"/>
    <cellStyle name="40 % - Accent2 2 2" xfId="112" xr:uid="{00000000-0005-0000-0000-00008E000000}"/>
    <cellStyle name="40 % - Accent2 2 2 2" xfId="113" xr:uid="{00000000-0005-0000-0000-00008F000000}"/>
    <cellStyle name="40 % - Accent2 2 2 2 2" xfId="321" xr:uid="{00000000-0005-0000-0000-000090000000}"/>
    <cellStyle name="40 % - Accent2 2 2 3" xfId="320" xr:uid="{00000000-0005-0000-0000-000091000000}"/>
    <cellStyle name="40 % - Accent2 2 3" xfId="114" xr:uid="{00000000-0005-0000-0000-000092000000}"/>
    <cellStyle name="40 % - Accent2 2 3 2" xfId="322" xr:uid="{00000000-0005-0000-0000-000093000000}"/>
    <cellStyle name="40 % - Accent2 2 4" xfId="115" xr:uid="{00000000-0005-0000-0000-000094000000}"/>
    <cellStyle name="40 % - Accent2 2 4 2" xfId="323" xr:uid="{00000000-0005-0000-0000-000095000000}"/>
    <cellStyle name="40 % - Accent2 2 5" xfId="116" xr:uid="{00000000-0005-0000-0000-000096000000}"/>
    <cellStyle name="40 % - Accent2 2 5 2" xfId="324" xr:uid="{00000000-0005-0000-0000-000097000000}"/>
    <cellStyle name="40 % - Accent2 2 6" xfId="319" xr:uid="{00000000-0005-0000-0000-000098000000}"/>
    <cellStyle name="40 % - Accent2 3" xfId="117" xr:uid="{00000000-0005-0000-0000-000099000000}"/>
    <cellStyle name="40 % - Accent2 3 2" xfId="118" xr:uid="{00000000-0005-0000-0000-00009A000000}"/>
    <cellStyle name="40 % - Accent2 3 2 2" xfId="326" xr:uid="{00000000-0005-0000-0000-00009B000000}"/>
    <cellStyle name="40 % - Accent2 3 3" xfId="325" xr:uid="{00000000-0005-0000-0000-00009C000000}"/>
    <cellStyle name="40 % - Accent2 4" xfId="119" xr:uid="{00000000-0005-0000-0000-00009D000000}"/>
    <cellStyle name="40 % - Accent2 4 2" xfId="327" xr:uid="{00000000-0005-0000-0000-00009E000000}"/>
    <cellStyle name="40 % - Accent2 5" xfId="318" xr:uid="{00000000-0005-0000-0000-00009F000000}"/>
    <cellStyle name="40 % - Accent3" xfId="28" builtinId="39" customBuiltin="1"/>
    <cellStyle name="40 % - Accent3 2" xfId="120" xr:uid="{00000000-0005-0000-0000-0000A1000000}"/>
    <cellStyle name="40 % - Accent3 2 2" xfId="121" xr:uid="{00000000-0005-0000-0000-0000A2000000}"/>
    <cellStyle name="40 % - Accent3 2 2 2" xfId="122" xr:uid="{00000000-0005-0000-0000-0000A3000000}"/>
    <cellStyle name="40 % - Accent3 2 2 2 2" xfId="331" xr:uid="{00000000-0005-0000-0000-0000A4000000}"/>
    <cellStyle name="40 % - Accent3 2 2 3" xfId="330" xr:uid="{00000000-0005-0000-0000-0000A5000000}"/>
    <cellStyle name="40 % - Accent3 2 3" xfId="123" xr:uid="{00000000-0005-0000-0000-0000A6000000}"/>
    <cellStyle name="40 % - Accent3 2 3 2" xfId="332" xr:uid="{00000000-0005-0000-0000-0000A7000000}"/>
    <cellStyle name="40 % - Accent3 2 4" xfId="124" xr:uid="{00000000-0005-0000-0000-0000A8000000}"/>
    <cellStyle name="40 % - Accent3 2 4 2" xfId="333" xr:uid="{00000000-0005-0000-0000-0000A9000000}"/>
    <cellStyle name="40 % - Accent3 2 5" xfId="125" xr:uid="{00000000-0005-0000-0000-0000AA000000}"/>
    <cellStyle name="40 % - Accent3 2 5 2" xfId="334" xr:uid="{00000000-0005-0000-0000-0000AB000000}"/>
    <cellStyle name="40 % - Accent3 2 6" xfId="329" xr:uid="{00000000-0005-0000-0000-0000AC000000}"/>
    <cellStyle name="40 % - Accent3 3" xfId="126" xr:uid="{00000000-0005-0000-0000-0000AD000000}"/>
    <cellStyle name="40 % - Accent3 3 2" xfId="127" xr:uid="{00000000-0005-0000-0000-0000AE000000}"/>
    <cellStyle name="40 % - Accent3 3 2 2" xfId="336" xr:uid="{00000000-0005-0000-0000-0000AF000000}"/>
    <cellStyle name="40 % - Accent3 3 3" xfId="335" xr:uid="{00000000-0005-0000-0000-0000B0000000}"/>
    <cellStyle name="40 % - Accent3 4" xfId="128" xr:uid="{00000000-0005-0000-0000-0000B1000000}"/>
    <cellStyle name="40 % - Accent3 4 2" xfId="337" xr:uid="{00000000-0005-0000-0000-0000B2000000}"/>
    <cellStyle name="40 % - Accent3 5" xfId="328" xr:uid="{00000000-0005-0000-0000-0000B3000000}"/>
    <cellStyle name="40 % - Accent4" xfId="32" builtinId="43" customBuiltin="1"/>
    <cellStyle name="40 % - Accent4 2" xfId="129" xr:uid="{00000000-0005-0000-0000-0000B5000000}"/>
    <cellStyle name="40 % - Accent4 2 2" xfId="130" xr:uid="{00000000-0005-0000-0000-0000B6000000}"/>
    <cellStyle name="40 % - Accent4 2 2 2" xfId="131" xr:uid="{00000000-0005-0000-0000-0000B7000000}"/>
    <cellStyle name="40 % - Accent4 2 2 2 2" xfId="341" xr:uid="{00000000-0005-0000-0000-0000B8000000}"/>
    <cellStyle name="40 % - Accent4 2 2 3" xfId="340" xr:uid="{00000000-0005-0000-0000-0000B9000000}"/>
    <cellStyle name="40 % - Accent4 2 3" xfId="132" xr:uid="{00000000-0005-0000-0000-0000BA000000}"/>
    <cellStyle name="40 % - Accent4 2 3 2" xfId="342" xr:uid="{00000000-0005-0000-0000-0000BB000000}"/>
    <cellStyle name="40 % - Accent4 2 4" xfId="133" xr:uid="{00000000-0005-0000-0000-0000BC000000}"/>
    <cellStyle name="40 % - Accent4 2 4 2" xfId="343" xr:uid="{00000000-0005-0000-0000-0000BD000000}"/>
    <cellStyle name="40 % - Accent4 2 5" xfId="134" xr:uid="{00000000-0005-0000-0000-0000BE000000}"/>
    <cellStyle name="40 % - Accent4 2 5 2" xfId="344" xr:uid="{00000000-0005-0000-0000-0000BF000000}"/>
    <cellStyle name="40 % - Accent4 2 6" xfId="339" xr:uid="{00000000-0005-0000-0000-0000C0000000}"/>
    <cellStyle name="40 % - Accent4 3" xfId="135" xr:uid="{00000000-0005-0000-0000-0000C1000000}"/>
    <cellStyle name="40 % - Accent4 3 2" xfId="136" xr:uid="{00000000-0005-0000-0000-0000C2000000}"/>
    <cellStyle name="40 % - Accent4 3 2 2" xfId="346" xr:uid="{00000000-0005-0000-0000-0000C3000000}"/>
    <cellStyle name="40 % - Accent4 3 3" xfId="345" xr:uid="{00000000-0005-0000-0000-0000C4000000}"/>
    <cellStyle name="40 % - Accent4 4" xfId="137" xr:uid="{00000000-0005-0000-0000-0000C5000000}"/>
    <cellStyle name="40 % - Accent4 4 2" xfId="347" xr:uid="{00000000-0005-0000-0000-0000C6000000}"/>
    <cellStyle name="40 % - Accent4 5" xfId="338" xr:uid="{00000000-0005-0000-0000-0000C7000000}"/>
    <cellStyle name="40 % - Accent5" xfId="36" builtinId="47" customBuiltin="1"/>
    <cellStyle name="40 % - Accent5 2" xfId="138" xr:uid="{00000000-0005-0000-0000-0000C9000000}"/>
    <cellStyle name="40 % - Accent5 2 2" xfId="139" xr:uid="{00000000-0005-0000-0000-0000CA000000}"/>
    <cellStyle name="40 % - Accent5 2 2 2" xfId="140" xr:uid="{00000000-0005-0000-0000-0000CB000000}"/>
    <cellStyle name="40 % - Accent5 2 2 2 2" xfId="351" xr:uid="{00000000-0005-0000-0000-0000CC000000}"/>
    <cellStyle name="40 % - Accent5 2 2 3" xfId="350" xr:uid="{00000000-0005-0000-0000-0000CD000000}"/>
    <cellStyle name="40 % - Accent5 2 3" xfId="141" xr:uid="{00000000-0005-0000-0000-0000CE000000}"/>
    <cellStyle name="40 % - Accent5 2 3 2" xfId="352" xr:uid="{00000000-0005-0000-0000-0000CF000000}"/>
    <cellStyle name="40 % - Accent5 2 4" xfId="142" xr:uid="{00000000-0005-0000-0000-0000D0000000}"/>
    <cellStyle name="40 % - Accent5 2 4 2" xfId="353" xr:uid="{00000000-0005-0000-0000-0000D1000000}"/>
    <cellStyle name="40 % - Accent5 2 5" xfId="143" xr:uid="{00000000-0005-0000-0000-0000D2000000}"/>
    <cellStyle name="40 % - Accent5 2 5 2" xfId="354" xr:uid="{00000000-0005-0000-0000-0000D3000000}"/>
    <cellStyle name="40 % - Accent5 2 6" xfId="349" xr:uid="{00000000-0005-0000-0000-0000D4000000}"/>
    <cellStyle name="40 % - Accent5 3" xfId="144" xr:uid="{00000000-0005-0000-0000-0000D5000000}"/>
    <cellStyle name="40 % - Accent5 3 2" xfId="145" xr:uid="{00000000-0005-0000-0000-0000D6000000}"/>
    <cellStyle name="40 % - Accent5 3 2 2" xfId="356" xr:uid="{00000000-0005-0000-0000-0000D7000000}"/>
    <cellStyle name="40 % - Accent5 3 3" xfId="355" xr:uid="{00000000-0005-0000-0000-0000D8000000}"/>
    <cellStyle name="40 % - Accent5 4" xfId="146" xr:uid="{00000000-0005-0000-0000-0000D9000000}"/>
    <cellStyle name="40 % - Accent5 4 2" xfId="357" xr:uid="{00000000-0005-0000-0000-0000DA000000}"/>
    <cellStyle name="40 % - Accent5 5" xfId="348" xr:uid="{00000000-0005-0000-0000-0000DB000000}"/>
    <cellStyle name="40 % - Accent6" xfId="40" builtinId="51" customBuiltin="1"/>
    <cellStyle name="40 % - Accent6 2" xfId="147" xr:uid="{00000000-0005-0000-0000-0000DD000000}"/>
    <cellStyle name="40 % - Accent6 2 2" xfId="148" xr:uid="{00000000-0005-0000-0000-0000DE000000}"/>
    <cellStyle name="40 % - Accent6 2 2 2" xfId="149" xr:uid="{00000000-0005-0000-0000-0000DF000000}"/>
    <cellStyle name="40 % - Accent6 2 2 2 2" xfId="361" xr:uid="{00000000-0005-0000-0000-0000E0000000}"/>
    <cellStyle name="40 % - Accent6 2 2 3" xfId="360" xr:uid="{00000000-0005-0000-0000-0000E1000000}"/>
    <cellStyle name="40 % - Accent6 2 3" xfId="150" xr:uid="{00000000-0005-0000-0000-0000E2000000}"/>
    <cellStyle name="40 % - Accent6 2 3 2" xfId="362" xr:uid="{00000000-0005-0000-0000-0000E3000000}"/>
    <cellStyle name="40 % - Accent6 2 4" xfId="151" xr:uid="{00000000-0005-0000-0000-0000E4000000}"/>
    <cellStyle name="40 % - Accent6 2 4 2" xfId="363" xr:uid="{00000000-0005-0000-0000-0000E5000000}"/>
    <cellStyle name="40 % - Accent6 2 5" xfId="152" xr:uid="{00000000-0005-0000-0000-0000E6000000}"/>
    <cellStyle name="40 % - Accent6 2 5 2" xfId="364" xr:uid="{00000000-0005-0000-0000-0000E7000000}"/>
    <cellStyle name="40 % - Accent6 2 6" xfId="359" xr:uid="{00000000-0005-0000-0000-0000E8000000}"/>
    <cellStyle name="40 % - Accent6 3" xfId="153" xr:uid="{00000000-0005-0000-0000-0000E9000000}"/>
    <cellStyle name="40 % - Accent6 3 2" xfId="154" xr:uid="{00000000-0005-0000-0000-0000EA000000}"/>
    <cellStyle name="40 % - Accent6 3 2 2" xfId="366" xr:uid="{00000000-0005-0000-0000-0000EB000000}"/>
    <cellStyle name="40 % - Accent6 3 3" xfId="365" xr:uid="{00000000-0005-0000-0000-0000EC000000}"/>
    <cellStyle name="40 % - Accent6 4" xfId="155" xr:uid="{00000000-0005-0000-0000-0000ED000000}"/>
    <cellStyle name="40 % - Accent6 4 2" xfId="367" xr:uid="{00000000-0005-0000-0000-0000EE000000}"/>
    <cellStyle name="40 % - Accent6 5" xfId="358" xr:uid="{00000000-0005-0000-0000-0000EF000000}"/>
    <cellStyle name="60 % - Accent1" xfId="21" builtinId="32" customBuiltin="1"/>
    <cellStyle name="60 % - Accent1 2" xfId="156" xr:uid="{00000000-0005-0000-0000-0000F1000000}"/>
    <cellStyle name="60 % - Accent1 2 2" xfId="369" xr:uid="{00000000-0005-0000-0000-0000F2000000}"/>
    <cellStyle name="60 % - Accent1 3" xfId="368" xr:uid="{00000000-0005-0000-0000-0000F3000000}"/>
    <cellStyle name="60 % - Accent2" xfId="25" builtinId="36" customBuiltin="1"/>
    <cellStyle name="60 % - Accent2 2" xfId="157" xr:uid="{00000000-0005-0000-0000-0000F5000000}"/>
    <cellStyle name="60 % - Accent2 2 2" xfId="371" xr:uid="{00000000-0005-0000-0000-0000F6000000}"/>
    <cellStyle name="60 % - Accent2 3" xfId="370" xr:uid="{00000000-0005-0000-0000-0000F7000000}"/>
    <cellStyle name="60 % - Accent3" xfId="29" builtinId="40" customBuiltin="1"/>
    <cellStyle name="60 % - Accent3 2" xfId="158" xr:uid="{00000000-0005-0000-0000-0000F9000000}"/>
    <cellStyle name="60 % - Accent3 2 2" xfId="373" xr:uid="{00000000-0005-0000-0000-0000FA000000}"/>
    <cellStyle name="60 % - Accent3 3" xfId="372" xr:uid="{00000000-0005-0000-0000-0000FB000000}"/>
    <cellStyle name="60 % - Accent4" xfId="33" builtinId="44" customBuiltin="1"/>
    <cellStyle name="60 % - Accent4 2" xfId="159" xr:uid="{00000000-0005-0000-0000-0000FD000000}"/>
    <cellStyle name="60 % - Accent4 2 2" xfId="375" xr:uid="{00000000-0005-0000-0000-0000FE000000}"/>
    <cellStyle name="60 % - Accent4 3" xfId="374" xr:uid="{00000000-0005-0000-0000-0000FF000000}"/>
    <cellStyle name="60 % - Accent5" xfId="37" builtinId="48" customBuiltin="1"/>
    <cellStyle name="60 % - Accent5 2" xfId="160" xr:uid="{00000000-0005-0000-0000-000001010000}"/>
    <cellStyle name="60 % - Accent5 2 2" xfId="377" xr:uid="{00000000-0005-0000-0000-000002010000}"/>
    <cellStyle name="60 % - Accent5 3" xfId="376" xr:uid="{00000000-0005-0000-0000-000003010000}"/>
    <cellStyle name="60 % - Accent6" xfId="41" builtinId="52" customBuiltin="1"/>
    <cellStyle name="60 % - Accent6 2" xfId="161" xr:uid="{00000000-0005-0000-0000-000005010000}"/>
    <cellStyle name="60 % - Accent6 2 2" xfId="379" xr:uid="{00000000-0005-0000-0000-000006010000}"/>
    <cellStyle name="60 % - Accent6 3" xfId="378" xr:uid="{00000000-0005-0000-0000-000007010000}"/>
    <cellStyle name="Accent1" xfId="18" builtinId="29" customBuiltin="1"/>
    <cellStyle name="Accent1 2" xfId="162" xr:uid="{00000000-0005-0000-0000-000009010000}"/>
    <cellStyle name="Accent1 2 2" xfId="381" xr:uid="{00000000-0005-0000-0000-00000A010000}"/>
    <cellStyle name="Accent1 3" xfId="380" xr:uid="{00000000-0005-0000-0000-00000B010000}"/>
    <cellStyle name="Accent2" xfId="22" builtinId="33" customBuiltin="1"/>
    <cellStyle name="Accent2 2" xfId="163" xr:uid="{00000000-0005-0000-0000-00000D010000}"/>
    <cellStyle name="Accent2 2 2" xfId="383" xr:uid="{00000000-0005-0000-0000-00000E010000}"/>
    <cellStyle name="Accent2 3" xfId="382" xr:uid="{00000000-0005-0000-0000-00000F010000}"/>
    <cellStyle name="Accent3" xfId="26" builtinId="37" customBuiltin="1"/>
    <cellStyle name="Accent3 2" xfId="164" xr:uid="{00000000-0005-0000-0000-000011010000}"/>
    <cellStyle name="Accent3 2 2" xfId="385" xr:uid="{00000000-0005-0000-0000-000012010000}"/>
    <cellStyle name="Accent3 3" xfId="384" xr:uid="{00000000-0005-0000-0000-000013010000}"/>
    <cellStyle name="Accent4" xfId="30" builtinId="41" customBuiltin="1"/>
    <cellStyle name="Accent4 2" xfId="165" xr:uid="{00000000-0005-0000-0000-000015010000}"/>
    <cellStyle name="Accent4 2 2" xfId="387" xr:uid="{00000000-0005-0000-0000-000016010000}"/>
    <cellStyle name="Accent4 3" xfId="386" xr:uid="{00000000-0005-0000-0000-000017010000}"/>
    <cellStyle name="Accent5" xfId="34" builtinId="45" customBuiltin="1"/>
    <cellStyle name="Accent5 2" xfId="166" xr:uid="{00000000-0005-0000-0000-000019010000}"/>
    <cellStyle name="Accent5 2 2" xfId="389" xr:uid="{00000000-0005-0000-0000-00001A010000}"/>
    <cellStyle name="Accent5 3" xfId="388" xr:uid="{00000000-0005-0000-0000-00001B010000}"/>
    <cellStyle name="Accent6" xfId="38" builtinId="49" customBuiltin="1"/>
    <cellStyle name="Accent6 2" xfId="167" xr:uid="{00000000-0005-0000-0000-00001D010000}"/>
    <cellStyle name="Accent6 2 2" xfId="391" xr:uid="{00000000-0005-0000-0000-00001E010000}"/>
    <cellStyle name="Accent6 3" xfId="390" xr:uid="{00000000-0005-0000-0000-00001F010000}"/>
    <cellStyle name="Avertissement" xfId="14" builtinId="11" customBuiltin="1"/>
    <cellStyle name="Avertissement 2" xfId="168" xr:uid="{00000000-0005-0000-0000-000021010000}"/>
    <cellStyle name="Avertissement 2 2" xfId="393" xr:uid="{00000000-0005-0000-0000-000022010000}"/>
    <cellStyle name="Avertissement 3" xfId="392" xr:uid="{00000000-0005-0000-0000-000023010000}"/>
    <cellStyle name="Calcul" xfId="11" builtinId="22" customBuiltin="1"/>
    <cellStyle name="Calcul 2" xfId="169" xr:uid="{00000000-0005-0000-0000-000025010000}"/>
    <cellStyle name="Calcul 2 2" xfId="395" xr:uid="{00000000-0005-0000-0000-000026010000}"/>
    <cellStyle name="Calcul 3" xfId="394" xr:uid="{00000000-0005-0000-0000-000027010000}"/>
    <cellStyle name="Cellule liée" xfId="12" builtinId="24" customBuiltin="1"/>
    <cellStyle name="Cellule liée 2" xfId="170" xr:uid="{00000000-0005-0000-0000-000029010000}"/>
    <cellStyle name="Cellule liée 2 2" xfId="397" xr:uid="{00000000-0005-0000-0000-00002A010000}"/>
    <cellStyle name="Cellule liée 3" xfId="396" xr:uid="{00000000-0005-0000-0000-00002B010000}"/>
    <cellStyle name="Commentaire 2" xfId="42" xr:uid="{00000000-0005-0000-0000-00002D010000}"/>
    <cellStyle name="Commentaire 2 2" xfId="43" xr:uid="{00000000-0005-0000-0000-00002E010000}"/>
    <cellStyle name="Commentaire 2 2 2" xfId="400" xr:uid="{00000000-0005-0000-0000-00002F010000}"/>
    <cellStyle name="Commentaire 2 3" xfId="171" xr:uid="{00000000-0005-0000-0000-000030010000}"/>
    <cellStyle name="Commentaire 2 3 2" xfId="172" xr:uid="{00000000-0005-0000-0000-000031010000}"/>
    <cellStyle name="Commentaire 2 3 2 2" xfId="173" xr:uid="{00000000-0005-0000-0000-000032010000}"/>
    <cellStyle name="Commentaire 2 3 2 2 2" xfId="403" xr:uid="{00000000-0005-0000-0000-000033010000}"/>
    <cellStyle name="Commentaire 2 3 2 3" xfId="402" xr:uid="{00000000-0005-0000-0000-000034010000}"/>
    <cellStyle name="Commentaire 2 3 3" xfId="174" xr:uid="{00000000-0005-0000-0000-000035010000}"/>
    <cellStyle name="Commentaire 2 3 3 2" xfId="404" xr:uid="{00000000-0005-0000-0000-000036010000}"/>
    <cellStyle name="Commentaire 2 3 4" xfId="401" xr:uid="{00000000-0005-0000-0000-000037010000}"/>
    <cellStyle name="Commentaire 2 4" xfId="175" xr:uid="{00000000-0005-0000-0000-000038010000}"/>
    <cellStyle name="Commentaire 2 4 2" xfId="176" xr:uid="{00000000-0005-0000-0000-000039010000}"/>
    <cellStyle name="Commentaire 2 4 2 2" xfId="177" xr:uid="{00000000-0005-0000-0000-00003A010000}"/>
    <cellStyle name="Commentaire 2 4 2 2 2" xfId="407" xr:uid="{00000000-0005-0000-0000-00003B010000}"/>
    <cellStyle name="Commentaire 2 4 2 3" xfId="406" xr:uid="{00000000-0005-0000-0000-00003C010000}"/>
    <cellStyle name="Commentaire 2 4 3" xfId="178" xr:uid="{00000000-0005-0000-0000-00003D010000}"/>
    <cellStyle name="Commentaire 2 4 3 2" xfId="408" xr:uid="{00000000-0005-0000-0000-00003E010000}"/>
    <cellStyle name="Commentaire 2 4 4" xfId="405" xr:uid="{00000000-0005-0000-0000-00003F010000}"/>
    <cellStyle name="Commentaire 2 5" xfId="179" xr:uid="{00000000-0005-0000-0000-000040010000}"/>
    <cellStyle name="Commentaire 2 5 2" xfId="180" xr:uid="{00000000-0005-0000-0000-000041010000}"/>
    <cellStyle name="Commentaire 2 5 2 2" xfId="410" xr:uid="{00000000-0005-0000-0000-000042010000}"/>
    <cellStyle name="Commentaire 2 5 3" xfId="409" xr:uid="{00000000-0005-0000-0000-000043010000}"/>
    <cellStyle name="Commentaire 2 6" xfId="181" xr:uid="{00000000-0005-0000-0000-000044010000}"/>
    <cellStyle name="Commentaire 2 6 2" xfId="411" xr:uid="{00000000-0005-0000-0000-000045010000}"/>
    <cellStyle name="Commentaire 2 7" xfId="399" xr:uid="{00000000-0005-0000-0000-000046010000}"/>
    <cellStyle name="Commentaire 3" xfId="182" xr:uid="{00000000-0005-0000-0000-000047010000}"/>
    <cellStyle name="Commentaire 3 2" xfId="412" xr:uid="{00000000-0005-0000-0000-000048010000}"/>
    <cellStyle name="Commentaire 4" xfId="183" xr:uid="{00000000-0005-0000-0000-000049010000}"/>
    <cellStyle name="Commentaire 4 2" xfId="184" xr:uid="{00000000-0005-0000-0000-00004A010000}"/>
    <cellStyle name="Commentaire 4 2 2" xfId="185" xr:uid="{00000000-0005-0000-0000-00004B010000}"/>
    <cellStyle name="Commentaire 4 2 2 2" xfId="415" xr:uid="{00000000-0005-0000-0000-00004C010000}"/>
    <cellStyle name="Commentaire 4 2 3" xfId="414" xr:uid="{00000000-0005-0000-0000-00004D010000}"/>
    <cellStyle name="Commentaire 4 3" xfId="186" xr:uid="{00000000-0005-0000-0000-00004E010000}"/>
    <cellStyle name="Commentaire 4 3 2" xfId="416" xr:uid="{00000000-0005-0000-0000-00004F010000}"/>
    <cellStyle name="Commentaire 4 4" xfId="413" xr:uid="{00000000-0005-0000-0000-000050010000}"/>
    <cellStyle name="Commentaire 5" xfId="187" xr:uid="{00000000-0005-0000-0000-000051010000}"/>
    <cellStyle name="Commentaire 5 2" xfId="188" xr:uid="{00000000-0005-0000-0000-000052010000}"/>
    <cellStyle name="Commentaire 5 2 2" xfId="189" xr:uid="{00000000-0005-0000-0000-000053010000}"/>
    <cellStyle name="Commentaire 5 2 2 2" xfId="419" xr:uid="{00000000-0005-0000-0000-000054010000}"/>
    <cellStyle name="Commentaire 5 2 3" xfId="418" xr:uid="{00000000-0005-0000-0000-000055010000}"/>
    <cellStyle name="Commentaire 5 3" xfId="190" xr:uid="{00000000-0005-0000-0000-000056010000}"/>
    <cellStyle name="Commentaire 5 3 2" xfId="420" xr:uid="{00000000-0005-0000-0000-000057010000}"/>
    <cellStyle name="Commentaire 5 4" xfId="191" xr:uid="{00000000-0005-0000-0000-000058010000}"/>
    <cellStyle name="Commentaire 5 4 2" xfId="421" xr:uid="{00000000-0005-0000-0000-000059010000}"/>
    <cellStyle name="Commentaire 5 5" xfId="192" xr:uid="{00000000-0005-0000-0000-00005A010000}"/>
    <cellStyle name="Commentaire 5 5 2" xfId="422" xr:uid="{00000000-0005-0000-0000-00005B010000}"/>
    <cellStyle name="Commentaire 5 6" xfId="417" xr:uid="{00000000-0005-0000-0000-00005C010000}"/>
    <cellStyle name="Commentaire 6" xfId="193" xr:uid="{00000000-0005-0000-0000-00005D010000}"/>
    <cellStyle name="Commentaire 6 2" xfId="194" xr:uid="{00000000-0005-0000-0000-00005E010000}"/>
    <cellStyle name="Commentaire 6 2 2" xfId="195" xr:uid="{00000000-0005-0000-0000-00005F010000}"/>
    <cellStyle name="Commentaire 6 2 2 2" xfId="425" xr:uid="{00000000-0005-0000-0000-000060010000}"/>
    <cellStyle name="Commentaire 6 2 3" xfId="424" xr:uid="{00000000-0005-0000-0000-000061010000}"/>
    <cellStyle name="Commentaire 6 3" xfId="196" xr:uid="{00000000-0005-0000-0000-000062010000}"/>
    <cellStyle name="Commentaire 6 3 2" xfId="426" xr:uid="{00000000-0005-0000-0000-000063010000}"/>
    <cellStyle name="Commentaire 6 4" xfId="423" xr:uid="{00000000-0005-0000-0000-000064010000}"/>
    <cellStyle name="Commentaire 7" xfId="197" xr:uid="{00000000-0005-0000-0000-000065010000}"/>
    <cellStyle name="Commentaire 7 2" xfId="427" xr:uid="{00000000-0005-0000-0000-000066010000}"/>
    <cellStyle name="Commentaire 8" xfId="398" xr:uid="{00000000-0005-0000-0000-000067010000}"/>
    <cellStyle name="Entrée" xfId="9" builtinId="20" customBuiltin="1"/>
    <cellStyle name="Entrée 2" xfId="198" xr:uid="{00000000-0005-0000-0000-000069010000}"/>
    <cellStyle name="Entrée 2 2" xfId="429" xr:uid="{00000000-0005-0000-0000-00006A010000}"/>
    <cellStyle name="Entrée 3" xfId="428" xr:uid="{00000000-0005-0000-0000-00006B010000}"/>
    <cellStyle name="Excel Built-in Normal" xfId="199" xr:uid="{00000000-0005-0000-0000-00006C010000}"/>
    <cellStyle name="Excel Built-in Normal 1" xfId="200" xr:uid="{00000000-0005-0000-0000-00006D010000}"/>
    <cellStyle name="Excel Built-in Normal 2" xfId="201" xr:uid="{00000000-0005-0000-0000-00006E010000}"/>
    <cellStyle name="Insatisfaisant" xfId="7" builtinId="27" customBuiltin="1"/>
    <cellStyle name="Insatisfaisant 2" xfId="202" xr:uid="{00000000-0005-0000-0000-000070010000}"/>
    <cellStyle name="Insatisfaisant 2 2" xfId="431" xr:uid="{00000000-0005-0000-0000-000071010000}"/>
    <cellStyle name="Insatisfaisant 3" xfId="430" xr:uid="{00000000-0005-0000-0000-000072010000}"/>
    <cellStyle name="Lien hypertexte 2" xfId="44" xr:uid="{00000000-0005-0000-0000-000073010000}"/>
    <cellStyle name="Lien hypertexte 2 2" xfId="432" xr:uid="{00000000-0005-0000-0000-000074010000}"/>
    <cellStyle name="Lien hypertexte 3" xfId="203" xr:uid="{00000000-0005-0000-0000-000075010000}"/>
    <cellStyle name="Lien hypertexte 3 2" xfId="433" xr:uid="{00000000-0005-0000-0000-000076010000}"/>
    <cellStyle name="Lien hypertexte 4" xfId="204" xr:uid="{00000000-0005-0000-0000-000077010000}"/>
    <cellStyle name="Lien hypertexte 4 2" xfId="434" xr:uid="{00000000-0005-0000-0000-000078010000}"/>
    <cellStyle name="Lien hypertexte 5" xfId="205" xr:uid="{00000000-0005-0000-0000-000079010000}"/>
    <cellStyle name="Lien hypertexte 5 2" xfId="435" xr:uid="{00000000-0005-0000-0000-00007A010000}"/>
    <cellStyle name="Lien hypertexte 6" xfId="206" xr:uid="{00000000-0005-0000-0000-00007B010000}"/>
    <cellStyle name="Lien hypertexte 6 2" xfId="436" xr:uid="{00000000-0005-0000-0000-00007C010000}"/>
    <cellStyle name="Neutre" xfId="8" builtinId="28" customBuiltin="1"/>
    <cellStyle name="Neutre 2" xfId="207" xr:uid="{00000000-0005-0000-0000-00007E010000}"/>
    <cellStyle name="Neutre 2 2" xfId="438" xr:uid="{00000000-0005-0000-0000-00007F010000}"/>
    <cellStyle name="Neutre 3" xfId="437" xr:uid="{00000000-0005-0000-0000-000080010000}"/>
    <cellStyle name="Normal" xfId="0" builtinId="0"/>
    <cellStyle name="Normal 10" xfId="246" xr:uid="{00000000-0005-0000-0000-000082010000}"/>
    <cellStyle name="Normal 2" xfId="45" xr:uid="{00000000-0005-0000-0000-000083010000}"/>
    <cellStyle name="Normal 2 2" xfId="208" xr:uid="{00000000-0005-0000-0000-000084010000}"/>
    <cellStyle name="Normal 2 3" xfId="209" xr:uid="{00000000-0005-0000-0000-000085010000}"/>
    <cellStyle name="Normal 2 3 2" xfId="210" xr:uid="{00000000-0005-0000-0000-000086010000}"/>
    <cellStyle name="Normal 2 4" xfId="211" xr:uid="{00000000-0005-0000-0000-000087010000}"/>
    <cellStyle name="Normal 2 5" xfId="212" xr:uid="{00000000-0005-0000-0000-000088010000}"/>
    <cellStyle name="Normal 3" xfId="46" xr:uid="{00000000-0005-0000-0000-000089010000}"/>
    <cellStyle name="Normal 3 2" xfId="213" xr:uid="{00000000-0005-0000-0000-00008A010000}"/>
    <cellStyle name="Normal 3 2 2" xfId="214" xr:uid="{00000000-0005-0000-0000-00008B010000}"/>
    <cellStyle name="Normal 3 2 2 2" xfId="215" xr:uid="{00000000-0005-0000-0000-00008C010000}"/>
    <cellStyle name="Normal 3 2 3" xfId="216" xr:uid="{00000000-0005-0000-0000-00008D010000}"/>
    <cellStyle name="Normal 3 3" xfId="217" xr:uid="{00000000-0005-0000-0000-00008E010000}"/>
    <cellStyle name="Normal 3 4" xfId="218" xr:uid="{00000000-0005-0000-0000-00008F010000}"/>
    <cellStyle name="Normal 3 4 2" xfId="219" xr:uid="{00000000-0005-0000-0000-000090010000}"/>
    <cellStyle name="Normal 3 5" xfId="220" xr:uid="{00000000-0005-0000-0000-000091010000}"/>
    <cellStyle name="Normal 4" xfId="47" xr:uid="{00000000-0005-0000-0000-000092010000}"/>
    <cellStyle name="Normal 4 2" xfId="221" xr:uid="{00000000-0005-0000-0000-000093010000}"/>
    <cellStyle name="Normal 4 3" xfId="222" xr:uid="{00000000-0005-0000-0000-000094010000}"/>
    <cellStyle name="Normal 5" xfId="223" xr:uid="{00000000-0005-0000-0000-000095010000}"/>
    <cellStyle name="Normal 5 2" xfId="224" xr:uid="{00000000-0005-0000-0000-000096010000}"/>
    <cellStyle name="Normal 5 2 2" xfId="225" xr:uid="{00000000-0005-0000-0000-000097010000}"/>
    <cellStyle name="Normal 5 3" xfId="226" xr:uid="{00000000-0005-0000-0000-000098010000}"/>
    <cellStyle name="Normal 6" xfId="227" xr:uid="{00000000-0005-0000-0000-000099010000}"/>
    <cellStyle name="Normal 6 2" xfId="228" xr:uid="{00000000-0005-0000-0000-00009A010000}"/>
    <cellStyle name="Normal 6 2 2" xfId="229" xr:uid="{00000000-0005-0000-0000-00009B010000}"/>
    <cellStyle name="Normal 6 3" xfId="230" xr:uid="{00000000-0005-0000-0000-00009C010000}"/>
    <cellStyle name="Normal 7" xfId="231" xr:uid="{00000000-0005-0000-0000-00009D010000}"/>
    <cellStyle name="Normal 8" xfId="245" xr:uid="{00000000-0005-0000-0000-00009E010000}"/>
    <cellStyle name="Normal 9" xfId="232" xr:uid="{00000000-0005-0000-0000-00009F010000}"/>
    <cellStyle name="Normal 9 2" xfId="233" xr:uid="{00000000-0005-0000-0000-0000A0010000}"/>
    <cellStyle name="Normal 9 2 2" xfId="234" xr:uid="{00000000-0005-0000-0000-0000A1010000}"/>
    <cellStyle name="Normal 9 3" xfId="235" xr:uid="{00000000-0005-0000-0000-0000A2010000}"/>
    <cellStyle name="Note" xfId="15" builtinId="10" customBuiltin="1"/>
    <cellStyle name="Satisfaisant" xfId="6" builtinId="26" customBuiltin="1"/>
    <cellStyle name="Satisfaisant 2" xfId="236" xr:uid="{00000000-0005-0000-0000-0000A4010000}"/>
    <cellStyle name="Satisfaisant 2 2" xfId="440" xr:uid="{00000000-0005-0000-0000-0000A5010000}"/>
    <cellStyle name="Satisfaisant 3" xfId="439" xr:uid="{00000000-0005-0000-0000-0000A6010000}"/>
    <cellStyle name="Sortie" xfId="10" builtinId="21" customBuiltin="1"/>
    <cellStyle name="Sortie 2" xfId="237" xr:uid="{00000000-0005-0000-0000-0000A8010000}"/>
    <cellStyle name="Sortie 2 2" xfId="442" xr:uid="{00000000-0005-0000-0000-0000A9010000}"/>
    <cellStyle name="Sortie 3" xfId="441" xr:uid="{00000000-0005-0000-0000-0000AA010000}"/>
    <cellStyle name="Texte explicatif" xfId="16" builtinId="53" customBuiltin="1"/>
    <cellStyle name="Texte explicatif 2" xfId="238" xr:uid="{00000000-0005-0000-0000-0000AC010000}"/>
    <cellStyle name="Texte explicatif 2 2" xfId="444" xr:uid="{00000000-0005-0000-0000-0000AD010000}"/>
    <cellStyle name="Texte explicatif 3" xfId="443" xr:uid="{00000000-0005-0000-0000-0000AE010000}"/>
    <cellStyle name="Titre" xfId="1" builtinId="15" customBuiltin="1"/>
    <cellStyle name="Titre 2" xfId="445" xr:uid="{00000000-0005-0000-0000-0000B0010000}"/>
    <cellStyle name="Titre 1" xfId="2" builtinId="16" customBuiltin="1"/>
    <cellStyle name="Titre 1 2" xfId="239" xr:uid="{00000000-0005-0000-0000-0000B2010000}"/>
    <cellStyle name="Titre 1 2 2" xfId="447" xr:uid="{00000000-0005-0000-0000-0000B3010000}"/>
    <cellStyle name="Titre 1 3" xfId="446" xr:uid="{00000000-0005-0000-0000-0000B4010000}"/>
    <cellStyle name="Titre 2" xfId="3" builtinId="17" customBuiltin="1"/>
    <cellStyle name="Titre 2 2" xfId="240" xr:uid="{00000000-0005-0000-0000-0000B6010000}"/>
    <cellStyle name="Titre 2 2 2" xfId="449" xr:uid="{00000000-0005-0000-0000-0000B7010000}"/>
    <cellStyle name="Titre 2 3" xfId="448" xr:uid="{00000000-0005-0000-0000-0000B8010000}"/>
    <cellStyle name="Titre 3" xfId="4" builtinId="18" customBuiltin="1"/>
    <cellStyle name="Titre 3 2" xfId="241" xr:uid="{00000000-0005-0000-0000-0000BA010000}"/>
    <cellStyle name="Titre 3 2 2" xfId="451" xr:uid="{00000000-0005-0000-0000-0000BB010000}"/>
    <cellStyle name="Titre 3 3" xfId="450" xr:uid="{00000000-0005-0000-0000-0000BC010000}"/>
    <cellStyle name="Titre 4" xfId="5" builtinId="19" customBuiltin="1"/>
    <cellStyle name="Titre 4 2" xfId="242" xr:uid="{00000000-0005-0000-0000-0000BE010000}"/>
    <cellStyle name="Titre 4 2 2" xfId="453" xr:uid="{00000000-0005-0000-0000-0000BF010000}"/>
    <cellStyle name="Titre 4 3" xfId="452" xr:uid="{00000000-0005-0000-0000-0000C0010000}"/>
    <cellStyle name="Total" xfId="17" builtinId="25" customBuiltin="1"/>
    <cellStyle name="Total 2" xfId="243" xr:uid="{00000000-0005-0000-0000-0000C2010000}"/>
    <cellStyle name="Total 2 2" xfId="455" xr:uid="{00000000-0005-0000-0000-0000C3010000}"/>
    <cellStyle name="Total 3" xfId="454" xr:uid="{00000000-0005-0000-0000-0000C4010000}"/>
    <cellStyle name="Vérification" xfId="13" builtinId="23" customBuiltin="1"/>
    <cellStyle name="Vérification 2" xfId="244" xr:uid="{00000000-0005-0000-0000-0000C6010000}"/>
    <cellStyle name="Vérification 2 2" xfId="457" xr:uid="{00000000-0005-0000-0000-0000C7010000}"/>
    <cellStyle name="Vérification 3" xfId="456" xr:uid="{00000000-0005-0000-0000-0000C8010000}"/>
    <cellStyle name="常规 2" xfId="247" xr:uid="{00000000-0005-0000-0000-0000C9010000}"/>
  </cellStyles>
  <dxfs count="3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ill>
        <patternFill>
          <bgColor theme="0"/>
        </patternFill>
      </fill>
      <border>
        <left style="thin">
          <color auto="1"/>
        </left>
        <right style="thin">
          <color auto="1"/>
        </right>
        <vertical/>
        <horizontal/>
      </border>
    </dxf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1</xdr:row>
      <xdr:rowOff>57150</xdr:rowOff>
    </xdr:from>
    <xdr:to>
      <xdr:col>0</xdr:col>
      <xdr:colOff>710293</xdr:colOff>
      <xdr:row>2</xdr:row>
      <xdr:rowOff>114140</xdr:rowOff>
    </xdr:to>
    <xdr:sp macro="[0]!ReadEcn" textlink="">
      <xdr:nvSpPr>
        <xdr:cNvPr id="2" name="Ellips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09550" y="390525"/>
          <a:ext cx="500743" cy="24749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rtlCol="0" anchor="ctr"/>
        <a:lstStyle/>
        <a:p>
          <a:pPr algn="ctr"/>
          <a:r>
            <a:rPr lang="en-US" sz="1000" b="1">
              <a:solidFill>
                <a:schemeClr val="bg2"/>
              </a:solidFill>
            </a:rPr>
            <a:t>GO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Q300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9" sqref="C9"/>
    </sheetView>
  </sheetViews>
  <sheetFormatPr baseColWidth="10" defaultRowHeight="15" x14ac:dyDescent="0.25"/>
  <cols>
    <col min="1" max="2" width="11.42578125" style="43"/>
    <col min="3" max="3" width="54.140625" style="43" customWidth="1"/>
    <col min="4" max="4" width="20.140625" style="43" bestFit="1" customWidth="1"/>
    <col min="5" max="6" width="11.42578125" style="44"/>
    <col min="7" max="7" width="53" style="43" customWidth="1"/>
    <col min="8" max="8" width="15.42578125" style="45" bestFit="1" customWidth="1"/>
    <col min="9" max="9" width="30.28515625" style="46" bestFit="1" customWidth="1"/>
    <col min="10" max="10" width="16.42578125" style="43" customWidth="1"/>
    <col min="11" max="11" width="11.42578125" style="47"/>
    <col min="12" max="12" width="12.42578125" style="43" bestFit="1" customWidth="1"/>
    <col min="13" max="13" width="15.42578125" style="43" customWidth="1"/>
    <col min="14" max="16" width="17.140625" style="47" customWidth="1"/>
    <col min="17" max="17" width="14" style="43" customWidth="1"/>
    <col min="18" max="16384" width="11.42578125" style="43"/>
  </cols>
  <sheetData>
    <row r="1" spans="1:17" ht="26.25" x14ac:dyDescent="0.25">
      <c r="A1" s="42"/>
      <c r="B1" s="42"/>
      <c r="C1" s="42"/>
    </row>
    <row r="3" spans="1:17" ht="15.75" thickBot="1" x14ac:dyDescent="0.3"/>
    <row r="4" spans="1:17" s="55" customFormat="1" ht="33" customHeight="1" thickBot="1" x14ac:dyDescent="0.3">
      <c r="A4" s="48" t="s">
        <v>0</v>
      </c>
      <c r="B4" s="48" t="s">
        <v>1</v>
      </c>
      <c r="C4" s="49" t="s">
        <v>2</v>
      </c>
      <c r="D4" s="49" t="s">
        <v>3</v>
      </c>
      <c r="E4" s="50" t="s">
        <v>4</v>
      </c>
      <c r="F4" s="50" t="s">
        <v>5</v>
      </c>
      <c r="G4" s="49" t="s">
        <v>62</v>
      </c>
      <c r="H4" s="51" t="s">
        <v>6</v>
      </c>
      <c r="I4" s="52" t="s">
        <v>67</v>
      </c>
      <c r="J4" s="48" t="s">
        <v>60</v>
      </c>
      <c r="K4" s="53" t="s">
        <v>7</v>
      </c>
      <c r="L4" s="53" t="s">
        <v>61</v>
      </c>
      <c r="M4" s="53" t="s">
        <v>8</v>
      </c>
      <c r="N4" s="53" t="s">
        <v>68</v>
      </c>
      <c r="O4" s="54" t="s">
        <v>71</v>
      </c>
      <c r="P4" s="52" t="s">
        <v>72</v>
      </c>
      <c r="Q4" s="52" t="s">
        <v>73</v>
      </c>
    </row>
    <row r="5" spans="1:17" ht="15.75" x14ac:dyDescent="0.25">
      <c r="A5" s="56" t="s">
        <v>38</v>
      </c>
      <c r="B5" s="57"/>
      <c r="C5" s="43" t="str">
        <f>IFERROR(VLOOKUP(B5,'ECN-ECO_DATA'!B:C,2,FALSE),"")</f>
        <v/>
      </c>
      <c r="D5" s="43" t="str">
        <f>IFERROR(VLOOKUP(B5,'ECN-ECO_DATA'!B:X,23,FALSE),"")</f>
        <v/>
      </c>
      <c r="E5" s="44" t="str">
        <f>IFERROR(VLOOKUP(B5,'ECN-ECO_DATA'!B:G,5,FALSE),"")</f>
        <v/>
      </c>
      <c r="F5" s="44" t="str">
        <f>IFERROR((IF(VLOOKUP(B5,'ECN-ECO_DATA'!B:G,6,FALSE)="","",VLOOKUP(B5,'ECN-ECO_DATA'!B:G,6,FALSE))),"")</f>
        <v/>
      </c>
      <c r="G5" s="58"/>
      <c r="H5" s="45" t="str">
        <f>IFERROR(VLOOKUP(B5,'ECN-ECO_DATA'!B:G,4,FALSE),"")</f>
        <v/>
      </c>
      <c r="J5" s="58"/>
      <c r="K5" s="57"/>
      <c r="L5" s="57"/>
      <c r="M5" s="57"/>
      <c r="N5" s="57"/>
      <c r="O5" s="57"/>
      <c r="P5" s="57"/>
      <c r="Q5" s="57"/>
    </row>
    <row r="6" spans="1:17" x14ac:dyDescent="0.25">
      <c r="C6" s="43" t="str">
        <f>IFERROR(VLOOKUP(B6,'ECN-ECO_DATA'!B:C,2,FALSE),"")</f>
        <v/>
      </c>
      <c r="D6" s="43" t="str">
        <f>IFERROR(VLOOKUP(B6,'ECN-ECO_DATA'!B:X,23,FALSE),"")</f>
        <v/>
      </c>
      <c r="E6" s="44" t="str">
        <f>IFERROR(VLOOKUP(B6,'ECN-ECO_DATA'!B:G,5,FALSE),"")</f>
        <v/>
      </c>
      <c r="F6" s="44" t="str">
        <f>IFERROR((IF(VLOOKUP(B6,'ECN-ECO_DATA'!B:G,6,FALSE)="","",VLOOKUP(B6,'ECN-ECO_DATA'!B:G,6,FALSE))),"")</f>
        <v/>
      </c>
      <c r="H6" s="45" t="str">
        <f>IFERROR(VLOOKUP(B6,'ECN-ECO_DATA'!B:G,4,FALSE),"")</f>
        <v/>
      </c>
      <c r="I6" s="46" t="str">
        <f>IFERROR(IF(VLOOKUP(B6,'ECN-ECO_DATA'!B:G,6,FALSE)="","Not started",IF(VLOOKUP(B6,'ECN-ECO_DATA'!B:J,7,FALSE)="","Awaiting First Approval",IF(VLOOKUP(B6,'ECN-ECO_DATA'!B:J,8,FALSE)="","Awaiting Quality Check Approval",IF(VLOOKUP(B6,'ECN-ECO_DATA'!B:J,9,FALSE)="","Awaiting Last Approval",IF(VLOOKUP(B6,'ECN-ECO_DATA'!B:J,9,FALSE)&lt;&gt;"","Approved","Unknown"))))),"")</f>
        <v/>
      </c>
      <c r="K6" s="47" t="str">
        <f>IFERROR(VLOOKUP(B6,'ECN-ECO_DATA'!B:W,22,FALSE),"")</f>
        <v/>
      </c>
      <c r="L6" s="43" t="str">
        <f>IFERROR(IF(VLOOKUP(B6,'ECN-ECO_DATA'!B:AB,27,FALSE)=0,"",VLOOKUP(B6,'ECN-ECO_DATA'!B:AB,27,FALSE)),"")</f>
        <v/>
      </c>
      <c r="M6" s="43" t="str">
        <f>IFERROR(VLOOKUP(B6,'ECN-ECO_DATA'!B:AE,30,FALSE),"")</f>
        <v/>
      </c>
      <c r="N6" s="59" t="str">
        <f>IFERROR(IF((VLOOKUP(B6,'ECN-ECO_DATA'!B:AD,20,FALSE)-VLOOKUP(B6,'ECN-ECO_DATA'!B:AD,18,FALSE))&gt;0,(VLOOKUP(B6,'ECN-ECO_DATA'!B:AD,20,FALSE)-VLOOKUP(B6,'ECN-ECO_DATA'!B:AD,18,FALSE)),""),"")</f>
        <v/>
      </c>
      <c r="O6" s="59"/>
      <c r="P6" s="59" t="str">
        <f>IFERROR(VLOOKUP(B6,'ECN-ECO_DATA'!B:P,13,FALSE),"")</f>
        <v/>
      </c>
      <c r="Q6" s="43" t="str">
        <f>IFERROR(VLOOKUP(B6,'ECN-ECO_DATA'!B:P,15,FALSE),"")</f>
        <v/>
      </c>
    </row>
    <row r="7" spans="1:17" x14ac:dyDescent="0.25">
      <c r="C7" s="43" t="str">
        <f>IFERROR(VLOOKUP(B7,'ECN-ECO_DATA'!B:C,2,FALSE),"")</f>
        <v/>
      </c>
      <c r="D7" s="43" t="str">
        <f>IFERROR(VLOOKUP(B7,'ECN-ECO_DATA'!B:X,23,FALSE),"")</f>
        <v/>
      </c>
      <c r="E7" s="44" t="str">
        <f>IFERROR(VLOOKUP(B7,'ECN-ECO_DATA'!B:G,5,FALSE),"")</f>
        <v/>
      </c>
      <c r="F7" s="44" t="str">
        <f>IFERROR((IF(VLOOKUP(B7,'ECN-ECO_DATA'!B:G,6,FALSE)="","",VLOOKUP(B7,'ECN-ECO_DATA'!B:G,6,FALSE))),"")</f>
        <v/>
      </c>
      <c r="H7" s="45" t="str">
        <f>IFERROR(VLOOKUP(B7,'ECN-ECO_DATA'!B:G,4,FALSE),"")</f>
        <v/>
      </c>
      <c r="I7" s="46" t="str">
        <f>IFERROR(IF(VLOOKUP(B7,'ECN-ECO_DATA'!B:G,6,FALSE)="","Not started",IF(VLOOKUP(B7,'ECN-ECO_DATA'!B:J,7,FALSE)="","Awaiting First Approval",IF(VLOOKUP(B7,'ECN-ECO_DATA'!B:J,8,FALSE)="","Awaiting Quality Check Approval",IF(VLOOKUP(B7,'ECN-ECO_DATA'!B:J,9,FALSE)="","Awaiting Last Approval",IF(VLOOKUP(B7,'ECN-ECO_DATA'!B:J,9,FALSE)&lt;&gt;"","Approved","Unknown"))))),"")</f>
        <v/>
      </c>
      <c r="K7" s="47" t="str">
        <f>IFERROR(VLOOKUP(B7,'ECN-ECO_DATA'!B:W,22,FALSE),"")</f>
        <v/>
      </c>
      <c r="L7" s="43" t="str">
        <f>IFERROR(IF(VLOOKUP(B7,'ECN-ECO_DATA'!B:AB,27,FALSE)=0,"",VLOOKUP(B7,'ECN-ECO_DATA'!B:AB,27,FALSE)),"")</f>
        <v/>
      </c>
      <c r="M7" s="43" t="str">
        <f>IFERROR(VLOOKUP(B7,'ECN-ECO_DATA'!B:AE,30,FALSE),"")</f>
        <v/>
      </c>
      <c r="N7" s="59" t="str">
        <f>IFERROR(IF((VLOOKUP(B7,'ECN-ECO_DATA'!B:AD,20,FALSE)-VLOOKUP(B7,'ECN-ECO_DATA'!B:AD,18,FALSE))&gt;0,(VLOOKUP(B7,'ECN-ECO_DATA'!B:AD,20,FALSE)-VLOOKUP(B7,'ECN-ECO_DATA'!B:AD,18,FALSE)),""),"")</f>
        <v/>
      </c>
      <c r="O7" s="59"/>
      <c r="P7" s="59" t="str">
        <f>IFERROR(VLOOKUP(B7,'ECN-ECO_DATA'!B:P,13,FALSE),"")</f>
        <v/>
      </c>
      <c r="Q7" s="43" t="str">
        <f>IFERROR(VLOOKUP(B7,'ECN-ECO_DATA'!B:P,15,FALSE),"")</f>
        <v/>
      </c>
    </row>
    <row r="8" spans="1:17" x14ac:dyDescent="0.25">
      <c r="C8" s="43" t="str">
        <f>IFERROR(VLOOKUP(B8,'ECN-ECO_DATA'!B:C,2,FALSE),"")</f>
        <v/>
      </c>
      <c r="D8" s="43" t="str">
        <f>IFERROR(VLOOKUP(B8,'ECN-ECO_DATA'!B:X,23,FALSE),"")</f>
        <v/>
      </c>
      <c r="E8" s="44" t="str">
        <f>IFERROR(VLOOKUP(B8,'ECN-ECO_DATA'!B:G,5,FALSE),"")</f>
        <v/>
      </c>
      <c r="F8" s="44" t="str">
        <f>IFERROR((IF(VLOOKUP(B8,'ECN-ECO_DATA'!B:G,6,FALSE)="","",VLOOKUP(B8,'ECN-ECO_DATA'!B:G,6,FALSE))),"")</f>
        <v/>
      </c>
      <c r="H8" s="45" t="str">
        <f>IFERROR(VLOOKUP(B8,'ECN-ECO_DATA'!B:G,4,FALSE),"")</f>
        <v/>
      </c>
      <c r="I8" s="46" t="str">
        <f>IFERROR(IF(VLOOKUP(B8,'ECN-ECO_DATA'!B:G,6,FALSE)="","Not started",IF(VLOOKUP(B8,'ECN-ECO_DATA'!B:J,7,FALSE)="","Awaiting First Approval",IF(VLOOKUP(B8,'ECN-ECO_DATA'!B:J,8,FALSE)="","Awaiting Quality Check Approval",IF(VLOOKUP(B8,'ECN-ECO_DATA'!B:J,9,FALSE)="","Awaiting Last Approval",IF(VLOOKUP(B8,'ECN-ECO_DATA'!B:J,9,FALSE)&lt;&gt;"","Approved","Unknown"))))),"")</f>
        <v/>
      </c>
      <c r="K8" s="47" t="str">
        <f>IFERROR(VLOOKUP(B8,'ECN-ECO_DATA'!B:W,22,FALSE),"")</f>
        <v/>
      </c>
      <c r="L8" s="43" t="str">
        <f>IFERROR(IF(VLOOKUP(B8,'ECN-ECO_DATA'!B:AB,27,FALSE)=0,"",VLOOKUP(B8,'ECN-ECO_DATA'!B:AB,27,FALSE)),"")</f>
        <v/>
      </c>
      <c r="M8" s="43" t="str">
        <f>IFERROR(VLOOKUP(B8,'ECN-ECO_DATA'!B:AE,30,FALSE),"")</f>
        <v/>
      </c>
      <c r="N8" s="59" t="str">
        <f>IFERROR(IF((VLOOKUP(B8,'ECN-ECO_DATA'!B:AD,20,FALSE)-VLOOKUP(B8,'ECN-ECO_DATA'!B:AD,18,FALSE))&gt;0,(VLOOKUP(B8,'ECN-ECO_DATA'!B:AD,20,FALSE)-VLOOKUP(B8,'ECN-ECO_DATA'!B:AD,18,FALSE)),""),"")</f>
        <v/>
      </c>
      <c r="O8" s="59"/>
      <c r="P8" s="59" t="str">
        <f>IFERROR(VLOOKUP(B8,'ECN-ECO_DATA'!B:P,13,FALSE),"")</f>
        <v/>
      </c>
      <c r="Q8" s="43" t="str">
        <f>IFERROR(VLOOKUP(B8,'ECN-ECO_DATA'!B:P,15,FALSE),"")</f>
        <v/>
      </c>
    </row>
    <row r="9" spans="1:17" x14ac:dyDescent="0.25">
      <c r="C9" s="43" t="str">
        <f>IFERROR(VLOOKUP(B9,'ECN-ECO_DATA'!B:C,2,FALSE),"")</f>
        <v/>
      </c>
      <c r="D9" s="43" t="str">
        <f>IFERROR(VLOOKUP(B9,'ECN-ECO_DATA'!B:X,23,FALSE),"")</f>
        <v/>
      </c>
      <c r="E9" s="44" t="str">
        <f>IFERROR(VLOOKUP(B9,'ECN-ECO_DATA'!B:G,5,FALSE),"")</f>
        <v/>
      </c>
      <c r="F9" s="44" t="str">
        <f>IFERROR((IF(VLOOKUP(B9,'ECN-ECO_DATA'!B:G,6,FALSE)="","",VLOOKUP(B9,'ECN-ECO_DATA'!B:G,6,FALSE))),"")</f>
        <v/>
      </c>
      <c r="H9" s="45" t="str">
        <f>IFERROR(VLOOKUP(B9,'ECN-ECO_DATA'!B:G,4,FALSE),"")</f>
        <v/>
      </c>
      <c r="I9" s="46" t="str">
        <f>IFERROR(IF(VLOOKUP(B9,'ECN-ECO_DATA'!B:G,6,FALSE)="","Not started",IF(VLOOKUP(B9,'ECN-ECO_DATA'!B:J,7,FALSE)="","Awaiting First Approval",IF(VLOOKUP(B9,'ECN-ECO_DATA'!B:J,8,FALSE)="","Awaiting Quality Check Approval",IF(VLOOKUP(B9,'ECN-ECO_DATA'!B:J,9,FALSE)="","Awaiting Last Approval",IF(VLOOKUP(B9,'ECN-ECO_DATA'!B:J,9,FALSE)&lt;&gt;"","Approved","Unknown"))))),"")</f>
        <v/>
      </c>
      <c r="K9" s="47" t="str">
        <f>IFERROR(VLOOKUP(B9,'ECN-ECO_DATA'!B:W,22,FALSE),"")</f>
        <v/>
      </c>
      <c r="L9" s="43" t="str">
        <f>IFERROR(IF(VLOOKUP(B9,'ECN-ECO_DATA'!B:AB,27,FALSE)=0,"",VLOOKUP(B9,'ECN-ECO_DATA'!B:AB,27,FALSE)),"")</f>
        <v/>
      </c>
      <c r="M9" s="43" t="str">
        <f>IFERROR(VLOOKUP(B9,'ECN-ECO_DATA'!B:AE,30,FALSE),"")</f>
        <v/>
      </c>
      <c r="N9" s="59" t="str">
        <f>IFERROR(IF((VLOOKUP(B9,'ECN-ECO_DATA'!B:AD,20,FALSE)-VLOOKUP(B9,'ECN-ECO_DATA'!B:AD,18,FALSE))&gt;0,(VLOOKUP(B9,'ECN-ECO_DATA'!B:AD,20,FALSE)-VLOOKUP(B9,'ECN-ECO_DATA'!B:AD,18,FALSE)),""),"")</f>
        <v/>
      </c>
      <c r="O9" s="59"/>
      <c r="P9" s="59" t="str">
        <f>IFERROR(VLOOKUP(B9,'ECN-ECO_DATA'!B:P,13,FALSE),"")</f>
        <v/>
      </c>
      <c r="Q9" s="43" t="str">
        <f>IFERROR(VLOOKUP(B9,'ECN-ECO_DATA'!B:P,15,FALSE),"")</f>
        <v/>
      </c>
    </row>
    <row r="10" spans="1:17" x14ac:dyDescent="0.25">
      <c r="C10" s="43" t="str">
        <f>IFERROR(VLOOKUP(B10,'ECN-ECO_DATA'!B:C,2,FALSE),"")</f>
        <v/>
      </c>
      <c r="D10" s="43" t="str">
        <f>IFERROR(VLOOKUP(B10,'ECN-ECO_DATA'!B:X,23,FALSE),"")</f>
        <v/>
      </c>
      <c r="E10" s="44" t="str">
        <f>IFERROR(VLOOKUP(B10,'ECN-ECO_DATA'!B:G,5,FALSE),"")</f>
        <v/>
      </c>
      <c r="F10" s="44" t="str">
        <f>IFERROR((IF(VLOOKUP(B10,'ECN-ECO_DATA'!B:G,6,FALSE)="","",VLOOKUP(B10,'ECN-ECO_DATA'!B:G,6,FALSE))),"")</f>
        <v/>
      </c>
      <c r="H10" s="45" t="str">
        <f>IFERROR(VLOOKUP(B10,'ECN-ECO_DATA'!B:G,4,FALSE),"")</f>
        <v/>
      </c>
      <c r="I10" s="46" t="str">
        <f>IFERROR(IF(VLOOKUP(B10,'ECN-ECO_DATA'!B:G,6,FALSE)="","Not started",IF(VLOOKUP(B10,'ECN-ECO_DATA'!B:J,7,FALSE)="","Awaiting First Approval",IF(VLOOKUP(B10,'ECN-ECO_DATA'!B:J,8,FALSE)="","Awaiting Quality Check Approval",IF(VLOOKUP(B10,'ECN-ECO_DATA'!B:J,9,FALSE)="","Awaiting Last Approval",IF(VLOOKUP(B10,'ECN-ECO_DATA'!B:J,9,FALSE)&lt;&gt;"","Approved","Unknown"))))),"")</f>
        <v/>
      </c>
      <c r="K10" s="47" t="str">
        <f>IFERROR(VLOOKUP(B10,'ECN-ECO_DATA'!B:W,22,FALSE),"")</f>
        <v/>
      </c>
      <c r="L10" s="43" t="str">
        <f>IFERROR(IF(VLOOKUP(B10,'ECN-ECO_DATA'!B:AB,27,FALSE)=0,"",VLOOKUP(B10,'ECN-ECO_DATA'!B:AB,27,FALSE)),"")</f>
        <v/>
      </c>
      <c r="M10" s="43" t="str">
        <f>IFERROR(VLOOKUP(B10,'ECN-ECO_DATA'!B:AE,30,FALSE),"")</f>
        <v/>
      </c>
      <c r="N10" s="59" t="str">
        <f>IFERROR(IF((VLOOKUP(B10,'ECN-ECO_DATA'!B:AD,20,FALSE)-VLOOKUP(B10,'ECN-ECO_DATA'!B:AD,18,FALSE))&gt;0,(VLOOKUP(B10,'ECN-ECO_DATA'!B:AD,20,FALSE)-VLOOKUP(B10,'ECN-ECO_DATA'!B:AD,18,FALSE)),""),"")</f>
        <v/>
      </c>
      <c r="O10" s="59"/>
      <c r="P10" s="59" t="str">
        <f>IFERROR(VLOOKUP(B10,'ECN-ECO_DATA'!B:P,13,FALSE),"")</f>
        <v/>
      </c>
      <c r="Q10" s="43" t="str">
        <f>IFERROR(VLOOKUP(B10,'ECN-ECO_DATA'!B:P,15,FALSE),"")</f>
        <v/>
      </c>
    </row>
    <row r="11" spans="1:17" x14ac:dyDescent="0.25">
      <c r="C11" s="43" t="str">
        <f>IFERROR(VLOOKUP(B11,'ECN-ECO_DATA'!B:C,2,FALSE),"")</f>
        <v/>
      </c>
      <c r="D11" s="43" t="str">
        <f>IFERROR(VLOOKUP(B11,'ECN-ECO_DATA'!B:X,23,FALSE),"")</f>
        <v/>
      </c>
      <c r="E11" s="44" t="str">
        <f>IFERROR(VLOOKUP(B11,'ECN-ECO_DATA'!B:G,5,FALSE),"")</f>
        <v/>
      </c>
      <c r="F11" s="44" t="str">
        <f>IFERROR((IF(VLOOKUP(B11,'ECN-ECO_DATA'!B:G,6,FALSE)="","",VLOOKUP(B11,'ECN-ECO_DATA'!B:G,6,FALSE))),"")</f>
        <v/>
      </c>
      <c r="H11" s="45" t="str">
        <f>IFERROR(VLOOKUP(B11,'ECN-ECO_DATA'!B:G,4,FALSE),"")</f>
        <v/>
      </c>
      <c r="I11" s="46" t="str">
        <f>IFERROR(IF(VLOOKUP(B11,'ECN-ECO_DATA'!B:G,6,FALSE)="","Not started",IF(VLOOKUP(B11,'ECN-ECO_DATA'!B:J,7,FALSE)="","Awaiting First Approval",IF(VLOOKUP(B11,'ECN-ECO_DATA'!B:J,8,FALSE)="","Awaiting Quality Check Approval",IF(VLOOKUP(B11,'ECN-ECO_DATA'!B:J,9,FALSE)="","Awaiting Last Approval",IF(VLOOKUP(B11,'ECN-ECO_DATA'!B:J,9,FALSE)&lt;&gt;"","Approved","Unknown"))))),"")</f>
        <v/>
      </c>
      <c r="K11" s="47" t="str">
        <f>IFERROR(VLOOKUP(B11,'ECN-ECO_DATA'!B:W,22,FALSE),"")</f>
        <v/>
      </c>
      <c r="L11" s="43" t="str">
        <f>IFERROR(IF(VLOOKUP(B11,'ECN-ECO_DATA'!B:AB,27,FALSE)=0,"",VLOOKUP(B11,'ECN-ECO_DATA'!B:AB,27,FALSE)),"")</f>
        <v/>
      </c>
      <c r="M11" s="43" t="str">
        <f>IFERROR(VLOOKUP(B11,'ECN-ECO_DATA'!B:AE,30,FALSE),"")</f>
        <v/>
      </c>
      <c r="N11" s="59" t="str">
        <f>IFERROR(IF((VLOOKUP(B11,'ECN-ECO_DATA'!B:AD,20,FALSE)-VLOOKUP(B11,'ECN-ECO_DATA'!B:AD,18,FALSE))&gt;0,(VLOOKUP(B11,'ECN-ECO_DATA'!B:AD,20,FALSE)-VLOOKUP(B11,'ECN-ECO_DATA'!B:AD,18,FALSE)),""),"")</f>
        <v/>
      </c>
      <c r="O11" s="59"/>
      <c r="P11" s="59" t="str">
        <f>IFERROR(VLOOKUP(B11,'ECN-ECO_DATA'!B:P,13,FALSE),"")</f>
        <v/>
      </c>
      <c r="Q11" s="43" t="str">
        <f>IFERROR(VLOOKUP(B11,'ECN-ECO_DATA'!B:P,15,FALSE),"")</f>
        <v/>
      </c>
    </row>
    <row r="12" spans="1:17" x14ac:dyDescent="0.25">
      <c r="C12" s="43" t="str">
        <f>IFERROR(VLOOKUP(B12,'ECN-ECO_DATA'!B:C,2,FALSE),"")</f>
        <v/>
      </c>
      <c r="D12" s="43" t="str">
        <f>IFERROR(VLOOKUP(B12,'ECN-ECO_DATA'!B:X,23,FALSE),"")</f>
        <v/>
      </c>
      <c r="E12" s="44" t="str">
        <f>IFERROR(VLOOKUP(B12,'ECN-ECO_DATA'!B:G,5,FALSE),"")</f>
        <v/>
      </c>
      <c r="F12" s="44" t="str">
        <f>IFERROR((IF(VLOOKUP(B12,'ECN-ECO_DATA'!B:G,6,FALSE)="","",VLOOKUP(B12,'ECN-ECO_DATA'!B:G,6,FALSE))),"")</f>
        <v/>
      </c>
      <c r="H12" s="45" t="str">
        <f>IFERROR(VLOOKUP(B12,'ECN-ECO_DATA'!B:G,4,FALSE),"")</f>
        <v/>
      </c>
      <c r="I12" s="46" t="str">
        <f>IFERROR(IF(VLOOKUP(B12,'ECN-ECO_DATA'!B:G,6,FALSE)="","Not started",IF(VLOOKUP(B12,'ECN-ECO_DATA'!B:J,7,FALSE)="","Awaiting First Approval",IF(VLOOKUP(B12,'ECN-ECO_DATA'!B:J,8,FALSE)="","Awaiting Quality Check Approval",IF(VLOOKUP(B12,'ECN-ECO_DATA'!B:J,9,FALSE)="","Awaiting Last Approval",IF(VLOOKUP(B12,'ECN-ECO_DATA'!B:J,9,FALSE)&lt;&gt;"","Approved","Unknown"))))),"")</f>
        <v/>
      </c>
      <c r="K12" s="47" t="str">
        <f>IFERROR(VLOOKUP(B12,'ECN-ECO_DATA'!B:W,22,FALSE),"")</f>
        <v/>
      </c>
      <c r="L12" s="43" t="str">
        <f>IFERROR(IF(VLOOKUP(B12,'ECN-ECO_DATA'!B:AB,27,FALSE)=0,"",VLOOKUP(B12,'ECN-ECO_DATA'!B:AB,27,FALSE)),"")</f>
        <v/>
      </c>
      <c r="M12" s="43" t="str">
        <f>IFERROR(VLOOKUP(B12,'ECN-ECO_DATA'!B:AE,30,FALSE),"")</f>
        <v/>
      </c>
      <c r="N12" s="59" t="str">
        <f>IFERROR(IF((VLOOKUP(B12,'ECN-ECO_DATA'!B:AD,20,FALSE)-VLOOKUP(B12,'ECN-ECO_DATA'!B:AD,18,FALSE))&gt;0,(VLOOKUP(B12,'ECN-ECO_DATA'!B:AD,20,FALSE)-VLOOKUP(B12,'ECN-ECO_DATA'!B:AD,18,FALSE)),""),"")</f>
        <v/>
      </c>
      <c r="O12" s="59"/>
      <c r="P12" s="59" t="str">
        <f>IFERROR(VLOOKUP(B12,'ECN-ECO_DATA'!B:P,13,FALSE),"")</f>
        <v/>
      </c>
      <c r="Q12" s="43" t="str">
        <f>IFERROR(VLOOKUP(B12,'ECN-ECO_DATA'!B:P,15,FALSE),"")</f>
        <v/>
      </c>
    </row>
    <row r="13" spans="1:17" x14ac:dyDescent="0.25">
      <c r="C13" s="43" t="str">
        <f>IFERROR(VLOOKUP(B13,'ECN-ECO_DATA'!B:C,2,FALSE),"")</f>
        <v/>
      </c>
      <c r="D13" s="43" t="str">
        <f>IFERROR(VLOOKUP(B13,'ECN-ECO_DATA'!B:X,23,FALSE),"")</f>
        <v/>
      </c>
      <c r="E13" s="44" t="str">
        <f>IFERROR(VLOOKUP(B13,'ECN-ECO_DATA'!B:G,5,FALSE),"")</f>
        <v/>
      </c>
      <c r="F13" s="44" t="str">
        <f>IFERROR((IF(VLOOKUP(B13,'ECN-ECO_DATA'!B:G,6,FALSE)="","",VLOOKUP(B13,'ECN-ECO_DATA'!B:G,6,FALSE))),"")</f>
        <v/>
      </c>
      <c r="H13" s="45" t="str">
        <f>IFERROR(VLOOKUP(B13,'ECN-ECO_DATA'!B:G,4,FALSE),"")</f>
        <v/>
      </c>
      <c r="I13" s="46" t="str">
        <f>IFERROR(IF(VLOOKUP(B13,'ECN-ECO_DATA'!B:G,6,FALSE)="","Not started",IF(VLOOKUP(B13,'ECN-ECO_DATA'!B:J,7,FALSE)="","Awaiting First Approval",IF(VLOOKUP(B13,'ECN-ECO_DATA'!B:J,8,FALSE)="","Awaiting Quality Check Approval",IF(VLOOKUP(B13,'ECN-ECO_DATA'!B:J,9,FALSE)="","Awaiting Last Approval",IF(VLOOKUP(B13,'ECN-ECO_DATA'!B:J,9,FALSE)&lt;&gt;"","Approved","Unknown"))))),"")</f>
        <v/>
      </c>
      <c r="K13" s="47" t="str">
        <f>IFERROR(VLOOKUP(B13,'ECN-ECO_DATA'!B:W,22,FALSE),"")</f>
        <v/>
      </c>
      <c r="L13" s="43" t="str">
        <f>IFERROR(IF(VLOOKUP(B13,'ECN-ECO_DATA'!B:AB,27,FALSE)=0,"",VLOOKUP(B13,'ECN-ECO_DATA'!B:AB,27,FALSE)),"")</f>
        <v/>
      </c>
      <c r="M13" s="43" t="str">
        <f>IFERROR(VLOOKUP(B13,'ECN-ECO_DATA'!B:AE,30,FALSE),"")</f>
        <v/>
      </c>
      <c r="N13" s="59" t="str">
        <f>IFERROR(IF((VLOOKUP(B13,'ECN-ECO_DATA'!B:AD,20,FALSE)-VLOOKUP(B13,'ECN-ECO_DATA'!B:AD,18,FALSE))&gt;0,(VLOOKUP(B13,'ECN-ECO_DATA'!B:AD,20,FALSE)-VLOOKUP(B13,'ECN-ECO_DATA'!B:AD,18,FALSE)),""),"")</f>
        <v/>
      </c>
      <c r="O13" s="59"/>
      <c r="P13" s="59" t="str">
        <f>IFERROR(VLOOKUP(B13,'ECN-ECO_DATA'!B:P,13,FALSE),"")</f>
        <v/>
      </c>
      <c r="Q13" s="43" t="str">
        <f>IFERROR(VLOOKUP(B13,'ECN-ECO_DATA'!B:P,15,FALSE),"")</f>
        <v/>
      </c>
    </row>
    <row r="14" spans="1:17" x14ac:dyDescent="0.25">
      <c r="C14" s="43" t="str">
        <f>IFERROR(VLOOKUP(B14,'ECN-ECO_DATA'!B:C,2,FALSE),"")</f>
        <v/>
      </c>
      <c r="D14" s="43" t="str">
        <f>IFERROR(VLOOKUP(B14,'ECN-ECO_DATA'!B:X,23,FALSE),"")</f>
        <v/>
      </c>
      <c r="E14" s="44" t="str">
        <f>IFERROR(VLOOKUP(B14,'ECN-ECO_DATA'!B:G,5,FALSE),"")</f>
        <v/>
      </c>
      <c r="F14" s="44" t="str">
        <f>IFERROR((IF(VLOOKUP(B14,'ECN-ECO_DATA'!B:G,6,FALSE)="","",VLOOKUP(B14,'ECN-ECO_DATA'!B:G,6,FALSE))),"")</f>
        <v/>
      </c>
      <c r="H14" s="45" t="str">
        <f>IFERROR(VLOOKUP(B14,'ECN-ECO_DATA'!B:G,4,FALSE),"")</f>
        <v/>
      </c>
      <c r="I14" s="46" t="str">
        <f>IFERROR(IF(VLOOKUP(B14,'ECN-ECO_DATA'!B:G,6,FALSE)="","Not started",IF(VLOOKUP(B14,'ECN-ECO_DATA'!B:J,7,FALSE)="","Awaiting First Approval",IF(VLOOKUP(B14,'ECN-ECO_DATA'!B:J,8,FALSE)="","Awaiting Quality Check Approval",IF(VLOOKUP(B14,'ECN-ECO_DATA'!B:J,9,FALSE)="","Awaiting Last Approval",IF(VLOOKUP(B14,'ECN-ECO_DATA'!B:J,9,FALSE)&lt;&gt;"","Approved","Unknown"))))),"")</f>
        <v/>
      </c>
      <c r="K14" s="47" t="str">
        <f>IFERROR(VLOOKUP(B14,'ECN-ECO_DATA'!B:W,22,FALSE),"")</f>
        <v/>
      </c>
      <c r="L14" s="43" t="str">
        <f>IFERROR(IF(VLOOKUP(B14,'ECN-ECO_DATA'!B:AB,27,FALSE)=0,"",VLOOKUP(B14,'ECN-ECO_DATA'!B:AB,27,FALSE)),"")</f>
        <v/>
      </c>
      <c r="M14" s="43" t="str">
        <f>IFERROR(VLOOKUP(B14,'ECN-ECO_DATA'!B:AE,30,FALSE),"")</f>
        <v/>
      </c>
      <c r="N14" s="59" t="str">
        <f>IFERROR(IF((VLOOKUP(B14,'ECN-ECO_DATA'!B:AD,20,FALSE)-VLOOKUP(B14,'ECN-ECO_DATA'!B:AD,18,FALSE))&gt;0,(VLOOKUP(B14,'ECN-ECO_DATA'!B:AD,20,FALSE)-VLOOKUP(B14,'ECN-ECO_DATA'!B:AD,18,FALSE)),""),"")</f>
        <v/>
      </c>
      <c r="O14" s="59"/>
      <c r="P14" s="59" t="str">
        <f>IFERROR(VLOOKUP(B14,'ECN-ECO_DATA'!B:P,13,FALSE),"")</f>
        <v/>
      </c>
      <c r="Q14" s="43" t="str">
        <f>IFERROR(VLOOKUP(B14,'ECN-ECO_DATA'!B:P,15,FALSE),"")</f>
        <v/>
      </c>
    </row>
    <row r="15" spans="1:17" x14ac:dyDescent="0.25">
      <c r="C15" s="43" t="str">
        <f>IFERROR(VLOOKUP(B15,'ECN-ECO_DATA'!B:C,2,FALSE),"")</f>
        <v/>
      </c>
      <c r="D15" s="43" t="str">
        <f>IFERROR(VLOOKUP(B15,'ECN-ECO_DATA'!B:X,23,FALSE),"")</f>
        <v/>
      </c>
      <c r="E15" s="44" t="str">
        <f>IFERROR(VLOOKUP(B15,'ECN-ECO_DATA'!B:G,5,FALSE),"")</f>
        <v/>
      </c>
      <c r="F15" s="44" t="str">
        <f>IFERROR((IF(VLOOKUP(B15,'ECN-ECO_DATA'!B:G,6,FALSE)="","",VLOOKUP(B15,'ECN-ECO_DATA'!B:G,6,FALSE))),"")</f>
        <v/>
      </c>
      <c r="H15" s="45" t="str">
        <f>IFERROR(VLOOKUP(B15,'ECN-ECO_DATA'!B:G,4,FALSE),"")</f>
        <v/>
      </c>
      <c r="I15" s="46" t="str">
        <f>IFERROR(IF(VLOOKUP(B15,'ECN-ECO_DATA'!B:G,6,FALSE)="","Not started",IF(VLOOKUP(B15,'ECN-ECO_DATA'!B:J,7,FALSE)="","Awaiting First Approval",IF(VLOOKUP(B15,'ECN-ECO_DATA'!B:J,8,FALSE)="","Awaiting Quality Check Approval",IF(VLOOKUP(B15,'ECN-ECO_DATA'!B:J,9,FALSE)="","Awaiting Last Approval",IF(VLOOKUP(B15,'ECN-ECO_DATA'!B:J,9,FALSE)&lt;&gt;"","Approved","Unknown"))))),"")</f>
        <v/>
      </c>
      <c r="K15" s="47" t="str">
        <f>IFERROR(VLOOKUP(B15,'ECN-ECO_DATA'!B:W,22,FALSE),"")</f>
        <v/>
      </c>
      <c r="L15" s="43" t="str">
        <f>IFERROR(IF(VLOOKUP(B15,'ECN-ECO_DATA'!B:AB,27,FALSE)=0,"",VLOOKUP(B15,'ECN-ECO_DATA'!B:AB,27,FALSE)),"")</f>
        <v/>
      </c>
      <c r="M15" s="43" t="str">
        <f>IFERROR(VLOOKUP(B15,'ECN-ECO_DATA'!B:AE,30,FALSE),"")</f>
        <v/>
      </c>
      <c r="N15" s="59" t="str">
        <f>IFERROR(IF((VLOOKUP(B15,'ECN-ECO_DATA'!B:AD,20,FALSE)-VLOOKUP(B15,'ECN-ECO_DATA'!B:AD,18,FALSE))&gt;0,(VLOOKUP(B15,'ECN-ECO_DATA'!B:AD,20,FALSE)-VLOOKUP(B15,'ECN-ECO_DATA'!B:AD,18,FALSE)),""),"")</f>
        <v/>
      </c>
      <c r="O15" s="59"/>
      <c r="P15" s="59" t="str">
        <f>IFERROR(VLOOKUP(B15,'ECN-ECO_DATA'!B:P,13,FALSE),"")</f>
        <v/>
      </c>
      <c r="Q15" s="43" t="str">
        <f>IFERROR(VLOOKUP(B15,'ECN-ECO_DATA'!B:P,15,FALSE),"")</f>
        <v/>
      </c>
    </row>
    <row r="16" spans="1:17" x14ac:dyDescent="0.25">
      <c r="C16" s="43" t="str">
        <f>IFERROR(VLOOKUP(B16,'ECN-ECO_DATA'!B:C,2,FALSE),"")</f>
        <v/>
      </c>
      <c r="D16" s="43" t="str">
        <f>IFERROR(VLOOKUP(B16,'ECN-ECO_DATA'!B:X,23,FALSE),"")</f>
        <v/>
      </c>
      <c r="E16" s="44" t="str">
        <f>IFERROR(VLOOKUP(B16,'ECN-ECO_DATA'!B:G,5,FALSE),"")</f>
        <v/>
      </c>
      <c r="F16" s="44" t="str">
        <f>IFERROR((IF(VLOOKUP(B16,'ECN-ECO_DATA'!B:G,6,FALSE)="","",VLOOKUP(B16,'ECN-ECO_DATA'!B:G,6,FALSE))),"")</f>
        <v/>
      </c>
      <c r="H16" s="45" t="str">
        <f>IFERROR(VLOOKUP(B16,'ECN-ECO_DATA'!B:G,4,FALSE),"")</f>
        <v/>
      </c>
      <c r="I16" s="46" t="str">
        <f>IFERROR(IF(VLOOKUP(B16,'ECN-ECO_DATA'!B:G,6,FALSE)="","Not started",IF(VLOOKUP(B16,'ECN-ECO_DATA'!B:J,7,FALSE)="","Awaiting First Approval",IF(VLOOKUP(B16,'ECN-ECO_DATA'!B:J,8,FALSE)="","Awaiting Quality Check Approval",IF(VLOOKUP(B16,'ECN-ECO_DATA'!B:J,9,FALSE)="","Awaiting Last Approval",IF(VLOOKUP(B16,'ECN-ECO_DATA'!B:J,9,FALSE)&lt;&gt;"","Approved","Unknown"))))),"")</f>
        <v/>
      </c>
      <c r="K16" s="47" t="str">
        <f>IFERROR(VLOOKUP(B16,'ECN-ECO_DATA'!B:W,22,FALSE),"")</f>
        <v/>
      </c>
      <c r="L16" s="43" t="str">
        <f>IFERROR(IF(VLOOKUP(B16,'ECN-ECO_DATA'!B:AB,27,FALSE)=0,"",VLOOKUP(B16,'ECN-ECO_DATA'!B:AB,27,FALSE)),"")</f>
        <v/>
      </c>
      <c r="M16" s="43" t="str">
        <f>IFERROR(VLOOKUP(B16,'ECN-ECO_DATA'!B:AE,30,FALSE),"")</f>
        <v/>
      </c>
      <c r="N16" s="59" t="str">
        <f>IFERROR(IF((VLOOKUP(B16,'ECN-ECO_DATA'!B:AD,20,FALSE)-VLOOKUP(B16,'ECN-ECO_DATA'!B:AD,18,FALSE))&gt;0,(VLOOKUP(B16,'ECN-ECO_DATA'!B:AD,20,FALSE)-VLOOKUP(B16,'ECN-ECO_DATA'!B:AD,18,FALSE)),""),"")</f>
        <v/>
      </c>
      <c r="O16" s="59"/>
      <c r="P16" s="59" t="str">
        <f>IFERROR(VLOOKUP(B16,'ECN-ECO_DATA'!B:P,13,FALSE),"")</f>
        <v/>
      </c>
      <c r="Q16" s="43" t="str">
        <f>IFERROR(VLOOKUP(B16,'ECN-ECO_DATA'!B:P,15,FALSE),"")</f>
        <v/>
      </c>
    </row>
    <row r="17" spans="3:17" x14ac:dyDescent="0.25">
      <c r="C17" s="43" t="str">
        <f>IFERROR(VLOOKUP(B17,'ECN-ECO_DATA'!B:C,2,FALSE),"")</f>
        <v/>
      </c>
      <c r="D17" s="43" t="str">
        <f>IFERROR(VLOOKUP(B17,'ECN-ECO_DATA'!B:X,23,FALSE),"")</f>
        <v/>
      </c>
      <c r="E17" s="44" t="str">
        <f>IFERROR(VLOOKUP(B17,'ECN-ECO_DATA'!B:G,5,FALSE),"")</f>
        <v/>
      </c>
      <c r="F17" s="44" t="str">
        <f>IFERROR((IF(VLOOKUP(B17,'ECN-ECO_DATA'!B:G,6,FALSE)="","",VLOOKUP(B17,'ECN-ECO_DATA'!B:G,6,FALSE))),"")</f>
        <v/>
      </c>
      <c r="H17" s="45" t="str">
        <f>IFERROR(VLOOKUP(B17,'ECN-ECO_DATA'!B:G,4,FALSE),"")</f>
        <v/>
      </c>
      <c r="I17" s="46" t="str">
        <f>IFERROR(IF(VLOOKUP(B17,'ECN-ECO_DATA'!B:G,6,FALSE)="","Not started",IF(VLOOKUP(B17,'ECN-ECO_DATA'!B:J,7,FALSE)="","Awaiting First Approval",IF(VLOOKUP(B17,'ECN-ECO_DATA'!B:J,8,FALSE)="","Awaiting Quality Check Approval",IF(VLOOKUP(B17,'ECN-ECO_DATA'!B:J,9,FALSE)="","Awaiting Last Approval",IF(VLOOKUP(B17,'ECN-ECO_DATA'!B:J,9,FALSE)&lt;&gt;"","Approved","Unknown"))))),"")</f>
        <v/>
      </c>
      <c r="K17" s="47" t="str">
        <f>IFERROR(VLOOKUP(B17,'ECN-ECO_DATA'!B:W,22,FALSE),"")</f>
        <v/>
      </c>
      <c r="L17" s="43" t="str">
        <f>IFERROR(IF(VLOOKUP(B17,'ECN-ECO_DATA'!B:AB,27,FALSE)=0,"",VLOOKUP(B17,'ECN-ECO_DATA'!B:AB,27,FALSE)),"")</f>
        <v/>
      </c>
      <c r="M17" s="43" t="str">
        <f>IFERROR(VLOOKUP(B17,'ECN-ECO_DATA'!B:AE,30,FALSE),"")</f>
        <v/>
      </c>
      <c r="N17" s="59" t="str">
        <f>IFERROR(IF((VLOOKUP(B17,'ECN-ECO_DATA'!B:AD,20,FALSE)-VLOOKUP(B17,'ECN-ECO_DATA'!B:AD,18,FALSE))&gt;0,(VLOOKUP(B17,'ECN-ECO_DATA'!B:AD,20,FALSE)-VLOOKUP(B17,'ECN-ECO_DATA'!B:AD,18,FALSE)),""),"")</f>
        <v/>
      </c>
      <c r="O17" s="59"/>
      <c r="P17" s="59" t="str">
        <f>IFERROR(VLOOKUP(B17,'ECN-ECO_DATA'!B:P,13,FALSE),"")</f>
        <v/>
      </c>
      <c r="Q17" s="43" t="str">
        <f>IFERROR(VLOOKUP(B17,'ECN-ECO_DATA'!B:P,15,FALSE),"")</f>
        <v/>
      </c>
    </row>
    <row r="18" spans="3:17" x14ac:dyDescent="0.25">
      <c r="C18" s="43" t="str">
        <f>IFERROR(VLOOKUP(B18,'ECN-ECO_DATA'!B:C,2,FALSE),"")</f>
        <v/>
      </c>
      <c r="D18" s="43" t="str">
        <f>IFERROR(VLOOKUP(B18,'ECN-ECO_DATA'!B:X,23,FALSE),"")</f>
        <v/>
      </c>
      <c r="E18" s="44" t="str">
        <f>IFERROR(VLOOKUP(B18,'ECN-ECO_DATA'!B:G,5,FALSE),"")</f>
        <v/>
      </c>
      <c r="F18" s="44" t="str">
        <f>IFERROR((IF(VLOOKUP(B18,'ECN-ECO_DATA'!B:G,6,FALSE)="","",VLOOKUP(B18,'ECN-ECO_DATA'!B:G,6,FALSE))),"")</f>
        <v/>
      </c>
      <c r="H18" s="45" t="str">
        <f>IFERROR(VLOOKUP(B18,'ECN-ECO_DATA'!B:G,4,FALSE),"")</f>
        <v/>
      </c>
      <c r="I18" s="46" t="str">
        <f>IFERROR(IF(VLOOKUP(B18,'ECN-ECO_DATA'!B:G,6,FALSE)="","Not started",IF(VLOOKUP(B18,'ECN-ECO_DATA'!B:J,7,FALSE)="","Awaiting First Approval",IF(VLOOKUP(B18,'ECN-ECO_DATA'!B:J,8,FALSE)="","Awaiting Quality Check Approval",IF(VLOOKUP(B18,'ECN-ECO_DATA'!B:J,9,FALSE)="","Awaiting Last Approval",IF(VLOOKUP(B18,'ECN-ECO_DATA'!B:J,9,FALSE)&lt;&gt;"","Approved","Unknown"))))),"")</f>
        <v/>
      </c>
      <c r="K18" s="47" t="str">
        <f>IFERROR(VLOOKUP(B18,'ECN-ECO_DATA'!B:W,22,FALSE),"")</f>
        <v/>
      </c>
      <c r="L18" s="43" t="str">
        <f>IFERROR(IF(VLOOKUP(B18,'ECN-ECO_DATA'!B:AB,27,FALSE)=0,"",VLOOKUP(B18,'ECN-ECO_DATA'!B:AB,27,FALSE)),"")</f>
        <v/>
      </c>
      <c r="M18" s="43" t="str">
        <f>IFERROR(VLOOKUP(B18,'ECN-ECO_DATA'!B:AE,30,FALSE),"")</f>
        <v/>
      </c>
      <c r="N18" s="59" t="str">
        <f>IFERROR(IF((VLOOKUP(B18,'ECN-ECO_DATA'!B:AD,20,FALSE)-VLOOKUP(B18,'ECN-ECO_DATA'!B:AD,18,FALSE))&gt;0,(VLOOKUP(B18,'ECN-ECO_DATA'!B:AD,20,FALSE)-VLOOKUP(B18,'ECN-ECO_DATA'!B:AD,18,FALSE)),""),"")</f>
        <v/>
      </c>
      <c r="O18" s="59"/>
      <c r="P18" s="59" t="str">
        <f>IFERROR(VLOOKUP(B18,'ECN-ECO_DATA'!B:P,13,FALSE),"")</f>
        <v/>
      </c>
      <c r="Q18" s="43" t="str">
        <f>IFERROR(VLOOKUP(B18,'ECN-ECO_DATA'!B:P,15,FALSE),"")</f>
        <v/>
      </c>
    </row>
    <row r="19" spans="3:17" x14ac:dyDescent="0.25">
      <c r="C19" s="43" t="str">
        <f>IFERROR(VLOOKUP(B19,'ECN-ECO_DATA'!B:C,2,FALSE),"")</f>
        <v/>
      </c>
      <c r="D19" s="43" t="str">
        <f>IFERROR(VLOOKUP(B19,'ECN-ECO_DATA'!B:X,23,FALSE),"")</f>
        <v/>
      </c>
      <c r="E19" s="44" t="str">
        <f>IFERROR(VLOOKUP(B19,'ECN-ECO_DATA'!B:G,5,FALSE),"")</f>
        <v/>
      </c>
      <c r="F19" s="44" t="str">
        <f>IFERROR((IF(VLOOKUP(B19,'ECN-ECO_DATA'!B:G,6,FALSE)="","",VLOOKUP(B19,'ECN-ECO_DATA'!B:G,6,FALSE))),"")</f>
        <v/>
      </c>
      <c r="H19" s="45" t="str">
        <f>IFERROR(VLOOKUP(B19,'ECN-ECO_DATA'!B:G,4,FALSE),"")</f>
        <v/>
      </c>
      <c r="I19" s="46" t="str">
        <f>IFERROR(IF(VLOOKUP(B19,'ECN-ECO_DATA'!B:G,6,FALSE)="","Not started",IF(VLOOKUP(B19,'ECN-ECO_DATA'!B:J,7,FALSE)="","Awaiting First Approval",IF(VLOOKUP(B19,'ECN-ECO_DATA'!B:J,8,FALSE)="","Awaiting Quality Check Approval",IF(VLOOKUP(B19,'ECN-ECO_DATA'!B:J,9,FALSE)="","Awaiting Last Approval",IF(VLOOKUP(B19,'ECN-ECO_DATA'!B:J,9,FALSE)&lt;&gt;"","Approved","Unknown"))))),"")</f>
        <v/>
      </c>
      <c r="K19" s="47" t="str">
        <f>IFERROR(VLOOKUP(B19,'ECN-ECO_DATA'!B:W,22,FALSE),"")</f>
        <v/>
      </c>
      <c r="L19" s="43" t="str">
        <f>IFERROR(IF(VLOOKUP(B19,'ECN-ECO_DATA'!B:AB,27,FALSE)=0,"",VLOOKUP(B19,'ECN-ECO_DATA'!B:AB,27,FALSE)),"")</f>
        <v/>
      </c>
      <c r="M19" s="43" t="str">
        <f>IFERROR(VLOOKUP(B19,'ECN-ECO_DATA'!B:AE,30,FALSE),"")</f>
        <v/>
      </c>
      <c r="N19" s="59" t="str">
        <f>IFERROR(IF((VLOOKUP(B19,'ECN-ECO_DATA'!B:AD,20,FALSE)-VLOOKUP(B19,'ECN-ECO_DATA'!B:AD,18,FALSE))&gt;0,(VLOOKUP(B19,'ECN-ECO_DATA'!B:AD,20,FALSE)-VLOOKUP(B19,'ECN-ECO_DATA'!B:AD,18,FALSE)),""),"")</f>
        <v/>
      </c>
      <c r="O19" s="59"/>
      <c r="P19" s="59" t="str">
        <f>IFERROR(VLOOKUP(B19,'ECN-ECO_DATA'!B:P,13,FALSE),"")</f>
        <v/>
      </c>
      <c r="Q19" s="43" t="str">
        <f>IFERROR(VLOOKUP(B19,'ECN-ECO_DATA'!B:P,15,FALSE),"")</f>
        <v/>
      </c>
    </row>
    <row r="20" spans="3:17" x14ac:dyDescent="0.25">
      <c r="C20" s="43" t="str">
        <f>IFERROR(VLOOKUP(B20,'ECN-ECO_DATA'!B:C,2,FALSE),"")</f>
        <v/>
      </c>
      <c r="D20" s="43" t="str">
        <f>IFERROR(VLOOKUP(B20,'ECN-ECO_DATA'!B:X,23,FALSE),"")</f>
        <v/>
      </c>
      <c r="E20" s="44" t="str">
        <f>IFERROR(VLOOKUP(B20,'ECN-ECO_DATA'!B:G,5,FALSE),"")</f>
        <v/>
      </c>
      <c r="F20" s="44" t="str">
        <f>IFERROR((IF(VLOOKUP(B20,'ECN-ECO_DATA'!B:G,6,FALSE)="","",VLOOKUP(B20,'ECN-ECO_DATA'!B:G,6,FALSE))),"")</f>
        <v/>
      </c>
      <c r="H20" s="45" t="str">
        <f>IFERROR(VLOOKUP(B20,'ECN-ECO_DATA'!B:G,4,FALSE),"")</f>
        <v/>
      </c>
      <c r="I20" s="46" t="str">
        <f>IFERROR(IF(VLOOKUP(B20,'ECN-ECO_DATA'!B:G,6,FALSE)="","Not started",IF(VLOOKUP(B20,'ECN-ECO_DATA'!B:J,7,FALSE)="","Awaiting First Approval",IF(VLOOKUP(B20,'ECN-ECO_DATA'!B:J,8,FALSE)="","Awaiting Quality Check Approval",IF(VLOOKUP(B20,'ECN-ECO_DATA'!B:J,9,FALSE)="","Awaiting Last Approval",IF(VLOOKUP(B20,'ECN-ECO_DATA'!B:J,9,FALSE)&lt;&gt;"","Approved","Unknown"))))),"")</f>
        <v/>
      </c>
      <c r="K20" s="47" t="str">
        <f>IFERROR(VLOOKUP(B20,'ECN-ECO_DATA'!B:W,22,FALSE),"")</f>
        <v/>
      </c>
      <c r="L20" s="43" t="str">
        <f>IFERROR(IF(VLOOKUP(B20,'ECN-ECO_DATA'!B:AB,27,FALSE)=0,"",VLOOKUP(B20,'ECN-ECO_DATA'!B:AB,27,FALSE)),"")</f>
        <v/>
      </c>
      <c r="M20" s="43" t="str">
        <f>IFERROR(VLOOKUP(B20,'ECN-ECO_DATA'!B:AE,30,FALSE),"")</f>
        <v/>
      </c>
      <c r="N20" s="59" t="str">
        <f>IFERROR(IF((VLOOKUP(B20,'ECN-ECO_DATA'!B:AD,20,FALSE)-VLOOKUP(B20,'ECN-ECO_DATA'!B:AD,18,FALSE))&gt;0,(VLOOKUP(B20,'ECN-ECO_DATA'!B:AD,20,FALSE)-VLOOKUP(B20,'ECN-ECO_DATA'!B:AD,18,FALSE)),""),"")</f>
        <v/>
      </c>
      <c r="O20" s="59"/>
      <c r="P20" s="59" t="str">
        <f>IFERROR(VLOOKUP(B20,'ECN-ECO_DATA'!B:P,13,FALSE),"")</f>
        <v/>
      </c>
      <c r="Q20" s="43" t="str">
        <f>IFERROR(VLOOKUP(B20,'ECN-ECO_DATA'!B:P,15,FALSE),"")</f>
        <v/>
      </c>
    </row>
    <row r="21" spans="3:17" x14ac:dyDescent="0.25">
      <c r="C21" s="43" t="str">
        <f>IFERROR(VLOOKUP(B21,'ECN-ECO_DATA'!B:C,2,FALSE),"")</f>
        <v/>
      </c>
      <c r="D21" s="43" t="str">
        <f>IFERROR(VLOOKUP(B21,'ECN-ECO_DATA'!B:X,23,FALSE),"")</f>
        <v/>
      </c>
      <c r="E21" s="44" t="str">
        <f>IFERROR(VLOOKUP(B21,'ECN-ECO_DATA'!B:G,5,FALSE),"")</f>
        <v/>
      </c>
      <c r="F21" s="44" t="str">
        <f>IFERROR((IF(VLOOKUP(B21,'ECN-ECO_DATA'!B:G,6,FALSE)="","",VLOOKUP(B21,'ECN-ECO_DATA'!B:G,6,FALSE))),"")</f>
        <v/>
      </c>
      <c r="H21" s="45" t="str">
        <f>IFERROR(VLOOKUP(B21,'ECN-ECO_DATA'!B:G,4,FALSE),"")</f>
        <v/>
      </c>
      <c r="I21" s="46" t="str">
        <f>IFERROR(IF(VLOOKUP(B21,'ECN-ECO_DATA'!B:G,6,FALSE)="","Not started",IF(VLOOKUP(B21,'ECN-ECO_DATA'!B:J,7,FALSE)="","Awaiting First Approval",IF(VLOOKUP(B21,'ECN-ECO_DATA'!B:J,8,FALSE)="","Awaiting Quality Check Approval",IF(VLOOKUP(B21,'ECN-ECO_DATA'!B:J,9,FALSE)="","Awaiting Last Approval",IF(VLOOKUP(B21,'ECN-ECO_DATA'!B:J,9,FALSE)&lt;&gt;"","Approved","Unknown"))))),"")</f>
        <v/>
      </c>
      <c r="K21" s="47" t="str">
        <f>IFERROR(VLOOKUP(B21,'ECN-ECO_DATA'!B:W,22,FALSE),"")</f>
        <v/>
      </c>
      <c r="L21" s="43" t="str">
        <f>IFERROR(IF(VLOOKUP(B21,'ECN-ECO_DATA'!B:AB,27,FALSE)=0,"",VLOOKUP(B21,'ECN-ECO_DATA'!B:AB,27,FALSE)),"")</f>
        <v/>
      </c>
      <c r="M21" s="43" t="str">
        <f>IFERROR(VLOOKUP(B21,'ECN-ECO_DATA'!B:AE,30,FALSE),"")</f>
        <v/>
      </c>
      <c r="N21" s="59" t="str">
        <f>IFERROR(IF((VLOOKUP(B21,'ECN-ECO_DATA'!B:AD,20,FALSE)-VLOOKUP(B21,'ECN-ECO_DATA'!B:AD,18,FALSE))&gt;0,(VLOOKUP(B21,'ECN-ECO_DATA'!B:AD,20,FALSE)-VLOOKUP(B21,'ECN-ECO_DATA'!B:AD,18,FALSE)),""),"")</f>
        <v/>
      </c>
      <c r="O21" s="59"/>
      <c r="P21" s="59" t="str">
        <f>IFERROR(VLOOKUP(B21,'ECN-ECO_DATA'!B:P,13,FALSE),"")</f>
        <v/>
      </c>
      <c r="Q21" s="43" t="str">
        <f>IFERROR(VLOOKUP(B21,'ECN-ECO_DATA'!B:P,15,FALSE),"")</f>
        <v/>
      </c>
    </row>
    <row r="22" spans="3:17" x14ac:dyDescent="0.25">
      <c r="C22" s="43" t="str">
        <f>IFERROR(VLOOKUP(B22,'ECN-ECO_DATA'!B:C,2,FALSE),"")</f>
        <v/>
      </c>
      <c r="D22" s="43" t="str">
        <f>IFERROR(VLOOKUP(B22,'ECN-ECO_DATA'!B:X,23,FALSE),"")</f>
        <v/>
      </c>
      <c r="E22" s="44" t="str">
        <f>IFERROR(VLOOKUP(B22,'ECN-ECO_DATA'!B:G,5,FALSE),"")</f>
        <v/>
      </c>
      <c r="F22" s="44" t="str">
        <f>IFERROR((IF(VLOOKUP(B22,'ECN-ECO_DATA'!B:G,6,FALSE)="","",VLOOKUP(B22,'ECN-ECO_DATA'!B:G,6,FALSE))),"")</f>
        <v/>
      </c>
      <c r="H22" s="45" t="str">
        <f>IFERROR(VLOOKUP(B22,'ECN-ECO_DATA'!B:G,4,FALSE),"")</f>
        <v/>
      </c>
      <c r="I22" s="46" t="str">
        <f>IFERROR(IF(VLOOKUP(B22,'ECN-ECO_DATA'!B:G,6,FALSE)="","Not started",IF(VLOOKUP(B22,'ECN-ECO_DATA'!B:J,7,FALSE)="","Awaiting First Approval",IF(VLOOKUP(B22,'ECN-ECO_DATA'!B:J,8,FALSE)="","Awaiting Quality Check Approval",IF(VLOOKUP(B22,'ECN-ECO_DATA'!B:J,9,FALSE)="","Awaiting Last Approval",IF(VLOOKUP(B22,'ECN-ECO_DATA'!B:J,9,FALSE)&lt;&gt;"","Approved","Unknown"))))),"")</f>
        <v/>
      </c>
      <c r="K22" s="47" t="str">
        <f>IFERROR(VLOOKUP(B22,'ECN-ECO_DATA'!B:W,22,FALSE),"")</f>
        <v/>
      </c>
      <c r="L22" s="43" t="str">
        <f>IFERROR(IF(VLOOKUP(B22,'ECN-ECO_DATA'!B:AB,27,FALSE)=0,"",VLOOKUP(B22,'ECN-ECO_DATA'!B:AB,27,FALSE)),"")</f>
        <v/>
      </c>
      <c r="M22" s="43" t="str">
        <f>IFERROR(VLOOKUP(B22,'ECN-ECO_DATA'!B:AE,30,FALSE),"")</f>
        <v/>
      </c>
      <c r="N22" s="59" t="str">
        <f>IFERROR(IF((VLOOKUP(B22,'ECN-ECO_DATA'!B:AD,20,FALSE)-VLOOKUP(B22,'ECN-ECO_DATA'!B:AD,18,FALSE))&gt;0,(VLOOKUP(B22,'ECN-ECO_DATA'!B:AD,20,FALSE)-VLOOKUP(B22,'ECN-ECO_DATA'!B:AD,18,FALSE)),""),"")</f>
        <v/>
      </c>
      <c r="O22" s="59"/>
      <c r="P22" s="59" t="str">
        <f>IFERROR(VLOOKUP(B22,'ECN-ECO_DATA'!B:P,13,FALSE),"")</f>
        <v/>
      </c>
      <c r="Q22" s="43" t="str">
        <f>IFERROR(VLOOKUP(B22,'ECN-ECO_DATA'!B:P,15,FALSE),"")</f>
        <v/>
      </c>
    </row>
    <row r="23" spans="3:17" x14ac:dyDescent="0.25">
      <c r="C23" s="43" t="str">
        <f>IFERROR(VLOOKUP(B23,'ECN-ECO_DATA'!B:C,2,FALSE),"")</f>
        <v/>
      </c>
      <c r="D23" s="43" t="str">
        <f>IFERROR(VLOOKUP(B23,'ECN-ECO_DATA'!B:X,23,FALSE),"")</f>
        <v/>
      </c>
      <c r="E23" s="44" t="str">
        <f>IFERROR(VLOOKUP(B23,'ECN-ECO_DATA'!B:G,5,FALSE),"")</f>
        <v/>
      </c>
      <c r="F23" s="44" t="str">
        <f>IFERROR((IF(VLOOKUP(B23,'ECN-ECO_DATA'!B:G,6,FALSE)="","",VLOOKUP(B23,'ECN-ECO_DATA'!B:G,6,FALSE))),"")</f>
        <v/>
      </c>
      <c r="H23" s="45" t="str">
        <f>IFERROR(VLOOKUP(B23,'ECN-ECO_DATA'!B:G,4,FALSE),"")</f>
        <v/>
      </c>
      <c r="I23" s="46" t="str">
        <f>IFERROR(IF(VLOOKUP(B23,'ECN-ECO_DATA'!B:G,6,FALSE)="","Not started",IF(VLOOKUP(B23,'ECN-ECO_DATA'!B:J,7,FALSE)="","Awaiting First Approval",IF(VLOOKUP(B23,'ECN-ECO_DATA'!B:J,8,FALSE)="","Awaiting Quality Check Approval",IF(VLOOKUP(B23,'ECN-ECO_DATA'!B:J,9,FALSE)="","Awaiting Last Approval",IF(VLOOKUP(B23,'ECN-ECO_DATA'!B:J,9,FALSE)&lt;&gt;"","Approved","Unknown"))))),"")</f>
        <v/>
      </c>
      <c r="K23" s="47" t="str">
        <f>IFERROR(VLOOKUP(B23,'ECN-ECO_DATA'!B:W,22,FALSE),"")</f>
        <v/>
      </c>
      <c r="L23" s="43" t="str">
        <f>IFERROR(IF(VLOOKUP(B23,'ECN-ECO_DATA'!B:AB,27,FALSE)=0,"",VLOOKUP(B23,'ECN-ECO_DATA'!B:AB,27,FALSE)),"")</f>
        <v/>
      </c>
      <c r="M23" s="43" t="str">
        <f>IFERROR(VLOOKUP(B23,'ECN-ECO_DATA'!B:AE,30,FALSE),"")</f>
        <v/>
      </c>
      <c r="N23" s="59" t="str">
        <f>IFERROR(IF((VLOOKUP(B23,'ECN-ECO_DATA'!B:AD,20,FALSE)-VLOOKUP(B23,'ECN-ECO_DATA'!B:AD,18,FALSE))&gt;0,(VLOOKUP(B23,'ECN-ECO_DATA'!B:AD,20,FALSE)-VLOOKUP(B23,'ECN-ECO_DATA'!B:AD,18,FALSE)),""),"")</f>
        <v/>
      </c>
      <c r="O23" s="59"/>
      <c r="P23" s="59" t="str">
        <f>IFERROR(VLOOKUP(B23,'ECN-ECO_DATA'!B:P,13,FALSE),"")</f>
        <v/>
      </c>
      <c r="Q23" s="43" t="str">
        <f>IFERROR(VLOOKUP(B23,'ECN-ECO_DATA'!B:P,15,FALSE),"")</f>
        <v/>
      </c>
    </row>
    <row r="24" spans="3:17" x14ac:dyDescent="0.25">
      <c r="C24" s="43" t="str">
        <f>IFERROR(VLOOKUP(B24,'ECN-ECO_DATA'!B:C,2,FALSE),"")</f>
        <v/>
      </c>
      <c r="D24" s="43" t="str">
        <f>IFERROR(VLOOKUP(B24,'ECN-ECO_DATA'!B:X,23,FALSE),"")</f>
        <v/>
      </c>
      <c r="E24" s="44" t="str">
        <f>IFERROR(VLOOKUP(B24,'ECN-ECO_DATA'!B:G,5,FALSE),"")</f>
        <v/>
      </c>
      <c r="F24" s="44" t="str">
        <f>IFERROR((IF(VLOOKUP(B24,'ECN-ECO_DATA'!B:G,6,FALSE)="","",VLOOKUP(B24,'ECN-ECO_DATA'!B:G,6,FALSE))),"")</f>
        <v/>
      </c>
      <c r="H24" s="45" t="str">
        <f>IFERROR(VLOOKUP(B24,'ECN-ECO_DATA'!B:G,4,FALSE),"")</f>
        <v/>
      </c>
      <c r="I24" s="46" t="str">
        <f>IFERROR(IF(VLOOKUP(B24,'ECN-ECO_DATA'!B:G,6,FALSE)="","Not started",IF(VLOOKUP(B24,'ECN-ECO_DATA'!B:J,7,FALSE)="","Awaiting First Approval",IF(VLOOKUP(B24,'ECN-ECO_DATA'!B:J,8,FALSE)="","Awaiting Quality Check Approval",IF(VLOOKUP(B24,'ECN-ECO_DATA'!B:J,9,FALSE)="","Awaiting Last Approval",IF(VLOOKUP(B24,'ECN-ECO_DATA'!B:J,9,FALSE)&lt;&gt;"","Approved","Unknown"))))),"")</f>
        <v/>
      </c>
      <c r="K24" s="47" t="str">
        <f>IFERROR(VLOOKUP(B24,'ECN-ECO_DATA'!B:W,22,FALSE),"")</f>
        <v/>
      </c>
      <c r="L24" s="43" t="str">
        <f>IFERROR(IF(VLOOKUP(B24,'ECN-ECO_DATA'!B:AB,27,FALSE)=0,"",VLOOKUP(B24,'ECN-ECO_DATA'!B:AB,27,FALSE)),"")</f>
        <v/>
      </c>
      <c r="M24" s="43" t="str">
        <f>IFERROR(VLOOKUP(B24,'ECN-ECO_DATA'!B:AE,30,FALSE),"")</f>
        <v/>
      </c>
      <c r="N24" s="59" t="str">
        <f>IFERROR(IF((VLOOKUP(B24,'ECN-ECO_DATA'!B:AD,20,FALSE)-VLOOKUP(B24,'ECN-ECO_DATA'!B:AD,18,FALSE))&gt;0,(VLOOKUP(B24,'ECN-ECO_DATA'!B:AD,20,FALSE)-VLOOKUP(B24,'ECN-ECO_DATA'!B:AD,18,FALSE)),""),"")</f>
        <v/>
      </c>
      <c r="O24" s="59"/>
      <c r="P24" s="59" t="str">
        <f>IFERROR(VLOOKUP(B24,'ECN-ECO_DATA'!B:P,13,FALSE),"")</f>
        <v/>
      </c>
      <c r="Q24" s="43" t="str">
        <f>IFERROR(VLOOKUP(B24,'ECN-ECO_DATA'!B:P,15,FALSE),"")</f>
        <v/>
      </c>
    </row>
    <row r="25" spans="3:17" x14ac:dyDescent="0.25">
      <c r="C25" s="43" t="str">
        <f>IFERROR(VLOOKUP(B25,'ECN-ECO_DATA'!B:C,2,FALSE),"")</f>
        <v/>
      </c>
      <c r="D25" s="43" t="str">
        <f>IFERROR(VLOOKUP(B25,'ECN-ECO_DATA'!B:X,23,FALSE),"")</f>
        <v/>
      </c>
      <c r="E25" s="44" t="str">
        <f>IFERROR(VLOOKUP(B25,'ECN-ECO_DATA'!B:G,5,FALSE),"")</f>
        <v/>
      </c>
      <c r="F25" s="44" t="str">
        <f>IFERROR((IF(VLOOKUP(B25,'ECN-ECO_DATA'!B:G,6,FALSE)="","",VLOOKUP(B25,'ECN-ECO_DATA'!B:G,6,FALSE))),"")</f>
        <v/>
      </c>
      <c r="H25" s="45" t="str">
        <f>IFERROR(VLOOKUP(B25,'ECN-ECO_DATA'!B:G,4,FALSE),"")</f>
        <v/>
      </c>
      <c r="I25" s="46" t="str">
        <f>IFERROR(IF(VLOOKUP(B25,'ECN-ECO_DATA'!B:G,6,FALSE)="","Not started",IF(VLOOKUP(B25,'ECN-ECO_DATA'!B:J,7,FALSE)="","Awaiting First Approval",IF(VLOOKUP(B25,'ECN-ECO_DATA'!B:J,8,FALSE)="","Awaiting Quality Check Approval",IF(VLOOKUP(B25,'ECN-ECO_DATA'!B:J,9,FALSE)="","Awaiting Last Approval",IF(VLOOKUP(B25,'ECN-ECO_DATA'!B:J,9,FALSE)&lt;&gt;"","Approved","Unknown"))))),"")</f>
        <v/>
      </c>
      <c r="K25" s="47" t="str">
        <f>IFERROR(VLOOKUP(B25,'ECN-ECO_DATA'!B:W,22,FALSE),"")</f>
        <v/>
      </c>
      <c r="L25" s="43" t="str">
        <f>IFERROR(IF(VLOOKUP(B25,'ECN-ECO_DATA'!B:AB,27,FALSE)=0,"",VLOOKUP(B25,'ECN-ECO_DATA'!B:AB,27,FALSE)),"")</f>
        <v/>
      </c>
      <c r="M25" s="43" t="str">
        <f>IFERROR(VLOOKUP(B25,'ECN-ECO_DATA'!B:AE,30,FALSE),"")</f>
        <v/>
      </c>
      <c r="N25" s="59" t="str">
        <f>IFERROR(IF((VLOOKUP(B25,'ECN-ECO_DATA'!B:AD,20,FALSE)-VLOOKUP(B25,'ECN-ECO_DATA'!B:AD,18,FALSE))&gt;0,(VLOOKUP(B25,'ECN-ECO_DATA'!B:AD,20,FALSE)-VLOOKUP(B25,'ECN-ECO_DATA'!B:AD,18,FALSE)),""),"")</f>
        <v/>
      </c>
      <c r="O25" s="59"/>
      <c r="P25" s="59" t="str">
        <f>IFERROR(VLOOKUP(B25,'ECN-ECO_DATA'!B:P,13,FALSE),"")</f>
        <v/>
      </c>
      <c r="Q25" s="43" t="str">
        <f>IFERROR(VLOOKUP(B25,'ECN-ECO_DATA'!B:P,15,FALSE),"")</f>
        <v/>
      </c>
    </row>
    <row r="26" spans="3:17" x14ac:dyDescent="0.25">
      <c r="C26" s="43" t="str">
        <f>IFERROR(VLOOKUP(B26,'ECN-ECO_DATA'!B:C,2,FALSE),"")</f>
        <v/>
      </c>
      <c r="D26" s="43" t="str">
        <f>IFERROR(VLOOKUP(B26,'ECN-ECO_DATA'!B:X,23,FALSE),"")</f>
        <v/>
      </c>
      <c r="E26" s="44" t="str">
        <f>IFERROR(VLOOKUP(B26,'ECN-ECO_DATA'!B:G,5,FALSE),"")</f>
        <v/>
      </c>
      <c r="F26" s="44" t="str">
        <f>IFERROR((IF(VLOOKUP(B26,'ECN-ECO_DATA'!B:G,6,FALSE)="","",VLOOKUP(B26,'ECN-ECO_DATA'!B:G,6,FALSE))),"")</f>
        <v/>
      </c>
      <c r="H26" s="45" t="str">
        <f>IFERROR(VLOOKUP(B26,'ECN-ECO_DATA'!B:G,4,FALSE),"")</f>
        <v/>
      </c>
      <c r="I26" s="46" t="str">
        <f>IFERROR(IF(VLOOKUP(B26,'ECN-ECO_DATA'!B:G,6,FALSE)="","Not started",IF(VLOOKUP(B26,'ECN-ECO_DATA'!B:J,7,FALSE)="","Awaiting First Approval",IF(VLOOKUP(B26,'ECN-ECO_DATA'!B:J,8,FALSE)="","Awaiting Quality Check Approval",IF(VLOOKUP(B26,'ECN-ECO_DATA'!B:J,9,FALSE)="","Awaiting Last Approval",IF(VLOOKUP(B26,'ECN-ECO_DATA'!B:J,9,FALSE)&lt;&gt;"","Approved","Unknown"))))),"")</f>
        <v/>
      </c>
      <c r="K26" s="47" t="str">
        <f>IFERROR(VLOOKUP(B26,'ECN-ECO_DATA'!B:W,22,FALSE),"")</f>
        <v/>
      </c>
      <c r="L26" s="43" t="str">
        <f>IFERROR(IF(VLOOKUP(B26,'ECN-ECO_DATA'!B:AB,27,FALSE)=0,"",VLOOKUP(B26,'ECN-ECO_DATA'!B:AB,27,FALSE)),"")</f>
        <v/>
      </c>
      <c r="M26" s="43" t="str">
        <f>IFERROR(VLOOKUP(B26,'ECN-ECO_DATA'!B:AE,30,FALSE),"")</f>
        <v/>
      </c>
      <c r="N26" s="59" t="str">
        <f>IFERROR(IF((VLOOKUP(B26,'ECN-ECO_DATA'!B:AD,20,FALSE)-VLOOKUP(B26,'ECN-ECO_DATA'!B:AD,18,FALSE))&gt;0,(VLOOKUP(B26,'ECN-ECO_DATA'!B:AD,20,FALSE)-VLOOKUP(B26,'ECN-ECO_DATA'!B:AD,18,FALSE)),""),"")</f>
        <v/>
      </c>
      <c r="O26" s="59"/>
      <c r="P26" s="59" t="str">
        <f>IFERROR(VLOOKUP(B26,'ECN-ECO_DATA'!B:P,13,FALSE),"")</f>
        <v/>
      </c>
      <c r="Q26" s="43" t="str">
        <f>IFERROR(VLOOKUP(B26,'ECN-ECO_DATA'!B:P,15,FALSE),"")</f>
        <v/>
      </c>
    </row>
    <row r="27" spans="3:17" x14ac:dyDescent="0.25">
      <c r="C27" s="43" t="str">
        <f>IFERROR(VLOOKUP(B27,'ECN-ECO_DATA'!B:C,2,FALSE),"")</f>
        <v/>
      </c>
      <c r="D27" s="43" t="str">
        <f>IFERROR(VLOOKUP(B27,'ECN-ECO_DATA'!B:X,23,FALSE),"")</f>
        <v/>
      </c>
      <c r="E27" s="44" t="str">
        <f>IFERROR(VLOOKUP(B27,'ECN-ECO_DATA'!B:G,5,FALSE),"")</f>
        <v/>
      </c>
      <c r="F27" s="44" t="str">
        <f>IFERROR((IF(VLOOKUP(B27,'ECN-ECO_DATA'!B:G,6,FALSE)="","",VLOOKUP(B27,'ECN-ECO_DATA'!B:G,6,FALSE))),"")</f>
        <v/>
      </c>
      <c r="H27" s="45" t="str">
        <f>IFERROR(VLOOKUP(B27,'ECN-ECO_DATA'!B:G,4,FALSE),"")</f>
        <v/>
      </c>
      <c r="I27" s="46" t="str">
        <f>IFERROR(IF(VLOOKUP(B27,'ECN-ECO_DATA'!B:G,6,FALSE)="","Not started",IF(VLOOKUP(B27,'ECN-ECO_DATA'!B:J,7,FALSE)="","Awaiting First Approval",IF(VLOOKUP(B27,'ECN-ECO_DATA'!B:J,8,FALSE)="","Awaiting Quality Check Approval",IF(VLOOKUP(B27,'ECN-ECO_DATA'!B:J,9,FALSE)="","Awaiting Last Approval",IF(VLOOKUP(B27,'ECN-ECO_DATA'!B:J,9,FALSE)&lt;&gt;"","Approved","Unknown"))))),"")</f>
        <v/>
      </c>
      <c r="K27" s="47" t="str">
        <f>IFERROR(VLOOKUP(B27,'ECN-ECO_DATA'!B:W,22,FALSE),"")</f>
        <v/>
      </c>
      <c r="L27" s="43" t="str">
        <f>IFERROR(IF(VLOOKUP(B27,'ECN-ECO_DATA'!B:AB,27,FALSE)=0,"",VLOOKUP(B27,'ECN-ECO_DATA'!B:AB,27,FALSE)),"")</f>
        <v/>
      </c>
      <c r="M27" s="43" t="str">
        <f>IFERROR(VLOOKUP(B27,'ECN-ECO_DATA'!B:AE,30,FALSE),"")</f>
        <v/>
      </c>
      <c r="N27" s="59" t="str">
        <f>IFERROR(IF((VLOOKUP(B27,'ECN-ECO_DATA'!B:AD,20,FALSE)-VLOOKUP(B27,'ECN-ECO_DATA'!B:AD,18,FALSE))&gt;0,(VLOOKUP(B27,'ECN-ECO_DATA'!B:AD,20,FALSE)-VLOOKUP(B27,'ECN-ECO_DATA'!B:AD,18,FALSE)),""),"")</f>
        <v/>
      </c>
      <c r="O27" s="59"/>
      <c r="P27" s="59" t="str">
        <f>IFERROR(VLOOKUP(B27,'ECN-ECO_DATA'!B:P,13,FALSE),"")</f>
        <v/>
      </c>
      <c r="Q27" s="43" t="str">
        <f>IFERROR(VLOOKUP(B27,'ECN-ECO_DATA'!B:P,15,FALSE),"")</f>
        <v/>
      </c>
    </row>
    <row r="28" spans="3:17" x14ac:dyDescent="0.25">
      <c r="C28" s="43" t="str">
        <f>IFERROR(VLOOKUP(B28,'ECN-ECO_DATA'!B:C,2,FALSE),"")</f>
        <v/>
      </c>
      <c r="D28" s="43" t="str">
        <f>IFERROR(VLOOKUP(B28,'ECN-ECO_DATA'!B:X,23,FALSE),"")</f>
        <v/>
      </c>
      <c r="E28" s="44" t="str">
        <f>IFERROR(VLOOKUP(B28,'ECN-ECO_DATA'!B:G,5,FALSE),"")</f>
        <v/>
      </c>
      <c r="F28" s="44" t="str">
        <f>IFERROR((IF(VLOOKUP(B28,'ECN-ECO_DATA'!B:G,6,FALSE)="","",VLOOKUP(B28,'ECN-ECO_DATA'!B:G,6,FALSE))),"")</f>
        <v/>
      </c>
      <c r="H28" s="45" t="str">
        <f>IFERROR(VLOOKUP(B28,'ECN-ECO_DATA'!B:G,4,FALSE),"")</f>
        <v/>
      </c>
      <c r="I28" s="46" t="str">
        <f>IFERROR(IF(VLOOKUP(B28,'ECN-ECO_DATA'!B:G,6,FALSE)="","Not started",IF(VLOOKUP(B28,'ECN-ECO_DATA'!B:J,7,FALSE)="","Awaiting First Approval",IF(VLOOKUP(B28,'ECN-ECO_DATA'!B:J,8,FALSE)="","Awaiting Quality Check Approval",IF(VLOOKUP(B28,'ECN-ECO_DATA'!B:J,9,FALSE)="","Awaiting Last Approval",IF(VLOOKUP(B28,'ECN-ECO_DATA'!B:J,9,FALSE)&lt;&gt;"","Approved","Unknown"))))),"")</f>
        <v/>
      </c>
      <c r="K28" s="47" t="str">
        <f>IFERROR(VLOOKUP(B28,'ECN-ECO_DATA'!B:W,22,FALSE),"")</f>
        <v/>
      </c>
      <c r="L28" s="43" t="str">
        <f>IFERROR(IF(VLOOKUP(B28,'ECN-ECO_DATA'!B:AB,27,FALSE)=0,"",VLOOKUP(B28,'ECN-ECO_DATA'!B:AB,27,FALSE)),"")</f>
        <v/>
      </c>
      <c r="M28" s="43" t="str">
        <f>IFERROR(VLOOKUP(B28,'ECN-ECO_DATA'!B:AE,30,FALSE),"")</f>
        <v/>
      </c>
      <c r="N28" s="59" t="str">
        <f>IFERROR(IF((VLOOKUP(B28,'ECN-ECO_DATA'!B:AD,20,FALSE)-VLOOKUP(B28,'ECN-ECO_DATA'!B:AD,18,FALSE))&gt;0,(VLOOKUP(B28,'ECN-ECO_DATA'!B:AD,20,FALSE)-VLOOKUP(B28,'ECN-ECO_DATA'!B:AD,18,FALSE)),""),"")</f>
        <v/>
      </c>
      <c r="O28" s="59"/>
      <c r="P28" s="59" t="str">
        <f>IFERROR(VLOOKUP(B28,'ECN-ECO_DATA'!B:P,13,FALSE),"")</f>
        <v/>
      </c>
      <c r="Q28" s="43" t="str">
        <f>IFERROR(VLOOKUP(B28,'ECN-ECO_DATA'!B:P,15,FALSE),"")</f>
        <v/>
      </c>
    </row>
    <row r="29" spans="3:17" x14ac:dyDescent="0.25">
      <c r="C29" s="43" t="str">
        <f>IFERROR(VLOOKUP(B29,'ECN-ECO_DATA'!B:C,2,FALSE),"")</f>
        <v/>
      </c>
      <c r="D29" s="43" t="str">
        <f>IFERROR(VLOOKUP(B29,'ECN-ECO_DATA'!B:X,23,FALSE),"")</f>
        <v/>
      </c>
      <c r="E29" s="44" t="str">
        <f>IFERROR(VLOOKUP(B29,'ECN-ECO_DATA'!B:G,5,FALSE),"")</f>
        <v/>
      </c>
      <c r="F29" s="44" t="str">
        <f>IFERROR((IF(VLOOKUP(B29,'ECN-ECO_DATA'!B:G,6,FALSE)="","",VLOOKUP(B29,'ECN-ECO_DATA'!B:G,6,FALSE))),"")</f>
        <v/>
      </c>
      <c r="H29" s="45" t="str">
        <f>IFERROR(VLOOKUP(B29,'ECN-ECO_DATA'!B:G,4,FALSE),"")</f>
        <v/>
      </c>
      <c r="I29" s="46" t="str">
        <f>IFERROR(IF(VLOOKUP(B29,'ECN-ECO_DATA'!B:G,6,FALSE)="","Not started",IF(VLOOKUP(B29,'ECN-ECO_DATA'!B:J,7,FALSE)="","Awaiting First Approval",IF(VLOOKUP(B29,'ECN-ECO_DATA'!B:J,8,FALSE)="","Awaiting Quality Check Approval",IF(VLOOKUP(B29,'ECN-ECO_DATA'!B:J,9,FALSE)="","Awaiting Last Approval",IF(VLOOKUP(B29,'ECN-ECO_DATA'!B:J,9,FALSE)&lt;&gt;"","Approved","Unknown"))))),"")</f>
        <v/>
      </c>
      <c r="K29" s="47" t="str">
        <f>IFERROR(VLOOKUP(B29,'ECN-ECO_DATA'!B:W,22,FALSE),"")</f>
        <v/>
      </c>
      <c r="L29" s="43" t="str">
        <f>IFERROR(IF(VLOOKUP(B29,'ECN-ECO_DATA'!B:AB,27,FALSE)=0,"",VLOOKUP(B29,'ECN-ECO_DATA'!B:AB,27,FALSE)),"")</f>
        <v/>
      </c>
      <c r="M29" s="43" t="str">
        <f>IFERROR(VLOOKUP(B29,'ECN-ECO_DATA'!B:AE,30,FALSE),"")</f>
        <v/>
      </c>
      <c r="N29" s="59" t="str">
        <f>IFERROR(IF((VLOOKUP(B29,'ECN-ECO_DATA'!B:AD,20,FALSE)-VLOOKUP(B29,'ECN-ECO_DATA'!B:AD,18,FALSE))&gt;0,(VLOOKUP(B29,'ECN-ECO_DATA'!B:AD,20,FALSE)-VLOOKUP(B29,'ECN-ECO_DATA'!B:AD,18,FALSE)),""),"")</f>
        <v/>
      </c>
      <c r="O29" s="59"/>
      <c r="P29" s="59" t="str">
        <f>IFERROR(VLOOKUP(B29,'ECN-ECO_DATA'!B:P,13,FALSE),"")</f>
        <v/>
      </c>
      <c r="Q29" s="43" t="str">
        <f>IFERROR(VLOOKUP(B29,'ECN-ECO_DATA'!B:P,15,FALSE),"")</f>
        <v/>
      </c>
    </row>
    <row r="30" spans="3:17" x14ac:dyDescent="0.25">
      <c r="C30" s="43" t="str">
        <f>IFERROR(VLOOKUP(B30,'ECN-ECO_DATA'!B:C,2,FALSE),"")</f>
        <v/>
      </c>
      <c r="D30" s="43" t="str">
        <f>IFERROR(VLOOKUP(B30,'ECN-ECO_DATA'!B:X,23,FALSE),"")</f>
        <v/>
      </c>
      <c r="E30" s="44" t="str">
        <f>IFERROR(VLOOKUP(B30,'ECN-ECO_DATA'!B:G,5,FALSE),"")</f>
        <v/>
      </c>
      <c r="F30" s="44" t="str">
        <f>IFERROR((IF(VLOOKUP(B30,'ECN-ECO_DATA'!B:G,6,FALSE)="","",VLOOKUP(B30,'ECN-ECO_DATA'!B:G,6,FALSE))),"")</f>
        <v/>
      </c>
      <c r="H30" s="45" t="str">
        <f>IFERROR(VLOOKUP(B30,'ECN-ECO_DATA'!B:G,4,FALSE),"")</f>
        <v/>
      </c>
      <c r="I30" s="46" t="str">
        <f>IFERROR(IF(VLOOKUP(B30,'ECN-ECO_DATA'!B:G,6,FALSE)="","Not started",IF(VLOOKUP(B30,'ECN-ECO_DATA'!B:J,7,FALSE)="","Awaiting First Approval",IF(VLOOKUP(B30,'ECN-ECO_DATA'!B:J,8,FALSE)="","Awaiting Quality Check Approval",IF(VLOOKUP(B30,'ECN-ECO_DATA'!B:J,9,FALSE)="","Awaiting Last Approval",IF(VLOOKUP(B30,'ECN-ECO_DATA'!B:J,9,FALSE)&lt;&gt;"","Approved","Unknown"))))),"")</f>
        <v/>
      </c>
      <c r="K30" s="47" t="str">
        <f>IFERROR(VLOOKUP(B30,'ECN-ECO_DATA'!B:W,22,FALSE),"")</f>
        <v/>
      </c>
      <c r="L30" s="43" t="str">
        <f>IFERROR(IF(VLOOKUP(B30,'ECN-ECO_DATA'!B:AB,27,FALSE)=0,"",VLOOKUP(B30,'ECN-ECO_DATA'!B:AB,27,FALSE)),"")</f>
        <v/>
      </c>
      <c r="M30" s="43" t="str">
        <f>IFERROR(VLOOKUP(B30,'ECN-ECO_DATA'!B:AE,30,FALSE),"")</f>
        <v/>
      </c>
      <c r="N30" s="59" t="str">
        <f>IFERROR(IF((VLOOKUP(B30,'ECN-ECO_DATA'!B:AD,20,FALSE)-VLOOKUP(B30,'ECN-ECO_DATA'!B:AD,18,FALSE))&gt;0,(VLOOKUP(B30,'ECN-ECO_DATA'!B:AD,20,FALSE)-VLOOKUP(B30,'ECN-ECO_DATA'!B:AD,18,FALSE)),""),"")</f>
        <v/>
      </c>
      <c r="O30" s="59"/>
      <c r="P30" s="59" t="str">
        <f>IFERROR(VLOOKUP(B30,'ECN-ECO_DATA'!B:P,13,FALSE),"")</f>
        <v/>
      </c>
      <c r="Q30" s="43" t="str">
        <f>IFERROR(VLOOKUP(B30,'ECN-ECO_DATA'!B:P,15,FALSE),"")</f>
        <v/>
      </c>
    </row>
    <row r="31" spans="3:17" x14ac:dyDescent="0.25">
      <c r="C31" s="43" t="str">
        <f>IFERROR(VLOOKUP(B31,'ECN-ECO_DATA'!B:C,2,FALSE),"")</f>
        <v/>
      </c>
      <c r="D31" s="43" t="str">
        <f>IFERROR(VLOOKUP(B31,'ECN-ECO_DATA'!B:X,23,FALSE),"")</f>
        <v/>
      </c>
      <c r="E31" s="44" t="str">
        <f>IFERROR(VLOOKUP(B31,'ECN-ECO_DATA'!B:G,5,FALSE),"")</f>
        <v/>
      </c>
      <c r="F31" s="44" t="str">
        <f>IFERROR((IF(VLOOKUP(B31,'ECN-ECO_DATA'!B:G,6,FALSE)="","",VLOOKUP(B31,'ECN-ECO_DATA'!B:G,6,FALSE))),"")</f>
        <v/>
      </c>
      <c r="H31" s="45" t="str">
        <f>IFERROR(VLOOKUP(B31,'ECN-ECO_DATA'!B:G,4,FALSE),"")</f>
        <v/>
      </c>
      <c r="I31" s="46" t="str">
        <f>IFERROR(IF(VLOOKUP(B31,'ECN-ECO_DATA'!B:G,6,FALSE)="","Not started",IF(VLOOKUP(B31,'ECN-ECO_DATA'!B:J,7,FALSE)="","Awaiting First Approval",IF(VLOOKUP(B31,'ECN-ECO_DATA'!B:J,8,FALSE)="","Awaiting Quality Check Approval",IF(VLOOKUP(B31,'ECN-ECO_DATA'!B:J,9,FALSE)="","Awaiting Last Approval",IF(VLOOKUP(B31,'ECN-ECO_DATA'!B:J,9,FALSE)&lt;&gt;"","Approved","Unknown"))))),"")</f>
        <v/>
      </c>
      <c r="K31" s="47" t="str">
        <f>IFERROR(VLOOKUP(B31,'ECN-ECO_DATA'!B:W,22,FALSE),"")</f>
        <v/>
      </c>
      <c r="L31" s="43" t="str">
        <f>IFERROR(IF(VLOOKUP(B31,'ECN-ECO_DATA'!B:AB,27,FALSE)=0,"",VLOOKUP(B31,'ECN-ECO_DATA'!B:AB,27,FALSE)),"")</f>
        <v/>
      </c>
      <c r="M31" s="43" t="str">
        <f>IFERROR(VLOOKUP(B31,'ECN-ECO_DATA'!B:AE,30,FALSE),"")</f>
        <v/>
      </c>
      <c r="N31" s="59" t="str">
        <f>IFERROR(IF((VLOOKUP(B31,'ECN-ECO_DATA'!B:AD,20,FALSE)-VLOOKUP(B31,'ECN-ECO_DATA'!B:AD,18,FALSE))&gt;0,(VLOOKUP(B31,'ECN-ECO_DATA'!B:AD,20,FALSE)-VLOOKUP(B31,'ECN-ECO_DATA'!B:AD,18,FALSE)),""),"")</f>
        <v/>
      </c>
      <c r="O31" s="59"/>
      <c r="P31" s="59" t="str">
        <f>IFERROR(VLOOKUP(B31,'ECN-ECO_DATA'!B:P,13,FALSE),"")</f>
        <v/>
      </c>
      <c r="Q31" s="43" t="str">
        <f>IFERROR(VLOOKUP(B31,'ECN-ECO_DATA'!B:P,15,FALSE),"")</f>
        <v/>
      </c>
    </row>
    <row r="32" spans="3:17" x14ac:dyDescent="0.25">
      <c r="C32" s="43" t="str">
        <f>IFERROR(VLOOKUP(B32,'ECN-ECO_DATA'!B:C,2,FALSE),"")</f>
        <v/>
      </c>
      <c r="D32" s="43" t="str">
        <f>IFERROR(VLOOKUP(B32,'ECN-ECO_DATA'!B:X,23,FALSE),"")</f>
        <v/>
      </c>
      <c r="E32" s="44" t="str">
        <f>IFERROR(VLOOKUP(B32,'ECN-ECO_DATA'!B:G,5,FALSE),"")</f>
        <v/>
      </c>
      <c r="F32" s="44" t="str">
        <f>IFERROR((IF(VLOOKUP(B32,'ECN-ECO_DATA'!B:G,6,FALSE)="","",VLOOKUP(B32,'ECN-ECO_DATA'!B:G,6,FALSE))),"")</f>
        <v/>
      </c>
      <c r="H32" s="45" t="str">
        <f>IFERROR(VLOOKUP(B32,'ECN-ECO_DATA'!B:G,4,FALSE),"")</f>
        <v/>
      </c>
      <c r="I32" s="46" t="str">
        <f>IFERROR(IF(VLOOKUP(B32,'ECN-ECO_DATA'!B:G,6,FALSE)="","Not started",IF(VLOOKUP(B32,'ECN-ECO_DATA'!B:J,7,FALSE)="","Awaiting First Approval",IF(VLOOKUP(B32,'ECN-ECO_DATA'!B:J,8,FALSE)="","Awaiting Quality Check Approval",IF(VLOOKUP(B32,'ECN-ECO_DATA'!B:J,9,FALSE)="","Awaiting Last Approval",IF(VLOOKUP(B32,'ECN-ECO_DATA'!B:J,9,FALSE)&lt;&gt;"","Approved","Unknown"))))),"")</f>
        <v/>
      </c>
      <c r="K32" s="47" t="str">
        <f>IFERROR(VLOOKUP(B32,'ECN-ECO_DATA'!B:W,22,FALSE),"")</f>
        <v/>
      </c>
      <c r="L32" s="43" t="str">
        <f>IFERROR(IF(VLOOKUP(B32,'ECN-ECO_DATA'!B:AB,27,FALSE)=0,"",VLOOKUP(B32,'ECN-ECO_DATA'!B:AB,27,FALSE)),"")</f>
        <v/>
      </c>
      <c r="M32" s="43" t="str">
        <f>IFERROR(VLOOKUP(B32,'ECN-ECO_DATA'!B:AE,30,FALSE),"")</f>
        <v/>
      </c>
      <c r="N32" s="59" t="str">
        <f>IFERROR(IF((VLOOKUP(B32,'ECN-ECO_DATA'!B:AD,20,FALSE)-VLOOKUP(B32,'ECN-ECO_DATA'!B:AD,18,FALSE))&gt;0,(VLOOKUP(B32,'ECN-ECO_DATA'!B:AD,20,FALSE)-VLOOKUP(B32,'ECN-ECO_DATA'!B:AD,18,FALSE)),""),"")</f>
        <v/>
      </c>
      <c r="O32" s="59"/>
      <c r="P32" s="59" t="str">
        <f>IFERROR(VLOOKUP(B32,'ECN-ECO_DATA'!B:P,13,FALSE),"")</f>
        <v/>
      </c>
      <c r="Q32" s="43" t="str">
        <f>IFERROR(VLOOKUP(B32,'ECN-ECO_DATA'!B:P,15,FALSE),"")</f>
        <v/>
      </c>
    </row>
    <row r="33" spans="3:17" x14ac:dyDescent="0.25">
      <c r="C33" s="43" t="str">
        <f>IFERROR(VLOOKUP(B33,'ECN-ECO_DATA'!B:C,2,FALSE),"")</f>
        <v/>
      </c>
      <c r="D33" s="43" t="str">
        <f>IFERROR(VLOOKUP(B33,'ECN-ECO_DATA'!B:X,23,FALSE),"")</f>
        <v/>
      </c>
      <c r="E33" s="44" t="str">
        <f>IFERROR(VLOOKUP(B33,'ECN-ECO_DATA'!B:G,5,FALSE),"")</f>
        <v/>
      </c>
      <c r="F33" s="44" t="str">
        <f>IFERROR((IF(VLOOKUP(B33,'ECN-ECO_DATA'!B:G,6,FALSE)="","",VLOOKUP(B33,'ECN-ECO_DATA'!B:G,6,FALSE))),"")</f>
        <v/>
      </c>
      <c r="H33" s="45" t="str">
        <f>IFERROR(VLOOKUP(B33,'ECN-ECO_DATA'!B:G,4,FALSE),"")</f>
        <v/>
      </c>
      <c r="I33" s="46" t="str">
        <f>IFERROR(IF(VLOOKUP(B33,'ECN-ECO_DATA'!B:G,6,FALSE)="","Not started",IF(VLOOKUP(B33,'ECN-ECO_DATA'!B:J,7,FALSE)="","Awaiting First Approval",IF(VLOOKUP(B33,'ECN-ECO_DATA'!B:J,8,FALSE)="","Awaiting Quality Check Approval",IF(VLOOKUP(B33,'ECN-ECO_DATA'!B:J,9,FALSE)="","Awaiting Last Approval",IF(VLOOKUP(B33,'ECN-ECO_DATA'!B:J,9,FALSE)&lt;&gt;"","Approved","Unknown"))))),"")</f>
        <v/>
      </c>
      <c r="K33" s="47" t="str">
        <f>IFERROR(VLOOKUP(B33,'ECN-ECO_DATA'!B:W,22,FALSE),"")</f>
        <v/>
      </c>
      <c r="L33" s="43" t="str">
        <f>IFERROR(IF(VLOOKUP(B33,'ECN-ECO_DATA'!B:AB,27,FALSE)=0,"",VLOOKUP(B33,'ECN-ECO_DATA'!B:AB,27,FALSE)),"")</f>
        <v/>
      </c>
      <c r="M33" s="43" t="str">
        <f>IFERROR(VLOOKUP(B33,'ECN-ECO_DATA'!B:AE,30,FALSE),"")</f>
        <v/>
      </c>
      <c r="N33" s="59" t="str">
        <f>IFERROR(IF((VLOOKUP(B33,'ECN-ECO_DATA'!B:AD,20,FALSE)-VLOOKUP(B33,'ECN-ECO_DATA'!B:AD,18,FALSE))&gt;0,(VLOOKUP(B33,'ECN-ECO_DATA'!B:AD,20,FALSE)-VLOOKUP(B33,'ECN-ECO_DATA'!B:AD,18,FALSE)),""),"")</f>
        <v/>
      </c>
      <c r="O33" s="59"/>
      <c r="P33" s="59" t="str">
        <f>IFERROR(VLOOKUP(B33,'ECN-ECO_DATA'!B:P,13,FALSE),"")</f>
        <v/>
      </c>
      <c r="Q33" s="43" t="str">
        <f>IFERROR(VLOOKUP(B33,'ECN-ECO_DATA'!B:P,15,FALSE),"")</f>
        <v/>
      </c>
    </row>
    <row r="34" spans="3:17" x14ac:dyDescent="0.25">
      <c r="C34" s="43" t="str">
        <f>IFERROR(VLOOKUP(B34,'ECN-ECO_DATA'!B:C,2,FALSE),"")</f>
        <v/>
      </c>
      <c r="D34" s="43" t="str">
        <f>IFERROR(VLOOKUP(B34,'ECN-ECO_DATA'!B:X,23,FALSE),"")</f>
        <v/>
      </c>
      <c r="E34" s="44" t="str">
        <f>IFERROR(VLOOKUP(B34,'ECN-ECO_DATA'!B:G,5,FALSE),"")</f>
        <v/>
      </c>
      <c r="F34" s="44" t="str">
        <f>IFERROR((IF(VLOOKUP(B34,'ECN-ECO_DATA'!B:G,6,FALSE)="","",VLOOKUP(B34,'ECN-ECO_DATA'!B:G,6,FALSE))),"")</f>
        <v/>
      </c>
      <c r="H34" s="45" t="str">
        <f>IFERROR(VLOOKUP(B34,'ECN-ECO_DATA'!B:G,4,FALSE),"")</f>
        <v/>
      </c>
      <c r="I34" s="46" t="str">
        <f>IFERROR(IF(VLOOKUP(B34,'ECN-ECO_DATA'!B:G,6,FALSE)="","Not started",IF(VLOOKUP(B34,'ECN-ECO_DATA'!B:J,7,FALSE)="","Awaiting First Approval",IF(VLOOKUP(B34,'ECN-ECO_DATA'!B:J,8,FALSE)="","Awaiting Quality Check Approval",IF(VLOOKUP(B34,'ECN-ECO_DATA'!B:J,9,FALSE)="","Awaiting Last Approval",IF(VLOOKUP(B34,'ECN-ECO_DATA'!B:J,9,FALSE)&lt;&gt;"","Approved","Unknown"))))),"")</f>
        <v/>
      </c>
      <c r="K34" s="47" t="str">
        <f>IFERROR(VLOOKUP(B34,'ECN-ECO_DATA'!B:W,22,FALSE),"")</f>
        <v/>
      </c>
      <c r="L34" s="43" t="str">
        <f>IFERROR(IF(VLOOKUP(B34,'ECN-ECO_DATA'!B:AB,27,FALSE)=0,"",VLOOKUP(B34,'ECN-ECO_DATA'!B:AB,27,FALSE)),"")</f>
        <v/>
      </c>
      <c r="M34" s="43" t="str">
        <f>IFERROR(VLOOKUP(B34,'ECN-ECO_DATA'!B:AE,30,FALSE),"")</f>
        <v/>
      </c>
      <c r="N34" s="59" t="str">
        <f>IFERROR(IF((VLOOKUP(B34,'ECN-ECO_DATA'!B:AD,20,FALSE)-VLOOKUP(B34,'ECN-ECO_DATA'!B:AD,18,FALSE))&gt;0,(VLOOKUP(B34,'ECN-ECO_DATA'!B:AD,20,FALSE)-VLOOKUP(B34,'ECN-ECO_DATA'!B:AD,18,FALSE)),""),"")</f>
        <v/>
      </c>
      <c r="O34" s="59"/>
      <c r="P34" s="59" t="str">
        <f>IFERROR(VLOOKUP(B34,'ECN-ECO_DATA'!B:P,13,FALSE),"")</f>
        <v/>
      </c>
      <c r="Q34" s="43" t="str">
        <f>IFERROR(VLOOKUP(B34,'ECN-ECO_DATA'!B:P,15,FALSE),"")</f>
        <v/>
      </c>
    </row>
    <row r="35" spans="3:17" x14ac:dyDescent="0.25">
      <c r="C35" s="43" t="str">
        <f>IFERROR(VLOOKUP(B35,'ECN-ECO_DATA'!B:C,2,FALSE),"")</f>
        <v/>
      </c>
      <c r="D35" s="43" t="str">
        <f>IFERROR(VLOOKUP(B35,'ECN-ECO_DATA'!B:X,23,FALSE),"")</f>
        <v/>
      </c>
      <c r="E35" s="44" t="str">
        <f>IFERROR(VLOOKUP(B35,'ECN-ECO_DATA'!B:G,5,FALSE),"")</f>
        <v/>
      </c>
      <c r="F35" s="44" t="str">
        <f>IFERROR((IF(VLOOKUP(B35,'ECN-ECO_DATA'!B:G,6,FALSE)="","",VLOOKUP(B35,'ECN-ECO_DATA'!B:G,6,FALSE))),"")</f>
        <v/>
      </c>
      <c r="H35" s="45" t="str">
        <f>IFERROR(VLOOKUP(B35,'ECN-ECO_DATA'!B:G,4,FALSE),"")</f>
        <v/>
      </c>
      <c r="I35" s="46" t="str">
        <f>IFERROR(IF(VLOOKUP(B35,'ECN-ECO_DATA'!B:G,6,FALSE)="","Not started",IF(VLOOKUP(B35,'ECN-ECO_DATA'!B:J,7,FALSE)="","Awaiting First Approval",IF(VLOOKUP(B35,'ECN-ECO_DATA'!B:J,8,FALSE)="","Awaiting Quality Check Approval",IF(VLOOKUP(B35,'ECN-ECO_DATA'!B:J,9,FALSE)="","Awaiting Last Approval",IF(VLOOKUP(B35,'ECN-ECO_DATA'!B:J,9,FALSE)&lt;&gt;"","Approved","Unknown"))))),"")</f>
        <v/>
      </c>
      <c r="K35" s="47" t="str">
        <f>IFERROR(VLOOKUP(B35,'ECN-ECO_DATA'!B:W,22,FALSE),"")</f>
        <v/>
      </c>
      <c r="L35" s="43" t="str">
        <f>IFERROR(IF(VLOOKUP(B35,'ECN-ECO_DATA'!B:AB,27,FALSE)=0,"",VLOOKUP(B35,'ECN-ECO_DATA'!B:AB,27,FALSE)),"")</f>
        <v/>
      </c>
      <c r="M35" s="43" t="str">
        <f>IFERROR(VLOOKUP(B35,'ECN-ECO_DATA'!B:AE,30,FALSE),"")</f>
        <v/>
      </c>
      <c r="N35" s="59" t="str">
        <f>IFERROR(IF((VLOOKUP(B35,'ECN-ECO_DATA'!B:AD,20,FALSE)-VLOOKUP(B35,'ECN-ECO_DATA'!B:AD,18,FALSE))&gt;0,(VLOOKUP(B35,'ECN-ECO_DATA'!B:AD,20,FALSE)-VLOOKUP(B35,'ECN-ECO_DATA'!B:AD,18,FALSE)),""),"")</f>
        <v/>
      </c>
      <c r="O35" s="59"/>
      <c r="P35" s="59" t="str">
        <f>IFERROR(VLOOKUP(B35,'ECN-ECO_DATA'!B:P,13,FALSE),"")</f>
        <v/>
      </c>
      <c r="Q35" s="43" t="str">
        <f>IFERROR(VLOOKUP(B35,'ECN-ECO_DATA'!B:P,15,FALSE),"")</f>
        <v/>
      </c>
    </row>
    <row r="36" spans="3:17" x14ac:dyDescent="0.25">
      <c r="C36" s="43" t="str">
        <f>IFERROR(VLOOKUP(B36,'ECN-ECO_DATA'!B:C,2,FALSE),"")</f>
        <v/>
      </c>
      <c r="D36" s="43" t="str">
        <f>IFERROR(VLOOKUP(B36,'ECN-ECO_DATA'!B:X,23,FALSE),"")</f>
        <v/>
      </c>
      <c r="E36" s="44" t="str">
        <f>IFERROR(VLOOKUP(B36,'ECN-ECO_DATA'!B:G,5,FALSE),"")</f>
        <v/>
      </c>
      <c r="F36" s="44" t="str">
        <f>IFERROR((IF(VLOOKUP(B36,'ECN-ECO_DATA'!B:G,6,FALSE)="","",VLOOKUP(B36,'ECN-ECO_DATA'!B:G,6,FALSE))),"")</f>
        <v/>
      </c>
      <c r="H36" s="45" t="str">
        <f>IFERROR(VLOOKUP(B36,'ECN-ECO_DATA'!B:G,4,FALSE),"")</f>
        <v/>
      </c>
      <c r="I36" s="46" t="str">
        <f>IFERROR(IF(VLOOKUP(B36,'ECN-ECO_DATA'!B:G,6,FALSE)="","Not started",IF(VLOOKUP(B36,'ECN-ECO_DATA'!B:J,7,FALSE)="","Awaiting First Approval",IF(VLOOKUP(B36,'ECN-ECO_DATA'!B:J,8,FALSE)="","Awaiting Quality Check Approval",IF(VLOOKUP(B36,'ECN-ECO_DATA'!B:J,9,FALSE)="","Awaiting Last Approval",IF(VLOOKUP(B36,'ECN-ECO_DATA'!B:J,9,FALSE)&lt;&gt;"","Approved","Unknown"))))),"")</f>
        <v/>
      </c>
      <c r="K36" s="47" t="str">
        <f>IFERROR(VLOOKUP(B36,'ECN-ECO_DATA'!B:W,22,FALSE),"")</f>
        <v/>
      </c>
      <c r="L36" s="43" t="str">
        <f>IFERROR(IF(VLOOKUP(B36,'ECN-ECO_DATA'!B:AB,27,FALSE)=0,"",VLOOKUP(B36,'ECN-ECO_DATA'!B:AB,27,FALSE)),"")</f>
        <v/>
      </c>
      <c r="M36" s="43" t="str">
        <f>IFERROR(VLOOKUP(B36,'ECN-ECO_DATA'!B:AE,30,FALSE),"")</f>
        <v/>
      </c>
      <c r="N36" s="59" t="str">
        <f>IFERROR(IF((VLOOKUP(B36,'ECN-ECO_DATA'!B:AD,20,FALSE)-VLOOKUP(B36,'ECN-ECO_DATA'!B:AD,18,FALSE))&gt;0,(VLOOKUP(B36,'ECN-ECO_DATA'!B:AD,20,FALSE)-VLOOKUP(B36,'ECN-ECO_DATA'!B:AD,18,FALSE)),""),"")</f>
        <v/>
      </c>
      <c r="O36" s="59"/>
      <c r="P36" s="59" t="str">
        <f>IFERROR(VLOOKUP(B36,'ECN-ECO_DATA'!B:P,13,FALSE),"")</f>
        <v/>
      </c>
      <c r="Q36" s="43" t="str">
        <f>IFERROR(VLOOKUP(B36,'ECN-ECO_DATA'!B:P,15,FALSE),"")</f>
        <v/>
      </c>
    </row>
    <row r="37" spans="3:17" x14ac:dyDescent="0.25">
      <c r="C37" s="43" t="str">
        <f>IFERROR(VLOOKUP(B37,'ECN-ECO_DATA'!B:C,2,FALSE),"")</f>
        <v/>
      </c>
      <c r="D37" s="43" t="str">
        <f>IFERROR(VLOOKUP(B37,'ECN-ECO_DATA'!B:X,23,FALSE),"")</f>
        <v/>
      </c>
      <c r="E37" s="44" t="str">
        <f>IFERROR(VLOOKUP(B37,'ECN-ECO_DATA'!B:G,5,FALSE),"")</f>
        <v/>
      </c>
      <c r="F37" s="44" t="str">
        <f>IFERROR((IF(VLOOKUP(B37,'ECN-ECO_DATA'!B:G,6,FALSE)="","",VLOOKUP(B37,'ECN-ECO_DATA'!B:G,6,FALSE))),"")</f>
        <v/>
      </c>
      <c r="H37" s="45" t="str">
        <f>IFERROR(VLOOKUP(B37,'ECN-ECO_DATA'!B:G,4,FALSE),"")</f>
        <v/>
      </c>
      <c r="I37" s="46" t="str">
        <f>IFERROR(IF(VLOOKUP(B37,'ECN-ECO_DATA'!B:G,6,FALSE)="","Not started",IF(VLOOKUP(B37,'ECN-ECO_DATA'!B:J,7,FALSE)="","Awaiting First Approval",IF(VLOOKUP(B37,'ECN-ECO_DATA'!B:J,8,FALSE)="","Awaiting Quality Check Approval",IF(VLOOKUP(B37,'ECN-ECO_DATA'!B:J,9,FALSE)="","Awaiting Last Approval",IF(VLOOKUP(B37,'ECN-ECO_DATA'!B:J,9,FALSE)&lt;&gt;"","Approved","Unknown"))))),"")</f>
        <v/>
      </c>
      <c r="K37" s="47" t="str">
        <f>IFERROR(VLOOKUP(B37,'ECN-ECO_DATA'!B:W,22,FALSE),"")</f>
        <v/>
      </c>
      <c r="L37" s="43" t="str">
        <f>IFERROR(IF(VLOOKUP(B37,'ECN-ECO_DATA'!B:AB,27,FALSE)=0,"",VLOOKUP(B37,'ECN-ECO_DATA'!B:AB,27,FALSE)),"")</f>
        <v/>
      </c>
      <c r="M37" s="43" t="str">
        <f>IFERROR(VLOOKUP(B37,'ECN-ECO_DATA'!B:AE,30,FALSE),"")</f>
        <v/>
      </c>
      <c r="N37" s="59" t="str">
        <f>IFERROR(IF((VLOOKUP(B37,'ECN-ECO_DATA'!B:AD,20,FALSE)-VLOOKUP(B37,'ECN-ECO_DATA'!B:AD,18,FALSE))&gt;0,(VLOOKUP(B37,'ECN-ECO_DATA'!B:AD,20,FALSE)-VLOOKUP(B37,'ECN-ECO_DATA'!B:AD,18,FALSE)),""),"")</f>
        <v/>
      </c>
      <c r="O37" s="59"/>
      <c r="P37" s="59" t="str">
        <f>IFERROR(VLOOKUP(B37,'ECN-ECO_DATA'!B:P,13,FALSE),"")</f>
        <v/>
      </c>
      <c r="Q37" s="43" t="str">
        <f>IFERROR(VLOOKUP(B37,'ECN-ECO_DATA'!B:P,15,FALSE),"")</f>
        <v/>
      </c>
    </row>
    <row r="38" spans="3:17" x14ac:dyDescent="0.25">
      <c r="C38" s="43" t="str">
        <f>IFERROR(VLOOKUP(B38,'ECN-ECO_DATA'!B:C,2,FALSE),"")</f>
        <v/>
      </c>
      <c r="D38" s="43" t="str">
        <f>IFERROR(VLOOKUP(B38,'ECN-ECO_DATA'!B:X,23,FALSE),"")</f>
        <v/>
      </c>
      <c r="E38" s="44" t="str">
        <f>IFERROR(VLOOKUP(B38,'ECN-ECO_DATA'!B:G,5,FALSE),"")</f>
        <v/>
      </c>
      <c r="F38" s="44" t="str">
        <f>IFERROR((IF(VLOOKUP(B38,'ECN-ECO_DATA'!B:G,6,FALSE)="","",VLOOKUP(B38,'ECN-ECO_DATA'!B:G,6,FALSE))),"")</f>
        <v/>
      </c>
      <c r="H38" s="45" t="str">
        <f>IFERROR(VLOOKUP(B38,'ECN-ECO_DATA'!B:G,4,FALSE),"")</f>
        <v/>
      </c>
      <c r="I38" s="46" t="str">
        <f>IFERROR(IF(VLOOKUP(B38,'ECN-ECO_DATA'!B:G,6,FALSE)="","Not started",IF(VLOOKUP(B38,'ECN-ECO_DATA'!B:J,7,FALSE)="","Awaiting First Approval",IF(VLOOKUP(B38,'ECN-ECO_DATA'!B:J,8,FALSE)="","Awaiting Quality Check Approval",IF(VLOOKUP(B38,'ECN-ECO_DATA'!B:J,9,FALSE)="","Awaiting Last Approval",IF(VLOOKUP(B38,'ECN-ECO_DATA'!B:J,9,FALSE)&lt;&gt;"","Approved","Unknown"))))),"")</f>
        <v/>
      </c>
      <c r="K38" s="47" t="str">
        <f>IFERROR(VLOOKUP(B38,'ECN-ECO_DATA'!B:W,22,FALSE),"")</f>
        <v/>
      </c>
      <c r="L38" s="43" t="str">
        <f>IFERROR(IF(VLOOKUP(B38,'ECN-ECO_DATA'!B:AB,27,FALSE)=0,"",VLOOKUP(B38,'ECN-ECO_DATA'!B:AB,27,FALSE)),"")</f>
        <v/>
      </c>
      <c r="M38" s="43" t="str">
        <f>IFERROR(VLOOKUP(B38,'ECN-ECO_DATA'!B:AE,30,FALSE),"")</f>
        <v/>
      </c>
      <c r="N38" s="59" t="str">
        <f>IFERROR(IF((VLOOKUP(B38,'ECN-ECO_DATA'!B:AD,20,FALSE)-VLOOKUP(B38,'ECN-ECO_DATA'!B:AD,18,FALSE))&gt;0,(VLOOKUP(B38,'ECN-ECO_DATA'!B:AD,20,FALSE)-VLOOKUP(B38,'ECN-ECO_DATA'!B:AD,18,FALSE)),""),"")</f>
        <v/>
      </c>
      <c r="O38" s="59"/>
      <c r="P38" s="59" t="str">
        <f>IFERROR(VLOOKUP(B38,'ECN-ECO_DATA'!B:P,13,FALSE),"")</f>
        <v/>
      </c>
      <c r="Q38" s="43" t="str">
        <f>IFERROR(VLOOKUP(B38,'ECN-ECO_DATA'!B:P,15,FALSE),"")</f>
        <v/>
      </c>
    </row>
    <row r="39" spans="3:17" x14ac:dyDescent="0.25">
      <c r="C39" s="43" t="str">
        <f>IFERROR(VLOOKUP(B39,'ECN-ECO_DATA'!B:C,2,FALSE),"")</f>
        <v/>
      </c>
      <c r="D39" s="43" t="str">
        <f>IFERROR(VLOOKUP(B39,'ECN-ECO_DATA'!B:X,23,FALSE),"")</f>
        <v/>
      </c>
      <c r="E39" s="44" t="str">
        <f>IFERROR(VLOOKUP(B39,'ECN-ECO_DATA'!B:G,5,FALSE),"")</f>
        <v/>
      </c>
      <c r="F39" s="44" t="str">
        <f>IFERROR((IF(VLOOKUP(B39,'ECN-ECO_DATA'!B:G,6,FALSE)="","",VLOOKUP(B39,'ECN-ECO_DATA'!B:G,6,FALSE))),"")</f>
        <v/>
      </c>
      <c r="H39" s="45" t="str">
        <f>IFERROR(VLOOKUP(B39,'ECN-ECO_DATA'!B:G,4,FALSE),"")</f>
        <v/>
      </c>
      <c r="I39" s="46" t="str">
        <f>IFERROR(IF(VLOOKUP(B39,'ECN-ECO_DATA'!B:G,6,FALSE)="","Not started",IF(VLOOKUP(B39,'ECN-ECO_DATA'!B:J,7,FALSE)="","Awaiting First Approval",IF(VLOOKUP(B39,'ECN-ECO_DATA'!B:J,8,FALSE)="","Awaiting Quality Check Approval",IF(VLOOKUP(B39,'ECN-ECO_DATA'!B:J,9,FALSE)="","Awaiting Last Approval",IF(VLOOKUP(B39,'ECN-ECO_DATA'!B:J,9,FALSE)&lt;&gt;"","Approved","Unknown"))))),"")</f>
        <v/>
      </c>
      <c r="K39" s="47" t="str">
        <f>IFERROR(VLOOKUP(B39,'ECN-ECO_DATA'!B:W,22,FALSE),"")</f>
        <v/>
      </c>
      <c r="L39" s="43" t="str">
        <f>IFERROR(IF(VLOOKUP(B39,'ECN-ECO_DATA'!B:AB,27,FALSE)=0,"",VLOOKUP(B39,'ECN-ECO_DATA'!B:AB,27,FALSE)),"")</f>
        <v/>
      </c>
      <c r="M39" s="43" t="str">
        <f>IFERROR(VLOOKUP(B39,'ECN-ECO_DATA'!B:AE,30,FALSE),"")</f>
        <v/>
      </c>
      <c r="N39" s="59" t="str">
        <f>IFERROR(IF((VLOOKUP(B39,'ECN-ECO_DATA'!B:AD,20,FALSE)-VLOOKUP(B39,'ECN-ECO_DATA'!B:AD,18,FALSE))&gt;0,(VLOOKUP(B39,'ECN-ECO_DATA'!B:AD,20,FALSE)-VLOOKUP(B39,'ECN-ECO_DATA'!B:AD,18,FALSE)),""),"")</f>
        <v/>
      </c>
      <c r="O39" s="59"/>
      <c r="P39" s="59" t="str">
        <f>IFERROR(VLOOKUP(B39,'ECN-ECO_DATA'!B:P,13,FALSE),"")</f>
        <v/>
      </c>
      <c r="Q39" s="43" t="str">
        <f>IFERROR(VLOOKUP(B39,'ECN-ECO_DATA'!B:P,15,FALSE),"")</f>
        <v/>
      </c>
    </row>
    <row r="40" spans="3:17" x14ac:dyDescent="0.25">
      <c r="C40" s="43" t="str">
        <f>IFERROR(VLOOKUP(B40,'ECN-ECO_DATA'!B:C,2,FALSE),"")</f>
        <v/>
      </c>
      <c r="D40" s="43" t="str">
        <f>IFERROR(VLOOKUP(B40,'ECN-ECO_DATA'!B:X,23,FALSE),"")</f>
        <v/>
      </c>
      <c r="E40" s="44" t="str">
        <f>IFERROR(VLOOKUP(B40,'ECN-ECO_DATA'!B:G,5,FALSE),"")</f>
        <v/>
      </c>
      <c r="F40" s="44" t="str">
        <f>IFERROR((IF(VLOOKUP(B40,'ECN-ECO_DATA'!B:G,6,FALSE)="","",VLOOKUP(B40,'ECN-ECO_DATA'!B:G,6,FALSE))),"")</f>
        <v/>
      </c>
      <c r="H40" s="45" t="str">
        <f>IFERROR(VLOOKUP(B40,'ECN-ECO_DATA'!B:G,4,FALSE),"")</f>
        <v/>
      </c>
      <c r="I40" s="46" t="str">
        <f>IFERROR(IF(VLOOKUP(B40,'ECN-ECO_DATA'!B:G,6,FALSE)="","Not started",IF(VLOOKUP(B40,'ECN-ECO_DATA'!B:J,7,FALSE)="","Awaiting First Approval",IF(VLOOKUP(B40,'ECN-ECO_DATA'!B:J,8,FALSE)="","Awaiting Quality Check Approval",IF(VLOOKUP(B40,'ECN-ECO_DATA'!B:J,9,FALSE)="","Awaiting Last Approval",IF(VLOOKUP(B40,'ECN-ECO_DATA'!B:J,9,FALSE)&lt;&gt;"","Approved","Unknown"))))),"")</f>
        <v/>
      </c>
      <c r="K40" s="47" t="str">
        <f>IFERROR(VLOOKUP(B40,'ECN-ECO_DATA'!B:W,22,FALSE),"")</f>
        <v/>
      </c>
      <c r="L40" s="43" t="str">
        <f>IFERROR(IF(VLOOKUP(B40,'ECN-ECO_DATA'!B:AB,27,FALSE)=0,"",VLOOKUP(B40,'ECN-ECO_DATA'!B:AB,27,FALSE)),"")</f>
        <v/>
      </c>
      <c r="M40" s="43" t="str">
        <f>IFERROR(VLOOKUP(B40,'ECN-ECO_DATA'!B:AE,30,FALSE),"")</f>
        <v/>
      </c>
      <c r="N40" s="59" t="str">
        <f>IFERROR(IF((VLOOKUP(B40,'ECN-ECO_DATA'!B:AD,20,FALSE)-VLOOKUP(B40,'ECN-ECO_DATA'!B:AD,18,FALSE))&gt;0,(VLOOKUP(B40,'ECN-ECO_DATA'!B:AD,20,FALSE)-VLOOKUP(B40,'ECN-ECO_DATA'!B:AD,18,FALSE)),""),"")</f>
        <v/>
      </c>
      <c r="O40" s="59"/>
      <c r="P40" s="59" t="str">
        <f>IFERROR(VLOOKUP(B40,'ECN-ECO_DATA'!B:P,13,FALSE),"")</f>
        <v/>
      </c>
      <c r="Q40" s="43" t="str">
        <f>IFERROR(VLOOKUP(B40,'ECN-ECO_DATA'!B:P,15,FALSE),"")</f>
        <v/>
      </c>
    </row>
    <row r="41" spans="3:17" x14ac:dyDescent="0.25">
      <c r="C41" s="43" t="str">
        <f>IFERROR(VLOOKUP(B41,'ECN-ECO_DATA'!B:C,2,FALSE),"")</f>
        <v/>
      </c>
      <c r="D41" s="43" t="str">
        <f>IFERROR(VLOOKUP(B41,'ECN-ECO_DATA'!B:X,23,FALSE),"")</f>
        <v/>
      </c>
      <c r="E41" s="44" t="str">
        <f>IFERROR(VLOOKUP(B41,'ECN-ECO_DATA'!B:G,5,FALSE),"")</f>
        <v/>
      </c>
      <c r="F41" s="44" t="str">
        <f>IFERROR((IF(VLOOKUP(B41,'ECN-ECO_DATA'!B:G,6,FALSE)="","",VLOOKUP(B41,'ECN-ECO_DATA'!B:G,6,FALSE))),"")</f>
        <v/>
      </c>
      <c r="H41" s="45" t="str">
        <f>IFERROR(VLOOKUP(B41,'ECN-ECO_DATA'!B:G,4,FALSE),"")</f>
        <v/>
      </c>
      <c r="I41" s="46" t="str">
        <f>IFERROR(IF(VLOOKUP(B41,'ECN-ECO_DATA'!B:G,6,FALSE)="","Not started",IF(VLOOKUP(B41,'ECN-ECO_DATA'!B:J,7,FALSE)="","Awaiting First Approval",IF(VLOOKUP(B41,'ECN-ECO_DATA'!B:J,8,FALSE)="","Awaiting Quality Check Approval",IF(VLOOKUP(B41,'ECN-ECO_DATA'!B:J,9,FALSE)="","Awaiting Last Approval",IF(VLOOKUP(B41,'ECN-ECO_DATA'!B:J,9,FALSE)&lt;&gt;"","Approved","Unknown"))))),"")</f>
        <v/>
      </c>
      <c r="K41" s="47" t="str">
        <f>IFERROR(VLOOKUP(B41,'ECN-ECO_DATA'!B:W,22,FALSE),"")</f>
        <v/>
      </c>
      <c r="L41" s="43" t="str">
        <f>IFERROR(IF(VLOOKUP(B41,'ECN-ECO_DATA'!B:AB,27,FALSE)=0,"",VLOOKUP(B41,'ECN-ECO_DATA'!B:AB,27,FALSE)),"")</f>
        <v/>
      </c>
      <c r="M41" s="43" t="str">
        <f>IFERROR(VLOOKUP(B41,'ECN-ECO_DATA'!B:AE,30,FALSE),"")</f>
        <v/>
      </c>
      <c r="N41" s="59" t="str">
        <f>IFERROR(IF((VLOOKUP(B41,'ECN-ECO_DATA'!B:AD,20,FALSE)-VLOOKUP(B41,'ECN-ECO_DATA'!B:AD,18,FALSE))&gt;0,(VLOOKUP(B41,'ECN-ECO_DATA'!B:AD,20,FALSE)-VLOOKUP(B41,'ECN-ECO_DATA'!B:AD,18,FALSE)),""),"")</f>
        <v/>
      </c>
      <c r="O41" s="59"/>
      <c r="P41" s="59" t="str">
        <f>IFERROR(VLOOKUP(B41,'ECN-ECO_DATA'!B:P,13,FALSE),"")</f>
        <v/>
      </c>
      <c r="Q41" s="43" t="str">
        <f>IFERROR(VLOOKUP(B41,'ECN-ECO_DATA'!B:P,15,FALSE),"")</f>
        <v/>
      </c>
    </row>
    <row r="42" spans="3:17" x14ac:dyDescent="0.25">
      <c r="C42" s="43" t="str">
        <f>IFERROR(VLOOKUP(B42,'ECN-ECO_DATA'!B:C,2,FALSE),"")</f>
        <v/>
      </c>
      <c r="D42" s="43" t="str">
        <f>IFERROR(VLOOKUP(B42,'ECN-ECO_DATA'!B:X,23,FALSE),"")</f>
        <v/>
      </c>
      <c r="E42" s="44" t="str">
        <f>IFERROR(VLOOKUP(B42,'ECN-ECO_DATA'!B:G,5,FALSE),"")</f>
        <v/>
      </c>
      <c r="F42" s="44" t="str">
        <f>IFERROR((IF(VLOOKUP(B42,'ECN-ECO_DATA'!B:G,6,FALSE)="","",VLOOKUP(B42,'ECN-ECO_DATA'!B:G,6,FALSE))),"")</f>
        <v/>
      </c>
      <c r="H42" s="45" t="str">
        <f>IFERROR(VLOOKUP(B42,'ECN-ECO_DATA'!B:G,4,FALSE),"")</f>
        <v/>
      </c>
      <c r="I42" s="46" t="str">
        <f>IFERROR(IF(VLOOKUP(B42,'ECN-ECO_DATA'!B:G,6,FALSE)="","Not started",IF(VLOOKUP(B42,'ECN-ECO_DATA'!B:J,7,FALSE)="","Awaiting First Approval",IF(VLOOKUP(B42,'ECN-ECO_DATA'!B:J,8,FALSE)="","Awaiting Quality Check Approval",IF(VLOOKUP(B42,'ECN-ECO_DATA'!B:J,9,FALSE)="","Awaiting Last Approval",IF(VLOOKUP(B42,'ECN-ECO_DATA'!B:J,9,FALSE)&lt;&gt;"","Approved","Unknown"))))),"")</f>
        <v/>
      </c>
      <c r="K42" s="47" t="str">
        <f>IFERROR(VLOOKUP(B42,'ECN-ECO_DATA'!B:W,22,FALSE),"")</f>
        <v/>
      </c>
      <c r="L42" s="43" t="str">
        <f>IFERROR(IF(VLOOKUP(B42,'ECN-ECO_DATA'!B:AB,27,FALSE)=0,"",VLOOKUP(B42,'ECN-ECO_DATA'!B:AB,27,FALSE)),"")</f>
        <v/>
      </c>
      <c r="M42" s="43" t="str">
        <f>IFERROR(VLOOKUP(B42,'ECN-ECO_DATA'!B:AE,30,FALSE),"")</f>
        <v/>
      </c>
      <c r="N42" s="59" t="str">
        <f>IFERROR(IF((VLOOKUP(B42,'ECN-ECO_DATA'!B:AD,20,FALSE)-VLOOKUP(B42,'ECN-ECO_DATA'!B:AD,18,FALSE))&gt;0,(VLOOKUP(B42,'ECN-ECO_DATA'!B:AD,20,FALSE)-VLOOKUP(B42,'ECN-ECO_DATA'!B:AD,18,FALSE)),""),"")</f>
        <v/>
      </c>
      <c r="O42" s="59"/>
      <c r="P42" s="59" t="str">
        <f>IFERROR(VLOOKUP(B42,'ECN-ECO_DATA'!B:P,13,FALSE),"")</f>
        <v/>
      </c>
      <c r="Q42" s="43" t="str">
        <f>IFERROR(VLOOKUP(B42,'ECN-ECO_DATA'!B:P,15,FALSE),"")</f>
        <v/>
      </c>
    </row>
    <row r="43" spans="3:17" x14ac:dyDescent="0.25">
      <c r="C43" s="43" t="str">
        <f>IFERROR(VLOOKUP(B43,'ECN-ECO_DATA'!B:C,2,FALSE),"")</f>
        <v/>
      </c>
      <c r="D43" s="43" t="str">
        <f>IFERROR(VLOOKUP(B43,'ECN-ECO_DATA'!B:X,23,FALSE),"")</f>
        <v/>
      </c>
      <c r="E43" s="44" t="str">
        <f>IFERROR(VLOOKUP(B43,'ECN-ECO_DATA'!B:G,5,FALSE),"")</f>
        <v/>
      </c>
      <c r="F43" s="44" t="str">
        <f>IFERROR((IF(VLOOKUP(B43,'ECN-ECO_DATA'!B:G,6,FALSE)="","",VLOOKUP(B43,'ECN-ECO_DATA'!B:G,6,FALSE))),"")</f>
        <v/>
      </c>
      <c r="H43" s="45" t="str">
        <f>IFERROR(VLOOKUP(B43,'ECN-ECO_DATA'!B:G,4,FALSE),"")</f>
        <v/>
      </c>
      <c r="I43" s="46" t="str">
        <f>IFERROR(IF(VLOOKUP(B43,'ECN-ECO_DATA'!B:G,6,FALSE)="","Not started",IF(VLOOKUP(B43,'ECN-ECO_DATA'!B:J,7,FALSE)="","Awaiting First Approval",IF(VLOOKUP(B43,'ECN-ECO_DATA'!B:J,8,FALSE)="","Awaiting Quality Check Approval",IF(VLOOKUP(B43,'ECN-ECO_DATA'!B:J,9,FALSE)="","Awaiting Last Approval",IF(VLOOKUP(B43,'ECN-ECO_DATA'!B:J,9,FALSE)&lt;&gt;"","Approved","Unknown"))))),"")</f>
        <v/>
      </c>
      <c r="K43" s="47" t="str">
        <f>IFERROR(VLOOKUP(B43,'ECN-ECO_DATA'!B:W,22,FALSE),"")</f>
        <v/>
      </c>
      <c r="L43" s="43" t="str">
        <f>IFERROR(IF(VLOOKUP(B43,'ECN-ECO_DATA'!B:AB,27,FALSE)=0,"",VLOOKUP(B43,'ECN-ECO_DATA'!B:AB,27,FALSE)),"")</f>
        <v/>
      </c>
      <c r="M43" s="43" t="str">
        <f>IFERROR(VLOOKUP(B43,'ECN-ECO_DATA'!B:AE,30,FALSE),"")</f>
        <v/>
      </c>
      <c r="N43" s="59" t="str">
        <f>IFERROR(IF((VLOOKUP(B43,'ECN-ECO_DATA'!B:AD,20,FALSE)-VLOOKUP(B43,'ECN-ECO_DATA'!B:AD,18,FALSE))&gt;0,(VLOOKUP(B43,'ECN-ECO_DATA'!B:AD,20,FALSE)-VLOOKUP(B43,'ECN-ECO_DATA'!B:AD,18,FALSE)),""),"")</f>
        <v/>
      </c>
      <c r="O43" s="59"/>
      <c r="P43" s="59" t="str">
        <f>IFERROR(VLOOKUP(B43,'ECN-ECO_DATA'!B:P,13,FALSE),"")</f>
        <v/>
      </c>
      <c r="Q43" s="43" t="str">
        <f>IFERROR(VLOOKUP(B43,'ECN-ECO_DATA'!B:P,15,FALSE),"")</f>
        <v/>
      </c>
    </row>
    <row r="44" spans="3:17" x14ac:dyDescent="0.25">
      <c r="C44" s="43" t="str">
        <f>IFERROR(VLOOKUP(B44,'ECN-ECO_DATA'!B:C,2,FALSE),"")</f>
        <v/>
      </c>
      <c r="D44" s="43" t="str">
        <f>IFERROR(VLOOKUP(B44,'ECN-ECO_DATA'!B:X,23,FALSE),"")</f>
        <v/>
      </c>
      <c r="E44" s="44" t="str">
        <f>IFERROR(VLOOKUP(B44,'ECN-ECO_DATA'!B:G,5,FALSE),"")</f>
        <v/>
      </c>
      <c r="F44" s="44" t="str">
        <f>IFERROR((IF(VLOOKUP(B44,'ECN-ECO_DATA'!B:G,6,FALSE)="","",VLOOKUP(B44,'ECN-ECO_DATA'!B:G,6,FALSE))),"")</f>
        <v/>
      </c>
      <c r="H44" s="45" t="str">
        <f>IFERROR(VLOOKUP(B44,'ECN-ECO_DATA'!B:G,4,FALSE),"")</f>
        <v/>
      </c>
      <c r="I44" s="46" t="str">
        <f>IFERROR(IF(VLOOKUP(B44,'ECN-ECO_DATA'!B:G,6,FALSE)="","Not started",IF(VLOOKUP(B44,'ECN-ECO_DATA'!B:J,7,FALSE)="","Awaiting First Approval",IF(VLOOKUP(B44,'ECN-ECO_DATA'!B:J,8,FALSE)="","Awaiting Quality Check Approval",IF(VLOOKUP(B44,'ECN-ECO_DATA'!B:J,9,FALSE)="","Awaiting Last Approval",IF(VLOOKUP(B44,'ECN-ECO_DATA'!B:J,9,FALSE)&lt;&gt;"","Approved","Unknown"))))),"")</f>
        <v/>
      </c>
      <c r="K44" s="47" t="str">
        <f>IFERROR(VLOOKUP(B44,'ECN-ECO_DATA'!B:W,22,FALSE),"")</f>
        <v/>
      </c>
      <c r="L44" s="43" t="str">
        <f>IFERROR(IF(VLOOKUP(B44,'ECN-ECO_DATA'!B:AB,27,FALSE)=0,"",VLOOKUP(B44,'ECN-ECO_DATA'!B:AB,27,FALSE)),"")</f>
        <v/>
      </c>
      <c r="M44" s="43" t="str">
        <f>IFERROR(VLOOKUP(B44,'ECN-ECO_DATA'!B:AE,30,FALSE),"")</f>
        <v/>
      </c>
      <c r="N44" s="59" t="str">
        <f>IFERROR(IF((VLOOKUP(B44,'ECN-ECO_DATA'!B:AD,20,FALSE)-VLOOKUP(B44,'ECN-ECO_DATA'!B:AD,18,FALSE))&gt;0,(VLOOKUP(B44,'ECN-ECO_DATA'!B:AD,20,FALSE)-VLOOKUP(B44,'ECN-ECO_DATA'!B:AD,18,FALSE)),""),"")</f>
        <v/>
      </c>
      <c r="O44" s="59"/>
      <c r="P44" s="59" t="str">
        <f>IFERROR(VLOOKUP(B44,'ECN-ECO_DATA'!B:P,13,FALSE),"")</f>
        <v/>
      </c>
      <c r="Q44" s="43" t="str">
        <f>IFERROR(VLOOKUP(B44,'ECN-ECO_DATA'!B:P,15,FALSE),"")</f>
        <v/>
      </c>
    </row>
    <row r="45" spans="3:17" x14ac:dyDescent="0.25">
      <c r="C45" s="43" t="str">
        <f>IFERROR(VLOOKUP(B45,'ECN-ECO_DATA'!B:C,2,FALSE),"")</f>
        <v/>
      </c>
      <c r="D45" s="43" t="str">
        <f>IFERROR(VLOOKUP(B45,'ECN-ECO_DATA'!B:X,23,FALSE),"")</f>
        <v/>
      </c>
      <c r="E45" s="44" t="str">
        <f>IFERROR(VLOOKUP(B45,'ECN-ECO_DATA'!B:G,5,FALSE),"")</f>
        <v/>
      </c>
      <c r="F45" s="44" t="str">
        <f>IFERROR((IF(VLOOKUP(B45,'ECN-ECO_DATA'!B:G,6,FALSE)="","",VLOOKUP(B45,'ECN-ECO_DATA'!B:G,6,FALSE))),"")</f>
        <v/>
      </c>
      <c r="H45" s="45" t="str">
        <f>IFERROR(VLOOKUP(B45,'ECN-ECO_DATA'!B:G,4,FALSE),"")</f>
        <v/>
      </c>
      <c r="I45" s="46" t="str">
        <f>IFERROR(IF(VLOOKUP(B45,'ECN-ECO_DATA'!B:G,6,FALSE)="","Not started",IF(VLOOKUP(B45,'ECN-ECO_DATA'!B:J,7,FALSE)="","Awaiting First Approval",IF(VLOOKUP(B45,'ECN-ECO_DATA'!B:J,8,FALSE)="","Awaiting Quality Check Approval",IF(VLOOKUP(B45,'ECN-ECO_DATA'!B:J,9,FALSE)="","Awaiting Last Approval",IF(VLOOKUP(B45,'ECN-ECO_DATA'!B:J,9,FALSE)&lt;&gt;"","Approved","Unknown"))))),"")</f>
        <v/>
      </c>
      <c r="K45" s="47" t="str">
        <f>IFERROR(VLOOKUP(B45,'ECN-ECO_DATA'!B:W,22,FALSE),"")</f>
        <v/>
      </c>
      <c r="L45" s="43" t="str">
        <f>IFERROR(IF(VLOOKUP(B45,'ECN-ECO_DATA'!B:AB,27,FALSE)=0,"",VLOOKUP(B45,'ECN-ECO_DATA'!B:AB,27,FALSE)),"")</f>
        <v/>
      </c>
      <c r="M45" s="43" t="str">
        <f>IFERROR(VLOOKUP(B45,'ECN-ECO_DATA'!B:AE,30,FALSE),"")</f>
        <v/>
      </c>
      <c r="N45" s="59" t="str">
        <f>IFERROR(IF((VLOOKUP(B45,'ECN-ECO_DATA'!B:AD,20,FALSE)-VLOOKUP(B45,'ECN-ECO_DATA'!B:AD,18,FALSE))&gt;0,(VLOOKUP(B45,'ECN-ECO_DATA'!B:AD,20,FALSE)-VLOOKUP(B45,'ECN-ECO_DATA'!B:AD,18,FALSE)),""),"")</f>
        <v/>
      </c>
      <c r="O45" s="59"/>
      <c r="P45" s="59" t="str">
        <f>IFERROR(VLOOKUP(B45,'ECN-ECO_DATA'!B:P,13,FALSE),"")</f>
        <v/>
      </c>
      <c r="Q45" s="43" t="str">
        <f>IFERROR(VLOOKUP(B45,'ECN-ECO_DATA'!B:P,15,FALSE),"")</f>
        <v/>
      </c>
    </row>
    <row r="46" spans="3:17" x14ac:dyDescent="0.25">
      <c r="C46" s="43" t="str">
        <f>IFERROR(VLOOKUP(B46,'ECN-ECO_DATA'!B:C,2,FALSE),"")</f>
        <v/>
      </c>
      <c r="D46" s="43" t="str">
        <f>IFERROR(VLOOKUP(B46,'ECN-ECO_DATA'!B:X,23,FALSE),"")</f>
        <v/>
      </c>
      <c r="E46" s="44" t="str">
        <f>IFERROR(VLOOKUP(B46,'ECN-ECO_DATA'!B:G,5,FALSE),"")</f>
        <v/>
      </c>
      <c r="F46" s="44" t="str">
        <f>IFERROR((IF(VLOOKUP(B46,'ECN-ECO_DATA'!B:G,6,FALSE)="","",VLOOKUP(B46,'ECN-ECO_DATA'!B:G,6,FALSE))),"")</f>
        <v/>
      </c>
      <c r="H46" s="45" t="str">
        <f>IFERROR(VLOOKUP(B46,'ECN-ECO_DATA'!B:G,4,FALSE),"")</f>
        <v/>
      </c>
      <c r="I46" s="46" t="str">
        <f>IFERROR(IF(VLOOKUP(B46,'ECN-ECO_DATA'!B:G,6,FALSE)="","Not started",IF(VLOOKUP(B46,'ECN-ECO_DATA'!B:J,7,FALSE)="","Awaiting First Approval",IF(VLOOKUP(B46,'ECN-ECO_DATA'!B:J,8,FALSE)="","Awaiting Quality Check Approval",IF(VLOOKUP(B46,'ECN-ECO_DATA'!B:J,9,FALSE)="","Awaiting Last Approval",IF(VLOOKUP(B46,'ECN-ECO_DATA'!B:J,9,FALSE)&lt;&gt;"","Approved","Unknown"))))),"")</f>
        <v/>
      </c>
      <c r="K46" s="47" t="str">
        <f>IFERROR(VLOOKUP(B46,'ECN-ECO_DATA'!B:W,22,FALSE),"")</f>
        <v/>
      </c>
      <c r="L46" s="43" t="str">
        <f>IFERROR(IF(VLOOKUP(B46,'ECN-ECO_DATA'!B:AB,27,FALSE)=0,"",VLOOKUP(B46,'ECN-ECO_DATA'!B:AB,27,FALSE)),"")</f>
        <v/>
      </c>
      <c r="M46" s="43" t="str">
        <f>IFERROR(VLOOKUP(B46,'ECN-ECO_DATA'!B:AE,30,FALSE),"")</f>
        <v/>
      </c>
      <c r="N46" s="59" t="str">
        <f>IFERROR(IF((VLOOKUP(B46,'ECN-ECO_DATA'!B:AD,20,FALSE)-VLOOKUP(B46,'ECN-ECO_DATA'!B:AD,18,FALSE))&gt;0,(VLOOKUP(B46,'ECN-ECO_DATA'!B:AD,20,FALSE)-VLOOKUP(B46,'ECN-ECO_DATA'!B:AD,18,FALSE)),""),"")</f>
        <v/>
      </c>
      <c r="O46" s="59"/>
      <c r="P46" s="59" t="str">
        <f>IFERROR(VLOOKUP(B46,'ECN-ECO_DATA'!B:P,13,FALSE),"")</f>
        <v/>
      </c>
      <c r="Q46" s="43" t="str">
        <f>IFERROR(VLOOKUP(B46,'ECN-ECO_DATA'!B:P,15,FALSE),"")</f>
        <v/>
      </c>
    </row>
    <row r="47" spans="3:17" x14ac:dyDescent="0.25">
      <c r="C47" s="43" t="str">
        <f>IFERROR(VLOOKUP(B47,'ECN-ECO_DATA'!B:C,2,FALSE),"")</f>
        <v/>
      </c>
      <c r="D47" s="43" t="str">
        <f>IFERROR(VLOOKUP(B47,'ECN-ECO_DATA'!B:X,23,FALSE),"")</f>
        <v/>
      </c>
      <c r="E47" s="44" t="str">
        <f>IFERROR(VLOOKUP(B47,'ECN-ECO_DATA'!B:G,5,FALSE),"")</f>
        <v/>
      </c>
      <c r="F47" s="44" t="str">
        <f>IFERROR((IF(VLOOKUP(B47,'ECN-ECO_DATA'!B:G,6,FALSE)="","",VLOOKUP(B47,'ECN-ECO_DATA'!B:G,6,FALSE))),"")</f>
        <v/>
      </c>
      <c r="H47" s="45" t="str">
        <f>IFERROR(VLOOKUP(B47,'ECN-ECO_DATA'!B:G,4,FALSE),"")</f>
        <v/>
      </c>
      <c r="I47" s="46" t="str">
        <f>IFERROR(IF(VLOOKUP(B47,'ECN-ECO_DATA'!B:G,6,FALSE)="","Not started",IF(VLOOKUP(B47,'ECN-ECO_DATA'!B:J,7,FALSE)="","Awaiting First Approval",IF(VLOOKUP(B47,'ECN-ECO_DATA'!B:J,8,FALSE)="","Awaiting Quality Check Approval",IF(VLOOKUP(B47,'ECN-ECO_DATA'!B:J,9,FALSE)="","Awaiting Last Approval",IF(VLOOKUP(B47,'ECN-ECO_DATA'!B:J,9,FALSE)&lt;&gt;"","Approved","Unknown"))))),"")</f>
        <v/>
      </c>
      <c r="K47" s="47" t="str">
        <f>IFERROR(VLOOKUP(B47,'ECN-ECO_DATA'!B:W,22,FALSE),"")</f>
        <v/>
      </c>
      <c r="L47" s="43" t="str">
        <f>IFERROR(IF(VLOOKUP(B47,'ECN-ECO_DATA'!B:AB,27,FALSE)=0,"",VLOOKUP(B47,'ECN-ECO_DATA'!B:AB,27,FALSE)),"")</f>
        <v/>
      </c>
      <c r="M47" s="43" t="str">
        <f>IFERROR(VLOOKUP(B47,'ECN-ECO_DATA'!B:AE,30,FALSE),"")</f>
        <v/>
      </c>
      <c r="N47" s="59" t="str">
        <f>IFERROR(IF((VLOOKUP(B47,'ECN-ECO_DATA'!B:AD,20,FALSE)-VLOOKUP(B47,'ECN-ECO_DATA'!B:AD,18,FALSE))&gt;0,(VLOOKUP(B47,'ECN-ECO_DATA'!B:AD,20,FALSE)-VLOOKUP(B47,'ECN-ECO_DATA'!B:AD,18,FALSE)),""),"")</f>
        <v/>
      </c>
      <c r="O47" s="59"/>
      <c r="P47" s="59" t="str">
        <f>IFERROR(VLOOKUP(B47,'ECN-ECO_DATA'!B:P,13,FALSE),"")</f>
        <v/>
      </c>
      <c r="Q47" s="43" t="str">
        <f>IFERROR(VLOOKUP(B47,'ECN-ECO_DATA'!B:P,15,FALSE),"")</f>
        <v/>
      </c>
    </row>
    <row r="48" spans="3:17" x14ac:dyDescent="0.25">
      <c r="C48" s="43" t="str">
        <f>IFERROR(VLOOKUP(B48,'ECN-ECO_DATA'!B:C,2,FALSE),"")</f>
        <v/>
      </c>
      <c r="D48" s="43" t="str">
        <f>IFERROR(VLOOKUP(B48,'ECN-ECO_DATA'!B:X,23,FALSE),"")</f>
        <v/>
      </c>
      <c r="E48" s="44" t="str">
        <f>IFERROR(VLOOKUP(B48,'ECN-ECO_DATA'!B:G,5,FALSE),"")</f>
        <v/>
      </c>
      <c r="F48" s="44" t="str">
        <f>IFERROR((IF(VLOOKUP(B48,'ECN-ECO_DATA'!B:G,6,FALSE)="","",VLOOKUP(B48,'ECN-ECO_DATA'!B:G,6,FALSE))),"")</f>
        <v/>
      </c>
      <c r="H48" s="45" t="str">
        <f>IFERROR(VLOOKUP(B48,'ECN-ECO_DATA'!B:G,4,FALSE),"")</f>
        <v/>
      </c>
      <c r="I48" s="46" t="str">
        <f>IFERROR(IF(VLOOKUP(B48,'ECN-ECO_DATA'!B:G,6,FALSE)="","Not started",IF(VLOOKUP(B48,'ECN-ECO_DATA'!B:J,7,FALSE)="","Awaiting First Approval",IF(VLOOKUP(B48,'ECN-ECO_DATA'!B:J,8,FALSE)="","Awaiting Quality Check Approval",IF(VLOOKUP(B48,'ECN-ECO_DATA'!B:J,9,FALSE)="","Awaiting Last Approval",IF(VLOOKUP(B48,'ECN-ECO_DATA'!B:J,9,FALSE)&lt;&gt;"","Approved","Unknown"))))),"")</f>
        <v/>
      </c>
      <c r="K48" s="47" t="str">
        <f>IFERROR(VLOOKUP(B48,'ECN-ECO_DATA'!B:W,22,FALSE),"")</f>
        <v/>
      </c>
      <c r="L48" s="43" t="str">
        <f>IFERROR(IF(VLOOKUP(B48,'ECN-ECO_DATA'!B:AB,27,FALSE)=0,"",VLOOKUP(B48,'ECN-ECO_DATA'!B:AB,27,FALSE)),"")</f>
        <v/>
      </c>
      <c r="M48" s="43" t="str">
        <f>IFERROR(VLOOKUP(B48,'ECN-ECO_DATA'!B:AE,30,FALSE),"")</f>
        <v/>
      </c>
      <c r="N48" s="59" t="str">
        <f>IFERROR(IF((VLOOKUP(B48,'ECN-ECO_DATA'!B:AD,20,FALSE)-VLOOKUP(B48,'ECN-ECO_DATA'!B:AD,18,FALSE))&gt;0,(VLOOKUP(B48,'ECN-ECO_DATA'!B:AD,20,FALSE)-VLOOKUP(B48,'ECN-ECO_DATA'!B:AD,18,FALSE)),""),"")</f>
        <v/>
      </c>
      <c r="O48" s="59"/>
      <c r="P48" s="59" t="str">
        <f>IFERROR(VLOOKUP(B48,'ECN-ECO_DATA'!B:P,13,FALSE),"")</f>
        <v/>
      </c>
      <c r="Q48" s="43" t="str">
        <f>IFERROR(VLOOKUP(B48,'ECN-ECO_DATA'!B:P,15,FALSE),"")</f>
        <v/>
      </c>
    </row>
    <row r="49" spans="3:17" x14ac:dyDescent="0.25">
      <c r="C49" s="43" t="str">
        <f>IFERROR(VLOOKUP(B49,'ECN-ECO_DATA'!B:C,2,FALSE),"")</f>
        <v/>
      </c>
      <c r="D49" s="43" t="str">
        <f>IFERROR(VLOOKUP(B49,'ECN-ECO_DATA'!B:X,23,FALSE),"")</f>
        <v/>
      </c>
      <c r="E49" s="44" t="str">
        <f>IFERROR(VLOOKUP(B49,'ECN-ECO_DATA'!B:G,5,FALSE),"")</f>
        <v/>
      </c>
      <c r="F49" s="44" t="str">
        <f>IFERROR((IF(VLOOKUP(B49,'ECN-ECO_DATA'!B:G,6,FALSE)="","",VLOOKUP(B49,'ECN-ECO_DATA'!B:G,6,FALSE))),"")</f>
        <v/>
      </c>
      <c r="H49" s="45" t="str">
        <f>IFERROR(VLOOKUP(B49,'ECN-ECO_DATA'!B:G,4,FALSE),"")</f>
        <v/>
      </c>
      <c r="I49" s="46" t="str">
        <f>IFERROR(IF(VLOOKUP(B49,'ECN-ECO_DATA'!B:G,6,FALSE)="","Not started",IF(VLOOKUP(B49,'ECN-ECO_DATA'!B:J,7,FALSE)="","Awaiting First Approval",IF(VLOOKUP(B49,'ECN-ECO_DATA'!B:J,8,FALSE)="","Awaiting Quality Check Approval",IF(VLOOKUP(B49,'ECN-ECO_DATA'!B:J,9,FALSE)="","Awaiting Last Approval",IF(VLOOKUP(B49,'ECN-ECO_DATA'!B:J,9,FALSE)&lt;&gt;"","Approved","Unknown"))))),"")</f>
        <v/>
      </c>
      <c r="K49" s="47" t="str">
        <f>IFERROR(VLOOKUP(B49,'ECN-ECO_DATA'!B:W,22,FALSE),"")</f>
        <v/>
      </c>
      <c r="L49" s="43" t="str">
        <f>IFERROR(IF(VLOOKUP(B49,'ECN-ECO_DATA'!B:AB,27,FALSE)=0,"",VLOOKUP(B49,'ECN-ECO_DATA'!B:AB,27,FALSE)),"")</f>
        <v/>
      </c>
      <c r="M49" s="43" t="str">
        <f>IFERROR(VLOOKUP(B49,'ECN-ECO_DATA'!B:AE,30,FALSE),"")</f>
        <v/>
      </c>
      <c r="N49" s="59" t="str">
        <f>IFERROR(IF((VLOOKUP(B49,'ECN-ECO_DATA'!B:AD,20,FALSE)-VLOOKUP(B49,'ECN-ECO_DATA'!B:AD,18,FALSE))&gt;0,(VLOOKUP(B49,'ECN-ECO_DATA'!B:AD,20,FALSE)-VLOOKUP(B49,'ECN-ECO_DATA'!B:AD,18,FALSE)),""),"")</f>
        <v/>
      </c>
      <c r="O49" s="59"/>
      <c r="P49" s="59" t="str">
        <f>IFERROR(VLOOKUP(B49,'ECN-ECO_DATA'!B:P,13,FALSE),"")</f>
        <v/>
      </c>
      <c r="Q49" s="43" t="str">
        <f>IFERROR(VLOOKUP(B49,'ECN-ECO_DATA'!B:P,15,FALSE),"")</f>
        <v/>
      </c>
    </row>
    <row r="50" spans="3:17" x14ac:dyDescent="0.25">
      <c r="C50" s="43" t="str">
        <f>IFERROR(VLOOKUP(B50,'ECN-ECO_DATA'!B:C,2,FALSE),"")</f>
        <v/>
      </c>
      <c r="D50" s="43" t="str">
        <f>IFERROR(VLOOKUP(B50,'ECN-ECO_DATA'!B:X,23,FALSE),"")</f>
        <v/>
      </c>
      <c r="E50" s="44" t="str">
        <f>IFERROR(VLOOKUP(B50,'ECN-ECO_DATA'!B:G,5,FALSE),"")</f>
        <v/>
      </c>
      <c r="F50" s="44" t="str">
        <f>IFERROR((IF(VLOOKUP(B50,'ECN-ECO_DATA'!B:G,6,FALSE)="","",VLOOKUP(B50,'ECN-ECO_DATA'!B:G,6,FALSE))),"")</f>
        <v/>
      </c>
      <c r="H50" s="45" t="str">
        <f>IFERROR(VLOOKUP(B50,'ECN-ECO_DATA'!B:G,4,FALSE),"")</f>
        <v/>
      </c>
      <c r="I50" s="46" t="str">
        <f>IFERROR(IF(VLOOKUP(B50,'ECN-ECO_DATA'!B:G,6,FALSE)="","Not started",IF(VLOOKUP(B50,'ECN-ECO_DATA'!B:J,7,FALSE)="","Awaiting First Approval",IF(VLOOKUP(B50,'ECN-ECO_DATA'!B:J,8,FALSE)="","Awaiting Quality Check Approval",IF(VLOOKUP(B50,'ECN-ECO_DATA'!B:J,9,FALSE)="","Awaiting Last Approval",IF(VLOOKUP(B50,'ECN-ECO_DATA'!B:J,9,FALSE)&lt;&gt;"","Approved","Unknown"))))),"")</f>
        <v/>
      </c>
      <c r="K50" s="47" t="str">
        <f>IFERROR(VLOOKUP(B50,'ECN-ECO_DATA'!B:W,22,FALSE),"")</f>
        <v/>
      </c>
      <c r="L50" s="43" t="str">
        <f>IFERROR(IF(VLOOKUP(B50,'ECN-ECO_DATA'!B:AB,27,FALSE)=0,"",VLOOKUP(B50,'ECN-ECO_DATA'!B:AB,27,FALSE)),"")</f>
        <v/>
      </c>
      <c r="M50" s="43" t="str">
        <f>IFERROR(VLOOKUP(B50,'ECN-ECO_DATA'!B:AE,30,FALSE),"")</f>
        <v/>
      </c>
      <c r="N50" s="59" t="str">
        <f>IFERROR(IF((VLOOKUP(B50,'ECN-ECO_DATA'!B:AD,20,FALSE)-VLOOKUP(B50,'ECN-ECO_DATA'!B:AD,18,FALSE))&gt;0,(VLOOKUP(B50,'ECN-ECO_DATA'!B:AD,20,FALSE)-VLOOKUP(B50,'ECN-ECO_DATA'!B:AD,18,FALSE)),""),"")</f>
        <v/>
      </c>
      <c r="O50" s="59"/>
      <c r="P50" s="59" t="str">
        <f>IFERROR(VLOOKUP(B50,'ECN-ECO_DATA'!B:P,13,FALSE),"")</f>
        <v/>
      </c>
      <c r="Q50" s="43" t="str">
        <f>IFERROR(VLOOKUP(B50,'ECN-ECO_DATA'!B:P,15,FALSE),"")</f>
        <v/>
      </c>
    </row>
    <row r="51" spans="3:17" x14ac:dyDescent="0.25">
      <c r="C51" s="43" t="str">
        <f>IFERROR(VLOOKUP(B51,'ECN-ECO_DATA'!B:C,2,FALSE),"")</f>
        <v/>
      </c>
      <c r="D51" s="43" t="str">
        <f>IFERROR(VLOOKUP(B51,'ECN-ECO_DATA'!B:X,23,FALSE),"")</f>
        <v/>
      </c>
      <c r="E51" s="44" t="str">
        <f>IFERROR(VLOOKUP(B51,'ECN-ECO_DATA'!B:G,5,FALSE),"")</f>
        <v/>
      </c>
      <c r="F51" s="44" t="str">
        <f>IFERROR((IF(VLOOKUP(B51,'ECN-ECO_DATA'!B:G,6,FALSE)="","",VLOOKUP(B51,'ECN-ECO_DATA'!B:G,6,FALSE))),"")</f>
        <v/>
      </c>
      <c r="H51" s="45" t="str">
        <f>IFERROR(VLOOKUP(B51,'ECN-ECO_DATA'!B:G,4,FALSE),"")</f>
        <v/>
      </c>
      <c r="I51" s="46" t="str">
        <f>IFERROR(IF(VLOOKUP(B51,'ECN-ECO_DATA'!B:G,6,FALSE)="","Not started",IF(VLOOKUP(B51,'ECN-ECO_DATA'!B:J,7,FALSE)="","Awaiting First Approval",IF(VLOOKUP(B51,'ECN-ECO_DATA'!B:J,8,FALSE)="","Awaiting Quality Check Approval",IF(VLOOKUP(B51,'ECN-ECO_DATA'!B:J,9,FALSE)="","Awaiting Last Approval",IF(VLOOKUP(B51,'ECN-ECO_DATA'!B:J,9,FALSE)&lt;&gt;"","Approved","Unknown"))))),"")</f>
        <v/>
      </c>
      <c r="K51" s="47" t="str">
        <f>IFERROR(VLOOKUP(B51,'ECN-ECO_DATA'!B:W,22,FALSE),"")</f>
        <v/>
      </c>
      <c r="L51" s="43" t="str">
        <f>IFERROR(IF(VLOOKUP(B51,'ECN-ECO_DATA'!B:AB,27,FALSE)=0,"",VLOOKUP(B51,'ECN-ECO_DATA'!B:AB,27,FALSE)),"")</f>
        <v/>
      </c>
      <c r="M51" s="43" t="str">
        <f>IFERROR(VLOOKUP(B51,'ECN-ECO_DATA'!B:AE,30,FALSE),"")</f>
        <v/>
      </c>
      <c r="N51" s="59" t="str">
        <f>IFERROR(IF((VLOOKUP(B51,'ECN-ECO_DATA'!B:AD,20,FALSE)-VLOOKUP(B51,'ECN-ECO_DATA'!B:AD,18,FALSE))&gt;0,(VLOOKUP(B51,'ECN-ECO_DATA'!B:AD,20,FALSE)-VLOOKUP(B51,'ECN-ECO_DATA'!B:AD,18,FALSE)),""),"")</f>
        <v/>
      </c>
      <c r="O51" s="59"/>
      <c r="P51" s="59" t="str">
        <f>IFERROR(VLOOKUP(B51,'ECN-ECO_DATA'!B:P,13,FALSE),"")</f>
        <v/>
      </c>
      <c r="Q51" s="43" t="str">
        <f>IFERROR(VLOOKUP(B51,'ECN-ECO_DATA'!B:P,15,FALSE),"")</f>
        <v/>
      </c>
    </row>
    <row r="52" spans="3:17" x14ac:dyDescent="0.25">
      <c r="C52" s="43" t="str">
        <f>IFERROR(VLOOKUP(B52,'ECN-ECO_DATA'!B:C,2,FALSE),"")</f>
        <v/>
      </c>
      <c r="D52" s="43" t="str">
        <f>IFERROR(VLOOKUP(B52,'ECN-ECO_DATA'!B:X,23,FALSE),"")</f>
        <v/>
      </c>
      <c r="E52" s="44" t="str">
        <f>IFERROR(VLOOKUP(B52,'ECN-ECO_DATA'!B:G,5,FALSE),"")</f>
        <v/>
      </c>
      <c r="F52" s="44" t="str">
        <f>IFERROR((IF(VLOOKUP(B52,'ECN-ECO_DATA'!B:G,6,FALSE)="","",VLOOKUP(B52,'ECN-ECO_DATA'!B:G,6,FALSE))),"")</f>
        <v/>
      </c>
      <c r="H52" s="45" t="str">
        <f>IFERROR(VLOOKUP(B52,'ECN-ECO_DATA'!B:G,4,FALSE),"")</f>
        <v/>
      </c>
      <c r="I52" s="46" t="str">
        <f>IFERROR(IF(VLOOKUP(B52,'ECN-ECO_DATA'!B:G,6,FALSE)="","Not started",IF(VLOOKUP(B52,'ECN-ECO_DATA'!B:J,7,FALSE)="","Awaiting First Approval",IF(VLOOKUP(B52,'ECN-ECO_DATA'!B:J,8,FALSE)="","Awaiting Quality Check Approval",IF(VLOOKUP(B52,'ECN-ECO_DATA'!B:J,9,FALSE)="","Awaiting Last Approval",IF(VLOOKUP(B52,'ECN-ECO_DATA'!B:J,9,FALSE)&lt;&gt;"","Approved","Unknown"))))),"")</f>
        <v/>
      </c>
      <c r="K52" s="47" t="str">
        <f>IFERROR(VLOOKUP(B52,'ECN-ECO_DATA'!B:W,22,FALSE),"")</f>
        <v/>
      </c>
      <c r="L52" s="43" t="str">
        <f>IFERROR(IF(VLOOKUP(B52,'ECN-ECO_DATA'!B:AB,27,FALSE)=0,"",VLOOKUP(B52,'ECN-ECO_DATA'!B:AB,27,FALSE)),"")</f>
        <v/>
      </c>
      <c r="M52" s="43" t="str">
        <f>IFERROR(VLOOKUP(B52,'ECN-ECO_DATA'!B:AE,30,FALSE),"")</f>
        <v/>
      </c>
      <c r="N52" s="59" t="str">
        <f>IFERROR(IF((VLOOKUP(B52,'ECN-ECO_DATA'!B:AD,20,FALSE)-VLOOKUP(B52,'ECN-ECO_DATA'!B:AD,18,FALSE))&gt;0,(VLOOKUP(B52,'ECN-ECO_DATA'!B:AD,20,FALSE)-VLOOKUP(B52,'ECN-ECO_DATA'!B:AD,18,FALSE)),""),"")</f>
        <v/>
      </c>
      <c r="O52" s="59"/>
      <c r="P52" s="59" t="str">
        <f>IFERROR(VLOOKUP(B52,'ECN-ECO_DATA'!B:P,13,FALSE),"")</f>
        <v/>
      </c>
      <c r="Q52" s="43" t="str">
        <f>IFERROR(VLOOKUP(B52,'ECN-ECO_DATA'!B:P,15,FALSE),"")</f>
        <v/>
      </c>
    </row>
    <row r="53" spans="3:17" x14ac:dyDescent="0.25">
      <c r="C53" s="43" t="str">
        <f>IFERROR(VLOOKUP(B53,'ECN-ECO_DATA'!B:C,2,FALSE),"")</f>
        <v/>
      </c>
      <c r="D53" s="43" t="str">
        <f>IFERROR(VLOOKUP(B53,'ECN-ECO_DATA'!B:X,23,FALSE),"")</f>
        <v/>
      </c>
      <c r="E53" s="44" t="str">
        <f>IFERROR(VLOOKUP(B53,'ECN-ECO_DATA'!B:G,5,FALSE),"")</f>
        <v/>
      </c>
      <c r="F53" s="44" t="str">
        <f>IFERROR((IF(VLOOKUP(B53,'ECN-ECO_DATA'!B:G,6,FALSE)="","",VLOOKUP(B53,'ECN-ECO_DATA'!B:G,6,FALSE))),"")</f>
        <v/>
      </c>
      <c r="H53" s="45" t="str">
        <f>IFERROR(VLOOKUP(B53,'ECN-ECO_DATA'!B:G,4,FALSE),"")</f>
        <v/>
      </c>
      <c r="I53" s="46" t="str">
        <f>IFERROR(IF(VLOOKUP(B53,'ECN-ECO_DATA'!B:G,6,FALSE)="","Not started",IF(VLOOKUP(B53,'ECN-ECO_DATA'!B:J,7,FALSE)="","Awaiting First Approval",IF(VLOOKUP(B53,'ECN-ECO_DATA'!B:J,8,FALSE)="","Awaiting Quality Check Approval",IF(VLOOKUP(B53,'ECN-ECO_DATA'!B:J,9,FALSE)="","Awaiting Last Approval",IF(VLOOKUP(B53,'ECN-ECO_DATA'!B:J,9,FALSE)&lt;&gt;"","Approved","Unknown"))))),"")</f>
        <v/>
      </c>
      <c r="K53" s="47" t="str">
        <f>IFERROR(VLOOKUP(B53,'ECN-ECO_DATA'!B:W,22,FALSE),"")</f>
        <v/>
      </c>
      <c r="L53" s="43" t="str">
        <f>IFERROR(IF(VLOOKUP(B53,'ECN-ECO_DATA'!B:AB,27,FALSE)=0,"",VLOOKUP(B53,'ECN-ECO_DATA'!B:AB,27,FALSE)),"")</f>
        <v/>
      </c>
      <c r="M53" s="43" t="str">
        <f>IFERROR(VLOOKUP(B53,'ECN-ECO_DATA'!B:AE,30,FALSE),"")</f>
        <v/>
      </c>
      <c r="N53" s="59" t="str">
        <f>IFERROR(IF((VLOOKUP(B53,'ECN-ECO_DATA'!B:AD,20,FALSE)-VLOOKUP(B53,'ECN-ECO_DATA'!B:AD,18,FALSE))&gt;0,(VLOOKUP(B53,'ECN-ECO_DATA'!B:AD,20,FALSE)-VLOOKUP(B53,'ECN-ECO_DATA'!B:AD,18,FALSE)),""),"")</f>
        <v/>
      </c>
      <c r="O53" s="59"/>
      <c r="P53" s="59" t="str">
        <f>IFERROR(VLOOKUP(B53,'ECN-ECO_DATA'!B:P,13,FALSE),"")</f>
        <v/>
      </c>
      <c r="Q53" s="43" t="str">
        <f>IFERROR(VLOOKUP(B53,'ECN-ECO_DATA'!B:P,15,FALSE),"")</f>
        <v/>
      </c>
    </row>
    <row r="54" spans="3:17" x14ac:dyDescent="0.25">
      <c r="C54" s="43" t="str">
        <f>IFERROR(VLOOKUP(B54,'ECN-ECO_DATA'!B:C,2,FALSE),"")</f>
        <v/>
      </c>
      <c r="D54" s="43" t="str">
        <f>IFERROR(VLOOKUP(B54,'ECN-ECO_DATA'!B:X,23,FALSE),"")</f>
        <v/>
      </c>
      <c r="E54" s="44" t="str">
        <f>IFERROR(VLOOKUP(B54,'ECN-ECO_DATA'!B:G,5,FALSE),"")</f>
        <v/>
      </c>
      <c r="F54" s="44" t="str">
        <f>IFERROR((IF(VLOOKUP(B54,'ECN-ECO_DATA'!B:G,6,FALSE)="","",VLOOKUP(B54,'ECN-ECO_DATA'!B:G,6,FALSE))),"")</f>
        <v/>
      </c>
      <c r="H54" s="45" t="str">
        <f>IFERROR(VLOOKUP(B54,'ECN-ECO_DATA'!B:G,4,FALSE),"")</f>
        <v/>
      </c>
      <c r="I54" s="46" t="str">
        <f>IFERROR(IF(VLOOKUP(B54,'ECN-ECO_DATA'!B:G,6,FALSE)="","Not started",IF(VLOOKUP(B54,'ECN-ECO_DATA'!B:J,7,FALSE)="","Awaiting First Approval",IF(VLOOKUP(B54,'ECN-ECO_DATA'!B:J,8,FALSE)="","Awaiting Quality Check Approval",IF(VLOOKUP(B54,'ECN-ECO_DATA'!B:J,9,FALSE)="","Awaiting Last Approval",IF(VLOOKUP(B54,'ECN-ECO_DATA'!B:J,9,FALSE)&lt;&gt;"","Approved","Unknown"))))),"")</f>
        <v/>
      </c>
      <c r="K54" s="47" t="str">
        <f>IFERROR(VLOOKUP(B54,'ECN-ECO_DATA'!B:W,22,FALSE),"")</f>
        <v/>
      </c>
      <c r="L54" s="43" t="str">
        <f>IFERROR(IF(VLOOKUP(B54,'ECN-ECO_DATA'!B:AB,27,FALSE)=0,"",VLOOKUP(B54,'ECN-ECO_DATA'!B:AB,27,FALSE)),"")</f>
        <v/>
      </c>
      <c r="M54" s="43" t="str">
        <f>IFERROR(VLOOKUP(B54,'ECN-ECO_DATA'!B:AE,30,FALSE),"")</f>
        <v/>
      </c>
      <c r="N54" s="59" t="str">
        <f>IFERROR(IF((VLOOKUP(B54,'ECN-ECO_DATA'!B:AD,20,FALSE)-VLOOKUP(B54,'ECN-ECO_DATA'!B:AD,18,FALSE))&gt;0,(VLOOKUP(B54,'ECN-ECO_DATA'!B:AD,20,FALSE)-VLOOKUP(B54,'ECN-ECO_DATA'!B:AD,18,FALSE)),""),"")</f>
        <v/>
      </c>
      <c r="O54" s="59"/>
      <c r="P54" s="59" t="str">
        <f>IFERROR(VLOOKUP(B54,'ECN-ECO_DATA'!B:P,13,FALSE),"")</f>
        <v/>
      </c>
      <c r="Q54" s="43" t="str">
        <f>IFERROR(VLOOKUP(B54,'ECN-ECO_DATA'!B:P,15,FALSE),"")</f>
        <v/>
      </c>
    </row>
    <row r="55" spans="3:17" x14ac:dyDescent="0.25">
      <c r="C55" s="43" t="str">
        <f>IFERROR(VLOOKUP(B55,'ECN-ECO_DATA'!B:C,2,FALSE),"")</f>
        <v/>
      </c>
      <c r="D55" s="43" t="str">
        <f>IFERROR(VLOOKUP(B55,'ECN-ECO_DATA'!B:X,23,FALSE),"")</f>
        <v/>
      </c>
      <c r="E55" s="44" t="str">
        <f>IFERROR(VLOOKUP(B55,'ECN-ECO_DATA'!B:G,5,FALSE),"")</f>
        <v/>
      </c>
      <c r="F55" s="44" t="str">
        <f>IFERROR((IF(VLOOKUP(B55,'ECN-ECO_DATA'!B:G,6,FALSE)="","",VLOOKUP(B55,'ECN-ECO_DATA'!B:G,6,FALSE))),"")</f>
        <v/>
      </c>
      <c r="H55" s="45" t="str">
        <f>IFERROR(VLOOKUP(B55,'ECN-ECO_DATA'!B:G,4,FALSE),"")</f>
        <v/>
      </c>
      <c r="I55" s="46" t="str">
        <f>IFERROR(IF(VLOOKUP(B55,'ECN-ECO_DATA'!B:G,6,FALSE)="","Not started",IF(VLOOKUP(B55,'ECN-ECO_DATA'!B:J,7,FALSE)="","Awaiting First Approval",IF(VLOOKUP(B55,'ECN-ECO_DATA'!B:J,8,FALSE)="","Awaiting Quality Check Approval",IF(VLOOKUP(B55,'ECN-ECO_DATA'!B:J,9,FALSE)="","Awaiting Last Approval",IF(VLOOKUP(B55,'ECN-ECO_DATA'!B:J,9,FALSE)&lt;&gt;"","Approved","Unknown"))))),"")</f>
        <v/>
      </c>
      <c r="K55" s="47" t="str">
        <f>IFERROR(VLOOKUP(B55,'ECN-ECO_DATA'!B:W,22,FALSE),"")</f>
        <v/>
      </c>
      <c r="L55" s="43" t="str">
        <f>IFERROR(IF(VLOOKUP(B55,'ECN-ECO_DATA'!B:AB,27,FALSE)=0,"",VLOOKUP(B55,'ECN-ECO_DATA'!B:AB,27,FALSE)),"")</f>
        <v/>
      </c>
      <c r="M55" s="43" t="str">
        <f>IFERROR(VLOOKUP(B55,'ECN-ECO_DATA'!B:AE,30,FALSE),"")</f>
        <v/>
      </c>
      <c r="N55" s="59" t="str">
        <f>IFERROR(IF((VLOOKUP(B55,'ECN-ECO_DATA'!B:AD,20,FALSE)-VLOOKUP(B55,'ECN-ECO_DATA'!B:AD,18,FALSE))&gt;0,(VLOOKUP(B55,'ECN-ECO_DATA'!B:AD,20,FALSE)-VLOOKUP(B55,'ECN-ECO_DATA'!B:AD,18,FALSE)),""),"")</f>
        <v/>
      </c>
      <c r="O55" s="59"/>
      <c r="P55" s="59" t="str">
        <f>IFERROR(VLOOKUP(B55,'ECN-ECO_DATA'!B:P,13,FALSE),"")</f>
        <v/>
      </c>
      <c r="Q55" s="43" t="str">
        <f>IFERROR(VLOOKUP(B55,'ECN-ECO_DATA'!B:P,15,FALSE),"")</f>
        <v/>
      </c>
    </row>
    <row r="56" spans="3:17" x14ac:dyDescent="0.25">
      <c r="C56" s="43" t="str">
        <f>IFERROR(VLOOKUP(B56,'ECN-ECO_DATA'!B:C,2,FALSE),"")</f>
        <v/>
      </c>
      <c r="D56" s="43" t="str">
        <f>IFERROR(VLOOKUP(B56,'ECN-ECO_DATA'!B:X,23,FALSE),"")</f>
        <v/>
      </c>
      <c r="E56" s="44" t="str">
        <f>IFERROR(VLOOKUP(B56,'ECN-ECO_DATA'!B:G,5,FALSE),"")</f>
        <v/>
      </c>
      <c r="F56" s="44" t="str">
        <f>IFERROR((IF(VLOOKUP(B56,'ECN-ECO_DATA'!B:G,6,FALSE)="","",VLOOKUP(B56,'ECN-ECO_DATA'!B:G,6,FALSE))),"")</f>
        <v/>
      </c>
      <c r="H56" s="45" t="str">
        <f>IFERROR(VLOOKUP(B56,'ECN-ECO_DATA'!B:G,4,FALSE),"")</f>
        <v/>
      </c>
      <c r="I56" s="46" t="str">
        <f>IFERROR(IF(VLOOKUP(B56,'ECN-ECO_DATA'!B:G,6,FALSE)="","Not started",IF(VLOOKUP(B56,'ECN-ECO_DATA'!B:J,7,FALSE)="","Awaiting First Approval",IF(VLOOKUP(B56,'ECN-ECO_DATA'!B:J,8,FALSE)="","Awaiting Quality Check Approval",IF(VLOOKUP(B56,'ECN-ECO_DATA'!B:J,9,FALSE)="","Awaiting Last Approval",IF(VLOOKUP(B56,'ECN-ECO_DATA'!B:J,9,FALSE)&lt;&gt;"","Approved","Unknown"))))),"")</f>
        <v/>
      </c>
      <c r="K56" s="47" t="str">
        <f>IFERROR(VLOOKUP(B56,'ECN-ECO_DATA'!B:W,22,FALSE),"")</f>
        <v/>
      </c>
      <c r="L56" s="43" t="str">
        <f>IFERROR(IF(VLOOKUP(B56,'ECN-ECO_DATA'!B:AB,27,FALSE)=0,"",VLOOKUP(B56,'ECN-ECO_DATA'!B:AB,27,FALSE)),"")</f>
        <v/>
      </c>
      <c r="M56" s="43" t="str">
        <f>IFERROR(VLOOKUP(B56,'ECN-ECO_DATA'!B:AE,30,FALSE),"")</f>
        <v/>
      </c>
      <c r="N56" s="59" t="str">
        <f>IFERROR(IF((VLOOKUP(B56,'ECN-ECO_DATA'!B:AD,20,FALSE)-VLOOKUP(B56,'ECN-ECO_DATA'!B:AD,18,FALSE))&gt;0,(VLOOKUP(B56,'ECN-ECO_DATA'!B:AD,20,FALSE)-VLOOKUP(B56,'ECN-ECO_DATA'!B:AD,18,FALSE)),""),"")</f>
        <v/>
      </c>
      <c r="O56" s="59"/>
      <c r="P56" s="59" t="str">
        <f>IFERROR(VLOOKUP(B56,'ECN-ECO_DATA'!B:P,13,FALSE),"")</f>
        <v/>
      </c>
      <c r="Q56" s="43" t="str">
        <f>IFERROR(VLOOKUP(B56,'ECN-ECO_DATA'!B:P,15,FALSE),"")</f>
        <v/>
      </c>
    </row>
    <row r="57" spans="3:17" x14ac:dyDescent="0.25">
      <c r="C57" s="43" t="str">
        <f>IFERROR(VLOOKUP(B57,'ECN-ECO_DATA'!B:C,2,FALSE),"")</f>
        <v/>
      </c>
      <c r="D57" s="43" t="str">
        <f>IFERROR(VLOOKUP(B57,'ECN-ECO_DATA'!B:X,23,FALSE),"")</f>
        <v/>
      </c>
      <c r="E57" s="44" t="str">
        <f>IFERROR(VLOOKUP(B57,'ECN-ECO_DATA'!B:G,5,FALSE),"")</f>
        <v/>
      </c>
      <c r="F57" s="44" t="str">
        <f>IFERROR((IF(VLOOKUP(B57,'ECN-ECO_DATA'!B:G,6,FALSE)="","",VLOOKUP(B57,'ECN-ECO_DATA'!B:G,6,FALSE))),"")</f>
        <v/>
      </c>
      <c r="H57" s="45" t="str">
        <f>IFERROR(VLOOKUP(B57,'ECN-ECO_DATA'!B:G,4,FALSE),"")</f>
        <v/>
      </c>
      <c r="I57" s="46" t="str">
        <f>IFERROR(IF(VLOOKUP(B57,'ECN-ECO_DATA'!B:G,6,FALSE)="","Not started",IF(VLOOKUP(B57,'ECN-ECO_DATA'!B:J,7,FALSE)="","Awaiting First Approval",IF(VLOOKUP(B57,'ECN-ECO_DATA'!B:J,8,FALSE)="","Awaiting Quality Check Approval",IF(VLOOKUP(B57,'ECN-ECO_DATA'!B:J,9,FALSE)="","Awaiting Last Approval",IF(VLOOKUP(B57,'ECN-ECO_DATA'!B:J,9,FALSE)&lt;&gt;"","Approved","Unknown"))))),"")</f>
        <v/>
      </c>
      <c r="K57" s="47" t="str">
        <f>IFERROR(VLOOKUP(B57,'ECN-ECO_DATA'!B:W,22,FALSE),"")</f>
        <v/>
      </c>
      <c r="L57" s="43" t="str">
        <f>IFERROR(IF(VLOOKUP(B57,'ECN-ECO_DATA'!B:AB,27,FALSE)=0,"",VLOOKUP(B57,'ECN-ECO_DATA'!B:AB,27,FALSE)),"")</f>
        <v/>
      </c>
      <c r="M57" s="43" t="str">
        <f>IFERROR(VLOOKUP(B57,'ECN-ECO_DATA'!B:AE,30,FALSE),"")</f>
        <v/>
      </c>
      <c r="N57" s="59" t="str">
        <f>IFERROR(IF((VLOOKUP(B57,'ECN-ECO_DATA'!B:AD,20,FALSE)-VLOOKUP(B57,'ECN-ECO_DATA'!B:AD,18,FALSE))&gt;0,(VLOOKUP(B57,'ECN-ECO_DATA'!B:AD,20,FALSE)-VLOOKUP(B57,'ECN-ECO_DATA'!B:AD,18,FALSE)),""),"")</f>
        <v/>
      </c>
      <c r="O57" s="59"/>
      <c r="P57" s="59" t="str">
        <f>IFERROR(VLOOKUP(B57,'ECN-ECO_DATA'!B:P,13,FALSE),"")</f>
        <v/>
      </c>
      <c r="Q57" s="43" t="str">
        <f>IFERROR(VLOOKUP(B57,'ECN-ECO_DATA'!B:P,15,FALSE),"")</f>
        <v/>
      </c>
    </row>
    <row r="58" spans="3:17" x14ac:dyDescent="0.25">
      <c r="C58" s="43" t="str">
        <f>IFERROR(VLOOKUP(B58,'ECN-ECO_DATA'!B:C,2,FALSE),"")</f>
        <v/>
      </c>
      <c r="D58" s="43" t="str">
        <f>IFERROR(VLOOKUP(B58,'ECN-ECO_DATA'!B:X,23,FALSE),"")</f>
        <v/>
      </c>
      <c r="E58" s="44" t="str">
        <f>IFERROR(VLOOKUP(B58,'ECN-ECO_DATA'!B:G,5,FALSE),"")</f>
        <v/>
      </c>
      <c r="F58" s="44" t="str">
        <f>IFERROR((IF(VLOOKUP(B58,'ECN-ECO_DATA'!B:G,6,FALSE)="","",VLOOKUP(B58,'ECN-ECO_DATA'!B:G,6,FALSE))),"")</f>
        <v/>
      </c>
      <c r="H58" s="45" t="str">
        <f>IFERROR(VLOOKUP(B58,'ECN-ECO_DATA'!B:G,4,FALSE),"")</f>
        <v/>
      </c>
      <c r="I58" s="46" t="str">
        <f>IFERROR(IF(VLOOKUP(B58,'ECN-ECO_DATA'!B:G,6,FALSE)="","Not started",IF(VLOOKUP(B58,'ECN-ECO_DATA'!B:J,7,FALSE)="","Awaiting First Approval",IF(VLOOKUP(B58,'ECN-ECO_DATA'!B:J,8,FALSE)="","Awaiting Quality Check Approval",IF(VLOOKUP(B58,'ECN-ECO_DATA'!B:J,9,FALSE)="","Awaiting Last Approval",IF(VLOOKUP(B58,'ECN-ECO_DATA'!B:J,9,FALSE)&lt;&gt;"","Approved","Unknown"))))),"")</f>
        <v/>
      </c>
      <c r="K58" s="47" t="str">
        <f>IFERROR(VLOOKUP(B58,'ECN-ECO_DATA'!B:W,22,FALSE),"")</f>
        <v/>
      </c>
      <c r="L58" s="43" t="str">
        <f>IFERROR(IF(VLOOKUP(B58,'ECN-ECO_DATA'!B:AB,27,FALSE)=0,"",VLOOKUP(B58,'ECN-ECO_DATA'!B:AB,27,FALSE)),"")</f>
        <v/>
      </c>
      <c r="M58" s="43" t="str">
        <f>IFERROR(VLOOKUP(B58,'ECN-ECO_DATA'!B:AE,30,FALSE),"")</f>
        <v/>
      </c>
      <c r="N58" s="59" t="str">
        <f>IFERROR(IF((VLOOKUP(B58,'ECN-ECO_DATA'!B:AD,20,FALSE)-VLOOKUP(B58,'ECN-ECO_DATA'!B:AD,18,FALSE))&gt;0,(VLOOKUP(B58,'ECN-ECO_DATA'!B:AD,20,FALSE)-VLOOKUP(B58,'ECN-ECO_DATA'!B:AD,18,FALSE)),""),"")</f>
        <v/>
      </c>
      <c r="O58" s="59"/>
      <c r="P58" s="59" t="str">
        <f>IFERROR(VLOOKUP(B58,'ECN-ECO_DATA'!B:P,13,FALSE),"")</f>
        <v/>
      </c>
      <c r="Q58" s="43" t="str">
        <f>IFERROR(VLOOKUP(B58,'ECN-ECO_DATA'!B:P,15,FALSE),"")</f>
        <v/>
      </c>
    </row>
    <row r="59" spans="3:17" x14ac:dyDescent="0.25">
      <c r="C59" s="43" t="str">
        <f>IFERROR(VLOOKUP(B59,'ECN-ECO_DATA'!B:C,2,FALSE),"")</f>
        <v/>
      </c>
      <c r="D59" s="43" t="str">
        <f>IFERROR(VLOOKUP(B59,'ECN-ECO_DATA'!B:X,23,FALSE),"")</f>
        <v/>
      </c>
      <c r="E59" s="44" t="str">
        <f>IFERROR(VLOOKUP(B59,'ECN-ECO_DATA'!B:G,5,FALSE),"")</f>
        <v/>
      </c>
      <c r="F59" s="44" t="str">
        <f>IFERROR((IF(VLOOKUP(B59,'ECN-ECO_DATA'!B:G,6,FALSE)="","",VLOOKUP(B59,'ECN-ECO_DATA'!B:G,6,FALSE))),"")</f>
        <v/>
      </c>
      <c r="H59" s="45" t="str">
        <f>IFERROR(VLOOKUP(B59,'ECN-ECO_DATA'!B:G,4,FALSE),"")</f>
        <v/>
      </c>
      <c r="I59" s="46" t="str">
        <f>IFERROR(IF(VLOOKUP(B59,'ECN-ECO_DATA'!B:G,6,FALSE)="","Not started",IF(VLOOKUP(B59,'ECN-ECO_DATA'!B:J,7,FALSE)="","Awaiting First Approval",IF(VLOOKUP(B59,'ECN-ECO_DATA'!B:J,8,FALSE)="","Awaiting Quality Check Approval",IF(VLOOKUP(B59,'ECN-ECO_DATA'!B:J,9,FALSE)="","Awaiting Last Approval",IF(VLOOKUP(B59,'ECN-ECO_DATA'!B:J,9,FALSE)&lt;&gt;"","Approved","Unknown"))))),"")</f>
        <v/>
      </c>
      <c r="K59" s="47" t="str">
        <f>IFERROR(VLOOKUP(B59,'ECN-ECO_DATA'!B:W,22,FALSE),"")</f>
        <v/>
      </c>
      <c r="L59" s="43" t="str">
        <f>IFERROR(IF(VLOOKUP(B59,'ECN-ECO_DATA'!B:AB,27,FALSE)=0,"",VLOOKUP(B59,'ECN-ECO_DATA'!B:AB,27,FALSE)),"")</f>
        <v/>
      </c>
      <c r="M59" s="43" t="str">
        <f>IFERROR(VLOOKUP(B59,'ECN-ECO_DATA'!B:AE,30,FALSE),"")</f>
        <v/>
      </c>
      <c r="N59" s="59" t="str">
        <f>IFERROR(IF((VLOOKUP(B59,'ECN-ECO_DATA'!B:AD,20,FALSE)-VLOOKUP(B59,'ECN-ECO_DATA'!B:AD,18,FALSE))&gt;0,(VLOOKUP(B59,'ECN-ECO_DATA'!B:AD,20,FALSE)-VLOOKUP(B59,'ECN-ECO_DATA'!B:AD,18,FALSE)),""),"")</f>
        <v/>
      </c>
      <c r="O59" s="59"/>
      <c r="P59" s="59" t="str">
        <f>IFERROR(VLOOKUP(B59,'ECN-ECO_DATA'!B:P,13,FALSE),"")</f>
        <v/>
      </c>
      <c r="Q59" s="43" t="str">
        <f>IFERROR(VLOOKUP(B59,'ECN-ECO_DATA'!B:P,15,FALSE),"")</f>
        <v/>
      </c>
    </row>
    <row r="60" spans="3:17" x14ac:dyDescent="0.25">
      <c r="C60" s="43" t="str">
        <f>IFERROR(VLOOKUP(B60,'ECN-ECO_DATA'!B:C,2,FALSE),"")</f>
        <v/>
      </c>
      <c r="D60" s="43" t="str">
        <f>IFERROR(VLOOKUP(B60,'ECN-ECO_DATA'!B:X,23,FALSE),"")</f>
        <v/>
      </c>
      <c r="E60" s="44" t="str">
        <f>IFERROR(VLOOKUP(B60,'ECN-ECO_DATA'!B:G,5,FALSE),"")</f>
        <v/>
      </c>
      <c r="F60" s="44" t="str">
        <f>IFERROR((IF(VLOOKUP(B60,'ECN-ECO_DATA'!B:G,6,FALSE)="","",VLOOKUP(B60,'ECN-ECO_DATA'!B:G,6,FALSE))),"")</f>
        <v/>
      </c>
      <c r="H60" s="45" t="str">
        <f>IFERROR(VLOOKUP(B60,'ECN-ECO_DATA'!B:G,4,FALSE),"")</f>
        <v/>
      </c>
      <c r="I60" s="46" t="str">
        <f>IFERROR(IF(VLOOKUP(B60,'ECN-ECO_DATA'!B:G,6,FALSE)="","Not started",IF(VLOOKUP(B60,'ECN-ECO_DATA'!B:J,7,FALSE)="","Awaiting First Approval",IF(VLOOKUP(B60,'ECN-ECO_DATA'!B:J,8,FALSE)="","Awaiting Quality Check Approval",IF(VLOOKUP(B60,'ECN-ECO_DATA'!B:J,9,FALSE)="","Awaiting Last Approval",IF(VLOOKUP(B60,'ECN-ECO_DATA'!B:J,9,FALSE)&lt;&gt;"","Approved","Unknown"))))),"")</f>
        <v/>
      </c>
      <c r="K60" s="47" t="str">
        <f>IFERROR(VLOOKUP(B60,'ECN-ECO_DATA'!B:W,22,FALSE),"")</f>
        <v/>
      </c>
      <c r="L60" s="43" t="str">
        <f>IFERROR(IF(VLOOKUP(B60,'ECN-ECO_DATA'!B:AB,27,FALSE)=0,"",VLOOKUP(B60,'ECN-ECO_DATA'!B:AB,27,FALSE)),"")</f>
        <v/>
      </c>
      <c r="M60" s="43" t="str">
        <f>IFERROR(VLOOKUP(B60,'ECN-ECO_DATA'!B:AE,30,FALSE),"")</f>
        <v/>
      </c>
      <c r="N60" s="59" t="str">
        <f>IFERROR(IF((VLOOKUP(B60,'ECN-ECO_DATA'!B:AD,20,FALSE)-VLOOKUP(B60,'ECN-ECO_DATA'!B:AD,18,FALSE))&gt;0,(VLOOKUP(B60,'ECN-ECO_DATA'!B:AD,20,FALSE)-VLOOKUP(B60,'ECN-ECO_DATA'!B:AD,18,FALSE)),""),"")</f>
        <v/>
      </c>
      <c r="O60" s="59"/>
      <c r="P60" s="59" t="str">
        <f>IFERROR(VLOOKUP(B60,'ECN-ECO_DATA'!B:P,13,FALSE),"")</f>
        <v/>
      </c>
      <c r="Q60" s="43" t="str">
        <f>IFERROR(VLOOKUP(B60,'ECN-ECO_DATA'!B:P,15,FALSE),"")</f>
        <v/>
      </c>
    </row>
    <row r="61" spans="3:17" x14ac:dyDescent="0.25">
      <c r="C61" s="43" t="str">
        <f>IFERROR(VLOOKUP(B61,'ECN-ECO_DATA'!B:C,2,FALSE),"")</f>
        <v/>
      </c>
      <c r="D61" s="43" t="str">
        <f>IFERROR(VLOOKUP(B61,'ECN-ECO_DATA'!B:X,23,FALSE),"")</f>
        <v/>
      </c>
      <c r="E61" s="44" t="str">
        <f>IFERROR(VLOOKUP(B61,'ECN-ECO_DATA'!B:G,5,FALSE),"")</f>
        <v/>
      </c>
      <c r="F61" s="44" t="str">
        <f>IFERROR((IF(VLOOKUP(B61,'ECN-ECO_DATA'!B:G,6,FALSE)="","",VLOOKUP(B61,'ECN-ECO_DATA'!B:G,6,FALSE))),"")</f>
        <v/>
      </c>
      <c r="H61" s="45" t="str">
        <f>IFERROR(VLOOKUP(B61,'ECN-ECO_DATA'!B:G,4,FALSE),"")</f>
        <v/>
      </c>
      <c r="I61" s="46" t="str">
        <f>IFERROR(IF(VLOOKUP(B61,'ECN-ECO_DATA'!B:G,6,FALSE)="","Not started",IF(VLOOKUP(B61,'ECN-ECO_DATA'!B:J,7,FALSE)="","Awaiting First Approval",IF(VLOOKUP(B61,'ECN-ECO_DATA'!B:J,8,FALSE)="","Awaiting Quality Check Approval",IF(VLOOKUP(B61,'ECN-ECO_DATA'!B:J,9,FALSE)="","Awaiting Last Approval",IF(VLOOKUP(B61,'ECN-ECO_DATA'!B:J,9,FALSE)&lt;&gt;"","Approved","Unknown"))))),"")</f>
        <v/>
      </c>
      <c r="K61" s="47" t="str">
        <f>IFERROR(VLOOKUP(B61,'ECN-ECO_DATA'!B:W,22,FALSE),"")</f>
        <v/>
      </c>
      <c r="L61" s="43" t="str">
        <f>IFERROR(IF(VLOOKUP(B61,'ECN-ECO_DATA'!B:AB,27,FALSE)=0,"",VLOOKUP(B61,'ECN-ECO_DATA'!B:AB,27,FALSE)),"")</f>
        <v/>
      </c>
      <c r="M61" s="43" t="str">
        <f>IFERROR(VLOOKUP(B61,'ECN-ECO_DATA'!B:AE,30,FALSE),"")</f>
        <v/>
      </c>
      <c r="N61" s="59" t="str">
        <f>IFERROR(IF((VLOOKUP(B61,'ECN-ECO_DATA'!B:AD,20,FALSE)-VLOOKUP(B61,'ECN-ECO_DATA'!B:AD,18,FALSE))&gt;0,(VLOOKUP(B61,'ECN-ECO_DATA'!B:AD,20,FALSE)-VLOOKUP(B61,'ECN-ECO_DATA'!B:AD,18,FALSE)),""),"")</f>
        <v/>
      </c>
      <c r="O61" s="59"/>
      <c r="P61" s="59" t="str">
        <f>IFERROR(VLOOKUP(B61,'ECN-ECO_DATA'!B:P,13,FALSE),"")</f>
        <v/>
      </c>
      <c r="Q61" s="43" t="str">
        <f>IFERROR(VLOOKUP(B61,'ECN-ECO_DATA'!B:P,15,FALSE),"")</f>
        <v/>
      </c>
    </row>
    <row r="62" spans="3:17" x14ac:dyDescent="0.25">
      <c r="C62" s="43" t="str">
        <f>IFERROR(VLOOKUP(B62,'ECN-ECO_DATA'!B:C,2,FALSE),"")</f>
        <v/>
      </c>
      <c r="D62" s="43" t="str">
        <f>IFERROR(VLOOKUP(B62,'ECN-ECO_DATA'!B:X,23,FALSE),"")</f>
        <v/>
      </c>
      <c r="E62" s="44" t="str">
        <f>IFERROR(VLOOKUP(B62,'ECN-ECO_DATA'!B:G,5,FALSE),"")</f>
        <v/>
      </c>
      <c r="F62" s="44" t="str">
        <f>IFERROR((IF(VLOOKUP(B62,'ECN-ECO_DATA'!B:G,6,FALSE)="","",VLOOKUP(B62,'ECN-ECO_DATA'!B:G,6,FALSE))),"")</f>
        <v/>
      </c>
      <c r="H62" s="45" t="str">
        <f>IFERROR(VLOOKUP(B62,'ECN-ECO_DATA'!B:G,4,FALSE),"")</f>
        <v/>
      </c>
      <c r="I62" s="46" t="str">
        <f>IFERROR(IF(VLOOKUP(B62,'ECN-ECO_DATA'!B:G,6,FALSE)="","Not started",IF(VLOOKUP(B62,'ECN-ECO_DATA'!B:J,7,FALSE)="","Awaiting First Approval",IF(VLOOKUP(B62,'ECN-ECO_DATA'!B:J,8,FALSE)="","Awaiting Quality Check Approval",IF(VLOOKUP(B62,'ECN-ECO_DATA'!B:J,9,FALSE)="","Awaiting Last Approval",IF(VLOOKUP(B62,'ECN-ECO_DATA'!B:J,9,FALSE)&lt;&gt;"","Approved","Unknown"))))),"")</f>
        <v/>
      </c>
      <c r="K62" s="47" t="str">
        <f>IFERROR(VLOOKUP(B62,'ECN-ECO_DATA'!B:W,22,FALSE),"")</f>
        <v/>
      </c>
      <c r="L62" s="43" t="str">
        <f>IFERROR(IF(VLOOKUP(B62,'ECN-ECO_DATA'!B:AB,27,FALSE)=0,"",VLOOKUP(B62,'ECN-ECO_DATA'!B:AB,27,FALSE)),"")</f>
        <v/>
      </c>
      <c r="M62" s="43" t="str">
        <f>IFERROR(VLOOKUP(B62,'ECN-ECO_DATA'!B:AE,30,FALSE),"")</f>
        <v/>
      </c>
      <c r="N62" s="59" t="str">
        <f>IFERROR(IF((VLOOKUP(B62,'ECN-ECO_DATA'!B:AD,20,FALSE)-VLOOKUP(B62,'ECN-ECO_DATA'!B:AD,18,FALSE))&gt;0,(VLOOKUP(B62,'ECN-ECO_DATA'!B:AD,20,FALSE)-VLOOKUP(B62,'ECN-ECO_DATA'!B:AD,18,FALSE)),""),"")</f>
        <v/>
      </c>
      <c r="O62" s="59"/>
      <c r="P62" s="59" t="str">
        <f>IFERROR(VLOOKUP(B62,'ECN-ECO_DATA'!B:P,13,FALSE),"")</f>
        <v/>
      </c>
      <c r="Q62" s="43" t="str">
        <f>IFERROR(VLOOKUP(B62,'ECN-ECO_DATA'!B:P,15,FALSE),"")</f>
        <v/>
      </c>
    </row>
    <row r="63" spans="3:17" x14ac:dyDescent="0.25">
      <c r="C63" s="43" t="str">
        <f>IFERROR(VLOOKUP(B63,'ECN-ECO_DATA'!B:C,2,FALSE),"")</f>
        <v/>
      </c>
      <c r="D63" s="43" t="str">
        <f>IFERROR(VLOOKUP(B63,'ECN-ECO_DATA'!B:X,23,FALSE),"")</f>
        <v/>
      </c>
      <c r="E63" s="44" t="str">
        <f>IFERROR(VLOOKUP(B63,'ECN-ECO_DATA'!B:G,5,FALSE),"")</f>
        <v/>
      </c>
      <c r="F63" s="44" t="str">
        <f>IFERROR((IF(VLOOKUP(B63,'ECN-ECO_DATA'!B:G,6,FALSE)="","",VLOOKUP(B63,'ECN-ECO_DATA'!B:G,6,FALSE))),"")</f>
        <v/>
      </c>
      <c r="H63" s="45" t="str">
        <f>IFERROR(VLOOKUP(B63,'ECN-ECO_DATA'!B:G,4,FALSE),"")</f>
        <v/>
      </c>
      <c r="I63" s="46" t="str">
        <f>IFERROR(IF(VLOOKUP(B63,'ECN-ECO_DATA'!B:G,6,FALSE)="","Not started",IF(VLOOKUP(B63,'ECN-ECO_DATA'!B:J,7,FALSE)="","Awaiting First Approval",IF(VLOOKUP(B63,'ECN-ECO_DATA'!B:J,8,FALSE)="","Awaiting Quality Check Approval",IF(VLOOKUP(B63,'ECN-ECO_DATA'!B:J,9,FALSE)="","Awaiting Last Approval",IF(VLOOKUP(B63,'ECN-ECO_DATA'!B:J,9,FALSE)&lt;&gt;"","Approved","Unknown"))))),"")</f>
        <v/>
      </c>
      <c r="K63" s="47" t="str">
        <f>IFERROR(VLOOKUP(B63,'ECN-ECO_DATA'!B:W,22,FALSE),"")</f>
        <v/>
      </c>
      <c r="L63" s="43" t="str">
        <f>IFERROR(IF(VLOOKUP(B63,'ECN-ECO_DATA'!B:AB,27,FALSE)=0,"",VLOOKUP(B63,'ECN-ECO_DATA'!B:AB,27,FALSE)),"")</f>
        <v/>
      </c>
      <c r="M63" s="43" t="str">
        <f>IFERROR(VLOOKUP(B63,'ECN-ECO_DATA'!B:AE,30,FALSE),"")</f>
        <v/>
      </c>
      <c r="N63" s="59" t="str">
        <f>IFERROR(IF((VLOOKUP(B63,'ECN-ECO_DATA'!B:AD,20,FALSE)-VLOOKUP(B63,'ECN-ECO_DATA'!B:AD,18,FALSE))&gt;0,(VLOOKUP(B63,'ECN-ECO_DATA'!B:AD,20,FALSE)-VLOOKUP(B63,'ECN-ECO_DATA'!B:AD,18,FALSE)),""),"")</f>
        <v/>
      </c>
      <c r="O63" s="59"/>
      <c r="P63" s="59" t="str">
        <f>IFERROR(VLOOKUP(B63,'ECN-ECO_DATA'!B:P,13,FALSE),"")</f>
        <v/>
      </c>
      <c r="Q63" s="43" t="str">
        <f>IFERROR(VLOOKUP(B63,'ECN-ECO_DATA'!B:P,15,FALSE),"")</f>
        <v/>
      </c>
    </row>
    <row r="64" spans="3:17" x14ac:dyDescent="0.25">
      <c r="C64" s="43" t="str">
        <f>IFERROR(VLOOKUP(B64,'ECN-ECO_DATA'!B:C,2,FALSE),"")</f>
        <v/>
      </c>
      <c r="D64" s="43" t="str">
        <f>IFERROR(VLOOKUP(B64,'ECN-ECO_DATA'!B:X,23,FALSE),"")</f>
        <v/>
      </c>
      <c r="E64" s="44" t="str">
        <f>IFERROR(VLOOKUP(B64,'ECN-ECO_DATA'!B:G,5,FALSE),"")</f>
        <v/>
      </c>
      <c r="F64" s="44" t="str">
        <f>IFERROR((IF(VLOOKUP(B64,'ECN-ECO_DATA'!B:G,6,FALSE)="","",VLOOKUP(B64,'ECN-ECO_DATA'!B:G,6,FALSE))),"")</f>
        <v/>
      </c>
      <c r="H64" s="45" t="str">
        <f>IFERROR(VLOOKUP(B64,'ECN-ECO_DATA'!B:G,4,FALSE),"")</f>
        <v/>
      </c>
      <c r="I64" s="46" t="str">
        <f>IFERROR(IF(VLOOKUP(B64,'ECN-ECO_DATA'!B:G,6,FALSE)="","Not started",IF(VLOOKUP(B64,'ECN-ECO_DATA'!B:J,7,FALSE)="","Awaiting First Approval",IF(VLOOKUP(B64,'ECN-ECO_DATA'!B:J,8,FALSE)="","Awaiting Quality Check Approval",IF(VLOOKUP(B64,'ECN-ECO_DATA'!B:J,9,FALSE)="","Awaiting Last Approval",IF(VLOOKUP(B64,'ECN-ECO_DATA'!B:J,9,FALSE)&lt;&gt;"","Approved","Unknown"))))),"")</f>
        <v/>
      </c>
      <c r="K64" s="47" t="str">
        <f>IFERROR(VLOOKUP(B64,'ECN-ECO_DATA'!B:W,22,FALSE),"")</f>
        <v/>
      </c>
      <c r="L64" s="43" t="str">
        <f>IFERROR(IF(VLOOKUP(B64,'ECN-ECO_DATA'!B:AB,27,FALSE)=0,"",VLOOKUP(B64,'ECN-ECO_DATA'!B:AB,27,FALSE)),"")</f>
        <v/>
      </c>
      <c r="M64" s="43" t="str">
        <f>IFERROR(VLOOKUP(B64,'ECN-ECO_DATA'!B:AE,30,FALSE),"")</f>
        <v/>
      </c>
      <c r="N64" s="59" t="str">
        <f>IFERROR(IF((VLOOKUP(B64,'ECN-ECO_DATA'!B:AD,20,FALSE)-VLOOKUP(B64,'ECN-ECO_DATA'!B:AD,18,FALSE))&gt;0,(VLOOKUP(B64,'ECN-ECO_DATA'!B:AD,20,FALSE)-VLOOKUP(B64,'ECN-ECO_DATA'!B:AD,18,FALSE)),""),"")</f>
        <v/>
      </c>
      <c r="O64" s="59"/>
      <c r="P64" s="59" t="str">
        <f>IFERROR(VLOOKUP(B64,'ECN-ECO_DATA'!B:P,13,FALSE),"")</f>
        <v/>
      </c>
      <c r="Q64" s="43" t="str">
        <f>IFERROR(VLOOKUP(B64,'ECN-ECO_DATA'!B:P,15,FALSE),"")</f>
        <v/>
      </c>
    </row>
    <row r="65" spans="3:17" x14ac:dyDescent="0.25">
      <c r="C65" s="43" t="str">
        <f>IFERROR(VLOOKUP(B65,'ECN-ECO_DATA'!B:C,2,FALSE),"")</f>
        <v/>
      </c>
      <c r="D65" s="43" t="str">
        <f>IFERROR(VLOOKUP(B65,'ECN-ECO_DATA'!B:X,23,FALSE),"")</f>
        <v/>
      </c>
      <c r="E65" s="44" t="str">
        <f>IFERROR(VLOOKUP(B65,'ECN-ECO_DATA'!B:G,5,FALSE),"")</f>
        <v/>
      </c>
      <c r="F65" s="44" t="str">
        <f>IFERROR((IF(VLOOKUP(B65,'ECN-ECO_DATA'!B:G,6,FALSE)="","",VLOOKUP(B65,'ECN-ECO_DATA'!B:G,6,FALSE))),"")</f>
        <v/>
      </c>
      <c r="H65" s="45" t="str">
        <f>IFERROR(VLOOKUP(B65,'ECN-ECO_DATA'!B:G,4,FALSE),"")</f>
        <v/>
      </c>
      <c r="I65" s="46" t="str">
        <f>IFERROR(IF(VLOOKUP(B65,'ECN-ECO_DATA'!B:G,6,FALSE)="","Not started",IF(VLOOKUP(B65,'ECN-ECO_DATA'!B:J,7,FALSE)="","Awaiting First Approval",IF(VLOOKUP(B65,'ECN-ECO_DATA'!B:J,8,FALSE)="","Awaiting Quality Check Approval",IF(VLOOKUP(B65,'ECN-ECO_DATA'!B:J,9,FALSE)="","Awaiting Last Approval",IF(VLOOKUP(B65,'ECN-ECO_DATA'!B:J,9,FALSE)&lt;&gt;"","Approved","Unknown"))))),"")</f>
        <v/>
      </c>
      <c r="K65" s="47" t="str">
        <f>IFERROR(VLOOKUP(B65,'ECN-ECO_DATA'!B:W,22,FALSE),"")</f>
        <v/>
      </c>
      <c r="L65" s="43" t="str">
        <f>IFERROR(IF(VLOOKUP(B65,'ECN-ECO_DATA'!B:AB,27,FALSE)=0,"",VLOOKUP(B65,'ECN-ECO_DATA'!B:AB,27,FALSE)),"")</f>
        <v/>
      </c>
      <c r="M65" s="43" t="str">
        <f>IFERROR(VLOOKUP(B65,'ECN-ECO_DATA'!B:AE,30,FALSE),"")</f>
        <v/>
      </c>
      <c r="N65" s="59" t="str">
        <f>IFERROR(IF((VLOOKUP(B65,'ECN-ECO_DATA'!B:AD,20,FALSE)-VLOOKUP(B65,'ECN-ECO_DATA'!B:AD,18,FALSE))&gt;0,(VLOOKUP(B65,'ECN-ECO_DATA'!B:AD,20,FALSE)-VLOOKUP(B65,'ECN-ECO_DATA'!B:AD,18,FALSE)),""),"")</f>
        <v/>
      </c>
      <c r="O65" s="59"/>
      <c r="P65" s="59" t="str">
        <f>IFERROR(VLOOKUP(B65,'ECN-ECO_DATA'!B:P,13,FALSE),"")</f>
        <v/>
      </c>
      <c r="Q65" s="43" t="str">
        <f>IFERROR(VLOOKUP(B65,'ECN-ECO_DATA'!B:P,15,FALSE),"")</f>
        <v/>
      </c>
    </row>
    <row r="66" spans="3:17" x14ac:dyDescent="0.25">
      <c r="C66" s="43" t="str">
        <f>IFERROR(VLOOKUP(B66,'ECN-ECO_DATA'!B:C,2,FALSE),"")</f>
        <v/>
      </c>
      <c r="D66" s="43" t="str">
        <f>IFERROR(VLOOKUP(B66,'ECN-ECO_DATA'!B:X,23,FALSE),"")</f>
        <v/>
      </c>
      <c r="E66" s="44" t="str">
        <f>IFERROR(VLOOKUP(B66,'ECN-ECO_DATA'!B:G,5,FALSE),"")</f>
        <v/>
      </c>
      <c r="F66" s="44" t="str">
        <f>IFERROR((IF(VLOOKUP(B66,'ECN-ECO_DATA'!B:G,6,FALSE)="","",VLOOKUP(B66,'ECN-ECO_DATA'!B:G,6,FALSE))),"")</f>
        <v/>
      </c>
      <c r="H66" s="45" t="str">
        <f>IFERROR(VLOOKUP(B66,'ECN-ECO_DATA'!B:G,4,FALSE),"")</f>
        <v/>
      </c>
      <c r="I66" s="46" t="str">
        <f>IFERROR(IF(VLOOKUP(B66,'ECN-ECO_DATA'!B:G,6,FALSE)="","Not started",IF(VLOOKUP(B66,'ECN-ECO_DATA'!B:J,7,FALSE)="","Awaiting First Approval",IF(VLOOKUP(B66,'ECN-ECO_DATA'!B:J,8,FALSE)="","Awaiting Quality Check Approval",IF(VLOOKUP(B66,'ECN-ECO_DATA'!B:J,9,FALSE)="","Awaiting Last Approval",IF(VLOOKUP(B66,'ECN-ECO_DATA'!B:J,9,FALSE)&lt;&gt;"","Approved","Unknown"))))),"")</f>
        <v/>
      </c>
      <c r="K66" s="47" t="str">
        <f>IFERROR(VLOOKUP(B66,'ECN-ECO_DATA'!B:W,22,FALSE),"")</f>
        <v/>
      </c>
      <c r="L66" s="43" t="str">
        <f>IFERROR(IF(VLOOKUP(B66,'ECN-ECO_DATA'!B:AB,27,FALSE)=0,"",VLOOKUP(B66,'ECN-ECO_DATA'!B:AB,27,FALSE)),"")</f>
        <v/>
      </c>
      <c r="M66" s="43" t="str">
        <f>IFERROR(VLOOKUP(B66,'ECN-ECO_DATA'!B:AE,30,FALSE),"")</f>
        <v/>
      </c>
      <c r="N66" s="59" t="str">
        <f>IFERROR(IF((VLOOKUP(B66,'ECN-ECO_DATA'!B:AD,20,FALSE)-VLOOKUP(B66,'ECN-ECO_DATA'!B:AD,18,FALSE))&gt;0,(VLOOKUP(B66,'ECN-ECO_DATA'!B:AD,20,FALSE)-VLOOKUP(B66,'ECN-ECO_DATA'!B:AD,18,FALSE)),""),"")</f>
        <v/>
      </c>
      <c r="O66" s="59"/>
      <c r="P66" s="59" t="str">
        <f>IFERROR(VLOOKUP(B66,'ECN-ECO_DATA'!B:P,13,FALSE),"")</f>
        <v/>
      </c>
      <c r="Q66" s="43" t="str">
        <f>IFERROR(VLOOKUP(B66,'ECN-ECO_DATA'!B:P,15,FALSE),"")</f>
        <v/>
      </c>
    </row>
    <row r="67" spans="3:17" x14ac:dyDescent="0.25">
      <c r="C67" s="43" t="str">
        <f>IFERROR(VLOOKUP(B67,'ECN-ECO_DATA'!B:C,2,FALSE),"")</f>
        <v/>
      </c>
      <c r="D67" s="43" t="str">
        <f>IFERROR(VLOOKUP(B67,'ECN-ECO_DATA'!B:X,23,FALSE),"")</f>
        <v/>
      </c>
      <c r="E67" s="44" t="str">
        <f>IFERROR(VLOOKUP(B67,'ECN-ECO_DATA'!B:G,5,FALSE),"")</f>
        <v/>
      </c>
      <c r="F67" s="44" t="str">
        <f>IFERROR((IF(VLOOKUP(B67,'ECN-ECO_DATA'!B:G,6,FALSE)="","",VLOOKUP(B67,'ECN-ECO_DATA'!B:G,6,FALSE))),"")</f>
        <v/>
      </c>
      <c r="H67" s="45" t="str">
        <f>IFERROR(VLOOKUP(B67,'ECN-ECO_DATA'!B:G,4,FALSE),"")</f>
        <v/>
      </c>
      <c r="I67" s="46" t="str">
        <f>IFERROR(IF(VLOOKUP(B67,'ECN-ECO_DATA'!B:G,6,FALSE)="","Not started",IF(VLOOKUP(B67,'ECN-ECO_DATA'!B:J,7,FALSE)="","Awaiting First Approval",IF(VLOOKUP(B67,'ECN-ECO_DATA'!B:J,8,FALSE)="","Awaiting Quality Check Approval",IF(VLOOKUP(B67,'ECN-ECO_DATA'!B:J,9,FALSE)="","Awaiting Last Approval",IF(VLOOKUP(B67,'ECN-ECO_DATA'!B:J,9,FALSE)&lt;&gt;"","Approved","Unknown"))))),"")</f>
        <v/>
      </c>
      <c r="K67" s="47" t="str">
        <f>IFERROR(VLOOKUP(B67,'ECN-ECO_DATA'!B:W,22,FALSE),"")</f>
        <v/>
      </c>
      <c r="L67" s="43" t="str">
        <f>IFERROR(IF(VLOOKUP(B67,'ECN-ECO_DATA'!B:AB,27,FALSE)=0,"",VLOOKUP(B67,'ECN-ECO_DATA'!B:AB,27,FALSE)),"")</f>
        <v/>
      </c>
      <c r="M67" s="43" t="str">
        <f>IFERROR(VLOOKUP(B67,'ECN-ECO_DATA'!B:AE,30,FALSE),"")</f>
        <v/>
      </c>
      <c r="N67" s="59" t="str">
        <f>IFERROR(IF((VLOOKUP(B67,'ECN-ECO_DATA'!B:AD,20,FALSE)-VLOOKUP(B67,'ECN-ECO_DATA'!B:AD,18,FALSE))&gt;0,(VLOOKUP(B67,'ECN-ECO_DATA'!B:AD,20,FALSE)-VLOOKUP(B67,'ECN-ECO_DATA'!B:AD,18,FALSE)),""),"")</f>
        <v/>
      </c>
      <c r="O67" s="59"/>
      <c r="P67" s="59" t="str">
        <f>IFERROR(VLOOKUP(B67,'ECN-ECO_DATA'!B:P,13,FALSE),"")</f>
        <v/>
      </c>
      <c r="Q67" s="43" t="str">
        <f>IFERROR(VLOOKUP(B67,'ECN-ECO_DATA'!B:P,15,FALSE),"")</f>
        <v/>
      </c>
    </row>
    <row r="68" spans="3:17" x14ac:dyDescent="0.25">
      <c r="C68" s="43" t="str">
        <f>IFERROR(VLOOKUP(B68,'ECN-ECO_DATA'!B:C,2,FALSE),"")</f>
        <v/>
      </c>
      <c r="D68" s="43" t="str">
        <f>IFERROR(VLOOKUP(B68,'ECN-ECO_DATA'!B:X,23,FALSE),"")</f>
        <v/>
      </c>
      <c r="E68" s="44" t="str">
        <f>IFERROR(VLOOKUP(B68,'ECN-ECO_DATA'!B:G,5,FALSE),"")</f>
        <v/>
      </c>
      <c r="F68" s="44" t="str">
        <f>IFERROR((IF(VLOOKUP(B68,'ECN-ECO_DATA'!B:G,6,FALSE)="","",VLOOKUP(B68,'ECN-ECO_DATA'!B:G,6,FALSE))),"")</f>
        <v/>
      </c>
      <c r="H68" s="45" t="str">
        <f>IFERROR(VLOOKUP(B68,'ECN-ECO_DATA'!B:G,4,FALSE),"")</f>
        <v/>
      </c>
      <c r="I68" s="46" t="str">
        <f>IFERROR(IF(VLOOKUP(B68,'ECN-ECO_DATA'!B:G,6,FALSE)="","Not started",IF(VLOOKUP(B68,'ECN-ECO_DATA'!B:J,7,FALSE)="","Awaiting First Approval",IF(VLOOKUP(B68,'ECN-ECO_DATA'!B:J,8,FALSE)="","Awaiting Quality Check Approval",IF(VLOOKUP(B68,'ECN-ECO_DATA'!B:J,9,FALSE)="","Awaiting Last Approval",IF(VLOOKUP(B68,'ECN-ECO_DATA'!B:J,9,FALSE)&lt;&gt;"","Approved","Unknown"))))),"")</f>
        <v/>
      </c>
      <c r="K68" s="47" t="str">
        <f>IFERROR(VLOOKUP(B68,'ECN-ECO_DATA'!B:W,22,FALSE),"")</f>
        <v/>
      </c>
      <c r="L68" s="43" t="str">
        <f>IFERROR(IF(VLOOKUP(B68,'ECN-ECO_DATA'!B:AB,27,FALSE)=0,"",VLOOKUP(B68,'ECN-ECO_DATA'!B:AB,27,FALSE)),"")</f>
        <v/>
      </c>
      <c r="M68" s="43" t="str">
        <f>IFERROR(VLOOKUP(B68,'ECN-ECO_DATA'!B:AE,30,FALSE),"")</f>
        <v/>
      </c>
      <c r="N68" s="59" t="str">
        <f>IFERROR(IF((VLOOKUP(B68,'ECN-ECO_DATA'!B:AD,20,FALSE)-VLOOKUP(B68,'ECN-ECO_DATA'!B:AD,18,FALSE))&gt;0,(VLOOKUP(B68,'ECN-ECO_DATA'!B:AD,20,FALSE)-VLOOKUP(B68,'ECN-ECO_DATA'!B:AD,18,FALSE)),""),"")</f>
        <v/>
      </c>
      <c r="O68" s="59"/>
      <c r="P68" s="59" t="str">
        <f>IFERROR(VLOOKUP(B68,'ECN-ECO_DATA'!B:P,13,FALSE),"")</f>
        <v/>
      </c>
      <c r="Q68" s="43" t="str">
        <f>IFERROR(VLOOKUP(B68,'ECN-ECO_DATA'!B:P,15,FALSE),"")</f>
        <v/>
      </c>
    </row>
    <row r="69" spans="3:17" x14ac:dyDescent="0.25">
      <c r="C69" s="43" t="str">
        <f>IFERROR(VLOOKUP(B69,'ECN-ECO_DATA'!B:C,2,FALSE),"")</f>
        <v/>
      </c>
      <c r="D69" s="43" t="str">
        <f>IFERROR(VLOOKUP(B69,'ECN-ECO_DATA'!B:X,23,FALSE),"")</f>
        <v/>
      </c>
      <c r="E69" s="44" t="str">
        <f>IFERROR(VLOOKUP(B69,'ECN-ECO_DATA'!B:G,5,FALSE),"")</f>
        <v/>
      </c>
      <c r="F69" s="44" t="str">
        <f>IFERROR((IF(VLOOKUP(B69,'ECN-ECO_DATA'!B:G,6,FALSE)="","",VLOOKUP(B69,'ECN-ECO_DATA'!B:G,6,FALSE))),"")</f>
        <v/>
      </c>
      <c r="H69" s="45" t="str">
        <f>IFERROR(VLOOKUP(B69,'ECN-ECO_DATA'!B:G,4,FALSE),"")</f>
        <v/>
      </c>
      <c r="I69" s="46" t="str">
        <f>IFERROR(IF(VLOOKUP(B69,'ECN-ECO_DATA'!B:G,6,FALSE)="","Not started",IF(VLOOKUP(B69,'ECN-ECO_DATA'!B:J,7,FALSE)="","Awaiting First Approval",IF(VLOOKUP(B69,'ECN-ECO_DATA'!B:J,8,FALSE)="","Awaiting Quality Check Approval",IF(VLOOKUP(B69,'ECN-ECO_DATA'!B:J,9,FALSE)="","Awaiting Last Approval",IF(VLOOKUP(B69,'ECN-ECO_DATA'!B:J,9,FALSE)&lt;&gt;"","Approved","Unknown"))))),"")</f>
        <v/>
      </c>
      <c r="K69" s="47" t="str">
        <f>IFERROR(VLOOKUP(B69,'ECN-ECO_DATA'!B:W,22,FALSE),"")</f>
        <v/>
      </c>
      <c r="L69" s="43" t="str">
        <f>IFERROR(IF(VLOOKUP(B69,'ECN-ECO_DATA'!B:AB,27,FALSE)=0,"",VLOOKUP(B69,'ECN-ECO_DATA'!B:AB,27,FALSE)),"")</f>
        <v/>
      </c>
      <c r="M69" s="43" t="str">
        <f>IFERROR(VLOOKUP(B69,'ECN-ECO_DATA'!B:AE,30,FALSE),"")</f>
        <v/>
      </c>
      <c r="N69" s="59" t="str">
        <f>IFERROR(IF((VLOOKUP(B69,'ECN-ECO_DATA'!B:AD,20,FALSE)-VLOOKUP(B69,'ECN-ECO_DATA'!B:AD,18,FALSE))&gt;0,(VLOOKUP(B69,'ECN-ECO_DATA'!B:AD,20,FALSE)-VLOOKUP(B69,'ECN-ECO_DATA'!B:AD,18,FALSE)),""),"")</f>
        <v/>
      </c>
      <c r="O69" s="59"/>
      <c r="P69" s="59" t="str">
        <f>IFERROR(VLOOKUP(B69,'ECN-ECO_DATA'!B:P,13,FALSE),"")</f>
        <v/>
      </c>
      <c r="Q69" s="43" t="str">
        <f>IFERROR(VLOOKUP(B69,'ECN-ECO_DATA'!B:P,15,FALSE),"")</f>
        <v/>
      </c>
    </row>
    <row r="70" spans="3:17" x14ac:dyDescent="0.25">
      <c r="C70" s="43" t="str">
        <f>IFERROR(VLOOKUP(B70,'ECN-ECO_DATA'!B:C,2,FALSE),"")</f>
        <v/>
      </c>
      <c r="D70" s="43" t="str">
        <f>IFERROR(VLOOKUP(B70,'ECN-ECO_DATA'!B:X,23,FALSE),"")</f>
        <v/>
      </c>
      <c r="E70" s="44" t="str">
        <f>IFERROR(VLOOKUP(B70,'ECN-ECO_DATA'!B:G,5,FALSE),"")</f>
        <v/>
      </c>
      <c r="F70" s="44" t="str">
        <f>IFERROR((IF(VLOOKUP(B70,'ECN-ECO_DATA'!B:G,6,FALSE)="","",VLOOKUP(B70,'ECN-ECO_DATA'!B:G,6,FALSE))),"")</f>
        <v/>
      </c>
      <c r="H70" s="45" t="str">
        <f>IFERROR(VLOOKUP(B70,'ECN-ECO_DATA'!B:G,4,FALSE),"")</f>
        <v/>
      </c>
      <c r="I70" s="46" t="str">
        <f>IFERROR(IF(VLOOKUP(B70,'ECN-ECO_DATA'!B:G,6,FALSE)="","Not started",IF(VLOOKUP(B70,'ECN-ECO_DATA'!B:J,7,FALSE)="","Awaiting First Approval",IF(VLOOKUP(B70,'ECN-ECO_DATA'!B:J,8,FALSE)="","Awaiting Quality Check Approval",IF(VLOOKUP(B70,'ECN-ECO_DATA'!B:J,9,FALSE)="","Awaiting Last Approval",IF(VLOOKUP(B70,'ECN-ECO_DATA'!B:J,9,FALSE)&lt;&gt;"","Approved","Unknown"))))),"")</f>
        <v/>
      </c>
      <c r="K70" s="47" t="str">
        <f>IFERROR(VLOOKUP(B70,'ECN-ECO_DATA'!B:W,22,FALSE),"")</f>
        <v/>
      </c>
      <c r="L70" s="43" t="str">
        <f>IFERROR(IF(VLOOKUP(B70,'ECN-ECO_DATA'!B:AB,27,FALSE)=0,"",VLOOKUP(B70,'ECN-ECO_DATA'!B:AB,27,FALSE)),"")</f>
        <v/>
      </c>
      <c r="M70" s="43" t="str">
        <f>IFERROR(VLOOKUP(B70,'ECN-ECO_DATA'!B:AE,30,FALSE),"")</f>
        <v/>
      </c>
      <c r="N70" s="59" t="str">
        <f>IFERROR(IF((VLOOKUP(B70,'ECN-ECO_DATA'!B:AD,20,FALSE)-VLOOKUP(B70,'ECN-ECO_DATA'!B:AD,18,FALSE))&gt;0,(VLOOKUP(B70,'ECN-ECO_DATA'!B:AD,20,FALSE)-VLOOKUP(B70,'ECN-ECO_DATA'!B:AD,18,FALSE)),""),"")</f>
        <v/>
      </c>
      <c r="O70" s="59"/>
      <c r="P70" s="59" t="str">
        <f>IFERROR(VLOOKUP(B70,'ECN-ECO_DATA'!B:P,13,FALSE),"")</f>
        <v/>
      </c>
      <c r="Q70" s="43" t="str">
        <f>IFERROR(VLOOKUP(B70,'ECN-ECO_DATA'!B:P,15,FALSE),"")</f>
        <v/>
      </c>
    </row>
    <row r="71" spans="3:17" x14ac:dyDescent="0.25">
      <c r="C71" s="43" t="str">
        <f>IFERROR(VLOOKUP(B71,'ECN-ECO_DATA'!B:C,2,FALSE),"")</f>
        <v/>
      </c>
      <c r="D71" s="43" t="str">
        <f>IFERROR(VLOOKUP(B71,'ECN-ECO_DATA'!B:X,23,FALSE),"")</f>
        <v/>
      </c>
      <c r="E71" s="44" t="str">
        <f>IFERROR(VLOOKUP(B71,'ECN-ECO_DATA'!B:G,5,FALSE),"")</f>
        <v/>
      </c>
      <c r="F71" s="44" t="str">
        <f>IFERROR((IF(VLOOKUP(B71,'ECN-ECO_DATA'!B:G,6,FALSE)="","",VLOOKUP(B71,'ECN-ECO_DATA'!B:G,6,FALSE))),"")</f>
        <v/>
      </c>
      <c r="H71" s="45" t="str">
        <f>IFERROR(VLOOKUP(B71,'ECN-ECO_DATA'!B:G,4,FALSE),"")</f>
        <v/>
      </c>
      <c r="I71" s="46" t="str">
        <f>IFERROR(IF(VLOOKUP(B71,'ECN-ECO_DATA'!B:G,6,FALSE)="","Not started",IF(VLOOKUP(B71,'ECN-ECO_DATA'!B:J,7,FALSE)="","Awaiting First Approval",IF(VLOOKUP(B71,'ECN-ECO_DATA'!B:J,8,FALSE)="","Awaiting Quality Check Approval",IF(VLOOKUP(B71,'ECN-ECO_DATA'!B:J,9,FALSE)="","Awaiting Last Approval",IF(VLOOKUP(B71,'ECN-ECO_DATA'!B:J,9,FALSE)&lt;&gt;"","Approved","Unknown"))))),"")</f>
        <v/>
      </c>
      <c r="K71" s="47" t="str">
        <f>IFERROR(VLOOKUP(B71,'ECN-ECO_DATA'!B:W,22,FALSE),"")</f>
        <v/>
      </c>
      <c r="L71" s="43" t="str">
        <f>IFERROR(IF(VLOOKUP(B71,'ECN-ECO_DATA'!B:AB,27,FALSE)=0,"",VLOOKUP(B71,'ECN-ECO_DATA'!B:AB,27,FALSE)),"")</f>
        <v/>
      </c>
      <c r="M71" s="43" t="str">
        <f>IFERROR(VLOOKUP(B71,'ECN-ECO_DATA'!B:AE,30,FALSE),"")</f>
        <v/>
      </c>
      <c r="N71" s="59" t="str">
        <f>IFERROR(IF((VLOOKUP(B71,'ECN-ECO_DATA'!B:AD,20,FALSE)-VLOOKUP(B71,'ECN-ECO_DATA'!B:AD,18,FALSE))&gt;0,(VLOOKUP(B71,'ECN-ECO_DATA'!B:AD,20,FALSE)-VLOOKUP(B71,'ECN-ECO_DATA'!B:AD,18,FALSE)),""),"")</f>
        <v/>
      </c>
      <c r="O71" s="59"/>
      <c r="P71" s="59" t="str">
        <f>IFERROR(VLOOKUP(B71,'ECN-ECO_DATA'!B:P,13,FALSE),"")</f>
        <v/>
      </c>
      <c r="Q71" s="43" t="str">
        <f>IFERROR(VLOOKUP(B71,'ECN-ECO_DATA'!B:P,15,FALSE),"")</f>
        <v/>
      </c>
    </row>
    <row r="72" spans="3:17" x14ac:dyDescent="0.25">
      <c r="C72" s="43" t="str">
        <f>IFERROR(VLOOKUP(B72,'ECN-ECO_DATA'!B:C,2,FALSE),"")</f>
        <v/>
      </c>
      <c r="D72" s="43" t="str">
        <f>IFERROR(VLOOKUP(B72,'ECN-ECO_DATA'!B:X,23,FALSE),"")</f>
        <v/>
      </c>
      <c r="E72" s="44" t="str">
        <f>IFERROR(VLOOKUP(B72,'ECN-ECO_DATA'!B:G,5,FALSE),"")</f>
        <v/>
      </c>
      <c r="F72" s="44" t="str">
        <f>IFERROR((IF(VLOOKUP(B72,'ECN-ECO_DATA'!B:G,6,FALSE)="","",VLOOKUP(B72,'ECN-ECO_DATA'!B:G,6,FALSE))),"")</f>
        <v/>
      </c>
      <c r="H72" s="45" t="str">
        <f>IFERROR(VLOOKUP(B72,'ECN-ECO_DATA'!B:G,4,FALSE),"")</f>
        <v/>
      </c>
      <c r="I72" s="46" t="str">
        <f>IFERROR(IF(VLOOKUP(B72,'ECN-ECO_DATA'!B:G,6,FALSE)="","Not started",IF(VLOOKUP(B72,'ECN-ECO_DATA'!B:J,7,FALSE)="","Awaiting First Approval",IF(VLOOKUP(B72,'ECN-ECO_DATA'!B:J,8,FALSE)="","Awaiting Quality Check Approval",IF(VLOOKUP(B72,'ECN-ECO_DATA'!B:J,9,FALSE)="","Awaiting Last Approval",IF(VLOOKUP(B72,'ECN-ECO_DATA'!B:J,9,FALSE)&lt;&gt;"","Approved","Unknown"))))),"")</f>
        <v/>
      </c>
      <c r="K72" s="47" t="str">
        <f>IFERROR(VLOOKUP(B72,'ECN-ECO_DATA'!B:W,22,FALSE),"")</f>
        <v/>
      </c>
      <c r="L72" s="43" t="str">
        <f>IFERROR(IF(VLOOKUP(B72,'ECN-ECO_DATA'!B:AB,27,FALSE)=0,"",VLOOKUP(B72,'ECN-ECO_DATA'!B:AB,27,FALSE)),"")</f>
        <v/>
      </c>
      <c r="M72" s="43" t="str">
        <f>IFERROR(VLOOKUP(B72,'ECN-ECO_DATA'!B:AE,30,FALSE),"")</f>
        <v/>
      </c>
      <c r="N72" s="59" t="str">
        <f>IFERROR(IF((VLOOKUP(B72,'ECN-ECO_DATA'!B:AD,20,FALSE)-VLOOKUP(B72,'ECN-ECO_DATA'!B:AD,18,FALSE))&gt;0,(VLOOKUP(B72,'ECN-ECO_DATA'!B:AD,20,FALSE)-VLOOKUP(B72,'ECN-ECO_DATA'!B:AD,18,FALSE)),""),"")</f>
        <v/>
      </c>
      <c r="O72" s="59"/>
      <c r="P72" s="59" t="str">
        <f>IFERROR(VLOOKUP(B72,'ECN-ECO_DATA'!B:P,13,FALSE),"")</f>
        <v/>
      </c>
      <c r="Q72" s="43" t="str">
        <f>IFERROR(VLOOKUP(B72,'ECN-ECO_DATA'!B:P,15,FALSE),"")</f>
        <v/>
      </c>
    </row>
    <row r="73" spans="3:17" x14ac:dyDescent="0.25">
      <c r="C73" s="43" t="str">
        <f>IFERROR(VLOOKUP(B73,'ECN-ECO_DATA'!B:C,2,FALSE),"")</f>
        <v/>
      </c>
      <c r="D73" s="43" t="str">
        <f>IFERROR(VLOOKUP(B73,'ECN-ECO_DATA'!B:X,23,FALSE),"")</f>
        <v/>
      </c>
      <c r="E73" s="44" t="str">
        <f>IFERROR(VLOOKUP(B73,'ECN-ECO_DATA'!B:G,5,FALSE),"")</f>
        <v/>
      </c>
      <c r="F73" s="44" t="str">
        <f>IFERROR((IF(VLOOKUP(B73,'ECN-ECO_DATA'!B:G,6,FALSE)="","",VLOOKUP(B73,'ECN-ECO_DATA'!B:G,6,FALSE))),"")</f>
        <v/>
      </c>
      <c r="H73" s="45" t="str">
        <f>IFERROR(VLOOKUP(B73,'ECN-ECO_DATA'!B:G,4,FALSE),"")</f>
        <v/>
      </c>
      <c r="I73" s="46" t="str">
        <f>IFERROR(IF(VLOOKUP(B73,'ECN-ECO_DATA'!B:G,6,FALSE)="","Not started",IF(VLOOKUP(B73,'ECN-ECO_DATA'!B:J,7,FALSE)="","Awaiting First Approval",IF(VLOOKUP(B73,'ECN-ECO_DATA'!B:J,8,FALSE)="","Awaiting Quality Check Approval",IF(VLOOKUP(B73,'ECN-ECO_DATA'!B:J,9,FALSE)="","Awaiting Last Approval",IF(VLOOKUP(B73,'ECN-ECO_DATA'!B:J,9,FALSE)&lt;&gt;"","Approved","Unknown"))))),"")</f>
        <v/>
      </c>
      <c r="K73" s="47" t="str">
        <f>IFERROR(VLOOKUP(B73,'ECN-ECO_DATA'!B:W,22,FALSE),"")</f>
        <v/>
      </c>
      <c r="L73" s="43" t="str">
        <f>IFERROR(IF(VLOOKUP(B73,'ECN-ECO_DATA'!B:AB,27,FALSE)=0,"",VLOOKUP(B73,'ECN-ECO_DATA'!B:AB,27,FALSE)),"")</f>
        <v/>
      </c>
      <c r="M73" s="43" t="str">
        <f>IFERROR(VLOOKUP(B73,'ECN-ECO_DATA'!B:AE,30,FALSE),"")</f>
        <v/>
      </c>
      <c r="N73" s="59" t="str">
        <f>IFERROR(IF((VLOOKUP(B73,'ECN-ECO_DATA'!B:AD,20,FALSE)-VLOOKUP(B73,'ECN-ECO_DATA'!B:AD,18,FALSE))&gt;0,(VLOOKUP(B73,'ECN-ECO_DATA'!B:AD,20,FALSE)-VLOOKUP(B73,'ECN-ECO_DATA'!B:AD,18,FALSE)),""),"")</f>
        <v/>
      </c>
      <c r="O73" s="59"/>
      <c r="P73" s="59" t="str">
        <f>IFERROR(VLOOKUP(B73,'ECN-ECO_DATA'!B:P,13,FALSE),"")</f>
        <v/>
      </c>
      <c r="Q73" s="43" t="str">
        <f>IFERROR(VLOOKUP(B73,'ECN-ECO_DATA'!B:P,15,FALSE),"")</f>
        <v/>
      </c>
    </row>
    <row r="74" spans="3:17" x14ac:dyDescent="0.25">
      <c r="C74" s="43" t="str">
        <f>IFERROR(VLOOKUP(B74,'ECN-ECO_DATA'!B:C,2,FALSE),"")</f>
        <v/>
      </c>
      <c r="D74" s="43" t="str">
        <f>IFERROR(VLOOKUP(B74,'ECN-ECO_DATA'!B:X,23,FALSE),"")</f>
        <v/>
      </c>
      <c r="E74" s="44" t="str">
        <f>IFERROR(VLOOKUP(B74,'ECN-ECO_DATA'!B:G,5,FALSE),"")</f>
        <v/>
      </c>
      <c r="F74" s="44" t="str">
        <f>IFERROR((IF(VLOOKUP(B74,'ECN-ECO_DATA'!B:G,6,FALSE)="","",VLOOKUP(B74,'ECN-ECO_DATA'!B:G,6,FALSE))),"")</f>
        <v/>
      </c>
      <c r="H74" s="45" t="str">
        <f>IFERROR(VLOOKUP(B74,'ECN-ECO_DATA'!B:G,4,FALSE),"")</f>
        <v/>
      </c>
      <c r="I74" s="46" t="str">
        <f>IFERROR(IF(VLOOKUP(B74,'ECN-ECO_DATA'!B:G,6,FALSE)="","Not started",IF(VLOOKUP(B74,'ECN-ECO_DATA'!B:J,7,FALSE)="","Awaiting First Approval",IF(VLOOKUP(B74,'ECN-ECO_DATA'!B:J,8,FALSE)="","Awaiting Quality Check Approval",IF(VLOOKUP(B74,'ECN-ECO_DATA'!B:J,9,FALSE)="","Awaiting Last Approval",IF(VLOOKUP(B74,'ECN-ECO_DATA'!B:J,9,FALSE)&lt;&gt;"","Approved","Unknown"))))),"")</f>
        <v/>
      </c>
      <c r="K74" s="47" t="str">
        <f>IFERROR(VLOOKUP(B74,'ECN-ECO_DATA'!B:W,22,FALSE),"")</f>
        <v/>
      </c>
      <c r="L74" s="43" t="str">
        <f>IFERROR(IF(VLOOKUP(B74,'ECN-ECO_DATA'!B:AB,27,FALSE)=0,"",VLOOKUP(B74,'ECN-ECO_DATA'!B:AB,27,FALSE)),"")</f>
        <v/>
      </c>
      <c r="M74" s="43" t="str">
        <f>IFERROR(VLOOKUP(B74,'ECN-ECO_DATA'!B:AE,30,FALSE),"")</f>
        <v/>
      </c>
      <c r="N74" s="59" t="str">
        <f>IFERROR(IF((VLOOKUP(B74,'ECN-ECO_DATA'!B:AD,20,FALSE)-VLOOKUP(B74,'ECN-ECO_DATA'!B:AD,18,FALSE))&gt;0,(VLOOKUP(B74,'ECN-ECO_DATA'!B:AD,20,FALSE)-VLOOKUP(B74,'ECN-ECO_DATA'!B:AD,18,FALSE)),""),"")</f>
        <v/>
      </c>
      <c r="O74" s="59"/>
      <c r="P74" s="59" t="str">
        <f>IFERROR(VLOOKUP(B74,'ECN-ECO_DATA'!B:P,13,FALSE),"")</f>
        <v/>
      </c>
      <c r="Q74" s="43" t="str">
        <f>IFERROR(VLOOKUP(B74,'ECN-ECO_DATA'!B:P,15,FALSE),"")</f>
        <v/>
      </c>
    </row>
    <row r="75" spans="3:17" x14ac:dyDescent="0.25">
      <c r="C75" s="43" t="str">
        <f>IFERROR(VLOOKUP(B75,'ECN-ECO_DATA'!B:C,2,FALSE),"")</f>
        <v/>
      </c>
      <c r="D75" s="43" t="str">
        <f>IFERROR(VLOOKUP(B75,'ECN-ECO_DATA'!B:X,23,FALSE),"")</f>
        <v/>
      </c>
      <c r="E75" s="44" t="str">
        <f>IFERROR(VLOOKUP(B75,'ECN-ECO_DATA'!B:G,5,FALSE),"")</f>
        <v/>
      </c>
      <c r="F75" s="44" t="str">
        <f>IFERROR((IF(VLOOKUP(B75,'ECN-ECO_DATA'!B:G,6,FALSE)="","",VLOOKUP(B75,'ECN-ECO_DATA'!B:G,6,FALSE))),"")</f>
        <v/>
      </c>
      <c r="H75" s="45" t="str">
        <f>IFERROR(VLOOKUP(B75,'ECN-ECO_DATA'!B:G,4,FALSE),"")</f>
        <v/>
      </c>
      <c r="I75" s="46" t="str">
        <f>IFERROR(IF(VLOOKUP(B75,'ECN-ECO_DATA'!B:G,6,FALSE)="","Not started",IF(VLOOKUP(B75,'ECN-ECO_DATA'!B:J,7,FALSE)="","Awaiting First Approval",IF(VLOOKUP(B75,'ECN-ECO_DATA'!B:J,8,FALSE)="","Awaiting Quality Check Approval",IF(VLOOKUP(B75,'ECN-ECO_DATA'!B:J,9,FALSE)="","Awaiting Last Approval",IF(VLOOKUP(B75,'ECN-ECO_DATA'!B:J,9,FALSE)&lt;&gt;"","Approved","Unknown"))))),"")</f>
        <v/>
      </c>
      <c r="K75" s="47" t="str">
        <f>IFERROR(VLOOKUP(B75,'ECN-ECO_DATA'!B:W,22,FALSE),"")</f>
        <v/>
      </c>
      <c r="L75" s="43" t="str">
        <f>IFERROR(IF(VLOOKUP(B75,'ECN-ECO_DATA'!B:AB,27,FALSE)=0,"",VLOOKUP(B75,'ECN-ECO_DATA'!B:AB,27,FALSE)),"")</f>
        <v/>
      </c>
      <c r="M75" s="43" t="str">
        <f>IFERROR(VLOOKUP(B75,'ECN-ECO_DATA'!B:AE,30,FALSE),"")</f>
        <v/>
      </c>
      <c r="N75" s="59" t="str">
        <f>IFERROR(IF((VLOOKUP(B75,'ECN-ECO_DATA'!B:AD,20,FALSE)-VLOOKUP(B75,'ECN-ECO_DATA'!B:AD,18,FALSE))&gt;0,(VLOOKUP(B75,'ECN-ECO_DATA'!B:AD,20,FALSE)-VLOOKUP(B75,'ECN-ECO_DATA'!B:AD,18,FALSE)),""),"")</f>
        <v/>
      </c>
      <c r="O75" s="59"/>
      <c r="P75" s="59" t="str">
        <f>IFERROR(VLOOKUP(B75,'ECN-ECO_DATA'!B:P,13,FALSE),"")</f>
        <v/>
      </c>
      <c r="Q75" s="43" t="str">
        <f>IFERROR(VLOOKUP(B75,'ECN-ECO_DATA'!B:P,15,FALSE),"")</f>
        <v/>
      </c>
    </row>
    <row r="76" spans="3:17" x14ac:dyDescent="0.25">
      <c r="C76" s="43" t="str">
        <f>IFERROR(VLOOKUP(B76,'ECN-ECO_DATA'!B:C,2,FALSE),"")</f>
        <v/>
      </c>
      <c r="D76" s="43" t="str">
        <f>IFERROR(VLOOKUP(B76,'ECN-ECO_DATA'!B:X,23,FALSE),"")</f>
        <v/>
      </c>
      <c r="E76" s="44" t="str">
        <f>IFERROR(VLOOKUP(B76,'ECN-ECO_DATA'!B:G,5,FALSE),"")</f>
        <v/>
      </c>
      <c r="F76" s="44" t="str">
        <f>IFERROR((IF(VLOOKUP(B76,'ECN-ECO_DATA'!B:G,6,FALSE)="","",VLOOKUP(B76,'ECN-ECO_DATA'!B:G,6,FALSE))),"")</f>
        <v/>
      </c>
      <c r="H76" s="45" t="str">
        <f>IFERROR(VLOOKUP(B76,'ECN-ECO_DATA'!B:G,4,FALSE),"")</f>
        <v/>
      </c>
      <c r="I76" s="46" t="str">
        <f>IFERROR(IF(VLOOKUP(B76,'ECN-ECO_DATA'!B:G,6,FALSE)="","Not started",IF(VLOOKUP(B76,'ECN-ECO_DATA'!B:J,7,FALSE)="","Awaiting First Approval",IF(VLOOKUP(B76,'ECN-ECO_DATA'!B:J,8,FALSE)="","Awaiting Quality Check Approval",IF(VLOOKUP(B76,'ECN-ECO_DATA'!B:J,9,FALSE)="","Awaiting Last Approval",IF(VLOOKUP(B76,'ECN-ECO_DATA'!B:J,9,FALSE)&lt;&gt;"","Approved","Unknown"))))),"")</f>
        <v/>
      </c>
      <c r="K76" s="47" t="str">
        <f>IFERROR(VLOOKUP(B76,'ECN-ECO_DATA'!B:W,22,FALSE),"")</f>
        <v/>
      </c>
      <c r="L76" s="43" t="str">
        <f>IFERROR(IF(VLOOKUP(B76,'ECN-ECO_DATA'!B:AB,27,FALSE)=0,"",VLOOKUP(B76,'ECN-ECO_DATA'!B:AB,27,FALSE)),"")</f>
        <v/>
      </c>
      <c r="M76" s="43" t="str">
        <f>IFERROR(VLOOKUP(B76,'ECN-ECO_DATA'!B:AE,30,FALSE),"")</f>
        <v/>
      </c>
      <c r="N76" s="59" t="str">
        <f>IFERROR(IF((VLOOKUP(B76,'ECN-ECO_DATA'!B:AD,20,FALSE)-VLOOKUP(B76,'ECN-ECO_DATA'!B:AD,18,FALSE))&gt;0,(VLOOKUP(B76,'ECN-ECO_DATA'!B:AD,20,FALSE)-VLOOKUP(B76,'ECN-ECO_DATA'!B:AD,18,FALSE)),""),"")</f>
        <v/>
      </c>
      <c r="O76" s="59"/>
      <c r="P76" s="59" t="str">
        <f>IFERROR(VLOOKUP(B76,'ECN-ECO_DATA'!B:P,13,FALSE),"")</f>
        <v/>
      </c>
      <c r="Q76" s="43" t="str">
        <f>IFERROR(VLOOKUP(B76,'ECN-ECO_DATA'!B:P,15,FALSE),"")</f>
        <v/>
      </c>
    </row>
    <row r="77" spans="3:17" x14ac:dyDescent="0.25">
      <c r="C77" s="43" t="str">
        <f>IFERROR(VLOOKUP(B77,'ECN-ECO_DATA'!B:C,2,FALSE),"")</f>
        <v/>
      </c>
      <c r="D77" s="43" t="str">
        <f>IFERROR(VLOOKUP(B77,'ECN-ECO_DATA'!B:X,23,FALSE),"")</f>
        <v/>
      </c>
      <c r="E77" s="44" t="str">
        <f>IFERROR(VLOOKUP(B77,'ECN-ECO_DATA'!B:G,5,FALSE),"")</f>
        <v/>
      </c>
      <c r="F77" s="44" t="str">
        <f>IFERROR((IF(VLOOKUP(B77,'ECN-ECO_DATA'!B:G,6,FALSE)="","",VLOOKUP(B77,'ECN-ECO_DATA'!B:G,6,FALSE))),"")</f>
        <v/>
      </c>
      <c r="H77" s="45" t="str">
        <f>IFERROR(VLOOKUP(B77,'ECN-ECO_DATA'!B:G,4,FALSE),"")</f>
        <v/>
      </c>
      <c r="I77" s="46" t="str">
        <f>IFERROR(IF(VLOOKUP(B77,'ECN-ECO_DATA'!B:G,6,FALSE)="","Not started",IF(VLOOKUP(B77,'ECN-ECO_DATA'!B:J,7,FALSE)="","Awaiting First Approval",IF(VLOOKUP(B77,'ECN-ECO_DATA'!B:J,8,FALSE)="","Awaiting Quality Check Approval",IF(VLOOKUP(B77,'ECN-ECO_DATA'!B:J,9,FALSE)="","Awaiting Last Approval",IF(VLOOKUP(B77,'ECN-ECO_DATA'!B:J,9,FALSE)&lt;&gt;"","Approved","Unknown"))))),"")</f>
        <v/>
      </c>
      <c r="K77" s="47" t="str">
        <f>IFERROR(VLOOKUP(B77,'ECN-ECO_DATA'!B:W,22,FALSE),"")</f>
        <v/>
      </c>
      <c r="L77" s="43" t="str">
        <f>IFERROR(IF(VLOOKUP(B77,'ECN-ECO_DATA'!B:AB,27,FALSE)=0,"",VLOOKUP(B77,'ECN-ECO_DATA'!B:AB,27,FALSE)),"")</f>
        <v/>
      </c>
      <c r="M77" s="43" t="str">
        <f>IFERROR(VLOOKUP(B77,'ECN-ECO_DATA'!B:AE,30,FALSE),"")</f>
        <v/>
      </c>
      <c r="N77" s="59" t="str">
        <f>IFERROR(IF((VLOOKUP(B77,'ECN-ECO_DATA'!B:AD,20,FALSE)-VLOOKUP(B77,'ECN-ECO_DATA'!B:AD,18,FALSE))&gt;0,(VLOOKUP(B77,'ECN-ECO_DATA'!B:AD,20,FALSE)-VLOOKUP(B77,'ECN-ECO_DATA'!B:AD,18,FALSE)),""),"")</f>
        <v/>
      </c>
      <c r="O77" s="59"/>
      <c r="P77" s="59" t="str">
        <f>IFERROR(VLOOKUP(B77,'ECN-ECO_DATA'!B:P,13,FALSE),"")</f>
        <v/>
      </c>
      <c r="Q77" s="43" t="str">
        <f>IFERROR(VLOOKUP(B77,'ECN-ECO_DATA'!B:P,15,FALSE),"")</f>
        <v/>
      </c>
    </row>
    <row r="78" spans="3:17" x14ac:dyDescent="0.25">
      <c r="C78" s="43" t="str">
        <f>IFERROR(VLOOKUP(B78,'ECN-ECO_DATA'!B:C,2,FALSE),"")</f>
        <v/>
      </c>
      <c r="D78" s="43" t="str">
        <f>IFERROR(VLOOKUP(B78,'ECN-ECO_DATA'!B:X,23,FALSE),"")</f>
        <v/>
      </c>
      <c r="E78" s="44" t="str">
        <f>IFERROR(VLOOKUP(B78,'ECN-ECO_DATA'!B:G,5,FALSE),"")</f>
        <v/>
      </c>
      <c r="F78" s="44" t="str">
        <f>IFERROR((IF(VLOOKUP(B78,'ECN-ECO_DATA'!B:G,6,FALSE)="","",VLOOKUP(B78,'ECN-ECO_DATA'!B:G,6,FALSE))),"")</f>
        <v/>
      </c>
      <c r="H78" s="45" t="str">
        <f>IFERROR(VLOOKUP(B78,'ECN-ECO_DATA'!B:G,4,FALSE),"")</f>
        <v/>
      </c>
      <c r="I78" s="46" t="str">
        <f>IFERROR(IF(VLOOKUP(B78,'ECN-ECO_DATA'!B:G,6,FALSE)="","Not started",IF(VLOOKUP(B78,'ECN-ECO_DATA'!B:J,7,FALSE)="","Awaiting First Approval",IF(VLOOKUP(B78,'ECN-ECO_DATA'!B:J,8,FALSE)="","Awaiting Quality Check Approval",IF(VLOOKUP(B78,'ECN-ECO_DATA'!B:J,9,FALSE)="","Awaiting Last Approval",IF(VLOOKUP(B78,'ECN-ECO_DATA'!B:J,9,FALSE)&lt;&gt;"","Approved","Unknown"))))),"")</f>
        <v/>
      </c>
      <c r="K78" s="47" t="str">
        <f>IFERROR(VLOOKUP(B78,'ECN-ECO_DATA'!B:W,22,FALSE),"")</f>
        <v/>
      </c>
      <c r="L78" s="43" t="str">
        <f>IFERROR(IF(VLOOKUP(B78,'ECN-ECO_DATA'!B:AB,27,FALSE)=0,"",VLOOKUP(B78,'ECN-ECO_DATA'!B:AB,27,FALSE)),"")</f>
        <v/>
      </c>
      <c r="M78" s="43" t="str">
        <f>IFERROR(VLOOKUP(B78,'ECN-ECO_DATA'!B:AE,30,FALSE),"")</f>
        <v/>
      </c>
      <c r="N78" s="59" t="str">
        <f>IFERROR(IF((VLOOKUP(B78,'ECN-ECO_DATA'!B:AD,20,FALSE)-VLOOKUP(B78,'ECN-ECO_DATA'!B:AD,18,FALSE))&gt;0,(VLOOKUP(B78,'ECN-ECO_DATA'!B:AD,20,FALSE)-VLOOKUP(B78,'ECN-ECO_DATA'!B:AD,18,FALSE)),""),"")</f>
        <v/>
      </c>
      <c r="O78" s="59"/>
      <c r="P78" s="59" t="str">
        <f>IFERROR(VLOOKUP(B78,'ECN-ECO_DATA'!B:P,13,FALSE),"")</f>
        <v/>
      </c>
      <c r="Q78" s="43" t="str">
        <f>IFERROR(VLOOKUP(B78,'ECN-ECO_DATA'!B:P,15,FALSE),"")</f>
        <v/>
      </c>
    </row>
    <row r="79" spans="3:17" x14ac:dyDescent="0.25">
      <c r="C79" s="43" t="str">
        <f>IFERROR(VLOOKUP(B79,'ECN-ECO_DATA'!B:C,2,FALSE),"")</f>
        <v/>
      </c>
      <c r="D79" s="43" t="str">
        <f>IFERROR(VLOOKUP(B79,'ECN-ECO_DATA'!B:X,23,FALSE),"")</f>
        <v/>
      </c>
      <c r="E79" s="44" t="str">
        <f>IFERROR(VLOOKUP(B79,'ECN-ECO_DATA'!B:G,5,FALSE),"")</f>
        <v/>
      </c>
      <c r="F79" s="44" t="str">
        <f>IFERROR((IF(VLOOKUP(B79,'ECN-ECO_DATA'!B:G,6,FALSE)="","",VLOOKUP(B79,'ECN-ECO_DATA'!B:G,6,FALSE))),"")</f>
        <v/>
      </c>
      <c r="H79" s="45" t="str">
        <f>IFERROR(VLOOKUP(B79,'ECN-ECO_DATA'!B:G,4,FALSE),"")</f>
        <v/>
      </c>
      <c r="I79" s="46" t="str">
        <f>IFERROR(IF(VLOOKUP(B79,'ECN-ECO_DATA'!B:G,6,FALSE)="","Not started",IF(VLOOKUP(B79,'ECN-ECO_DATA'!B:J,7,FALSE)="","Awaiting First Approval",IF(VLOOKUP(B79,'ECN-ECO_DATA'!B:J,8,FALSE)="","Awaiting Quality Check Approval",IF(VLOOKUP(B79,'ECN-ECO_DATA'!B:J,9,FALSE)="","Awaiting Last Approval",IF(VLOOKUP(B79,'ECN-ECO_DATA'!B:J,9,FALSE)&lt;&gt;"","Approved","Unknown"))))),"")</f>
        <v/>
      </c>
      <c r="K79" s="47" t="str">
        <f>IFERROR(VLOOKUP(B79,'ECN-ECO_DATA'!B:W,22,FALSE),"")</f>
        <v/>
      </c>
      <c r="L79" s="43" t="str">
        <f>IFERROR(IF(VLOOKUP(B79,'ECN-ECO_DATA'!B:AB,27,FALSE)=0,"",VLOOKUP(B79,'ECN-ECO_DATA'!B:AB,27,FALSE)),"")</f>
        <v/>
      </c>
      <c r="M79" s="43" t="str">
        <f>IFERROR(VLOOKUP(B79,'ECN-ECO_DATA'!B:AE,30,FALSE),"")</f>
        <v/>
      </c>
      <c r="N79" s="59" t="str">
        <f>IFERROR(IF((VLOOKUP(B79,'ECN-ECO_DATA'!B:AD,20,FALSE)-VLOOKUP(B79,'ECN-ECO_DATA'!B:AD,18,FALSE))&gt;0,(VLOOKUP(B79,'ECN-ECO_DATA'!B:AD,20,FALSE)-VLOOKUP(B79,'ECN-ECO_DATA'!B:AD,18,FALSE)),""),"")</f>
        <v/>
      </c>
      <c r="O79" s="59"/>
      <c r="P79" s="59" t="str">
        <f>IFERROR(VLOOKUP(B79,'ECN-ECO_DATA'!B:P,13,FALSE),"")</f>
        <v/>
      </c>
      <c r="Q79" s="43" t="str">
        <f>IFERROR(VLOOKUP(B79,'ECN-ECO_DATA'!B:P,15,FALSE),"")</f>
        <v/>
      </c>
    </row>
    <row r="80" spans="3:17" x14ac:dyDescent="0.25">
      <c r="C80" s="43" t="str">
        <f>IFERROR(VLOOKUP(B80,'ECN-ECO_DATA'!B:C,2,FALSE),"")</f>
        <v/>
      </c>
      <c r="D80" s="43" t="str">
        <f>IFERROR(VLOOKUP(B80,'ECN-ECO_DATA'!B:X,23,FALSE),"")</f>
        <v/>
      </c>
      <c r="E80" s="44" t="str">
        <f>IFERROR(VLOOKUP(B80,'ECN-ECO_DATA'!B:G,5,FALSE),"")</f>
        <v/>
      </c>
      <c r="F80" s="44" t="str">
        <f>IFERROR((IF(VLOOKUP(B80,'ECN-ECO_DATA'!B:G,6,FALSE)="","",VLOOKUP(B80,'ECN-ECO_DATA'!B:G,6,FALSE))),"")</f>
        <v/>
      </c>
      <c r="H80" s="45" t="str">
        <f>IFERROR(VLOOKUP(B80,'ECN-ECO_DATA'!B:G,4,FALSE),"")</f>
        <v/>
      </c>
      <c r="I80" s="46" t="str">
        <f>IFERROR(IF(VLOOKUP(B80,'ECN-ECO_DATA'!B:G,6,FALSE)="","Not started",IF(VLOOKUP(B80,'ECN-ECO_DATA'!B:J,7,FALSE)="","Awaiting First Approval",IF(VLOOKUP(B80,'ECN-ECO_DATA'!B:J,8,FALSE)="","Awaiting Quality Check Approval",IF(VLOOKUP(B80,'ECN-ECO_DATA'!B:J,9,FALSE)="","Awaiting Last Approval",IF(VLOOKUP(B80,'ECN-ECO_DATA'!B:J,9,FALSE)&lt;&gt;"","Approved","Unknown"))))),"")</f>
        <v/>
      </c>
      <c r="K80" s="47" t="str">
        <f>IFERROR(VLOOKUP(B80,'ECN-ECO_DATA'!B:W,22,FALSE),"")</f>
        <v/>
      </c>
      <c r="L80" s="43" t="str">
        <f>IFERROR(IF(VLOOKUP(B80,'ECN-ECO_DATA'!B:AB,27,FALSE)=0,"",VLOOKUP(B80,'ECN-ECO_DATA'!B:AB,27,FALSE)),"")</f>
        <v/>
      </c>
      <c r="M80" s="43" t="str">
        <f>IFERROR(VLOOKUP(B80,'ECN-ECO_DATA'!B:AE,30,FALSE),"")</f>
        <v/>
      </c>
      <c r="N80" s="59" t="str">
        <f>IFERROR(IF((VLOOKUP(B80,'ECN-ECO_DATA'!B:AD,20,FALSE)-VLOOKUP(B80,'ECN-ECO_DATA'!B:AD,18,FALSE))&gt;0,(VLOOKUP(B80,'ECN-ECO_DATA'!B:AD,20,FALSE)-VLOOKUP(B80,'ECN-ECO_DATA'!B:AD,18,FALSE)),""),"")</f>
        <v/>
      </c>
      <c r="O80" s="59"/>
      <c r="P80" s="59" t="str">
        <f>IFERROR(VLOOKUP(B80,'ECN-ECO_DATA'!B:P,13,FALSE),"")</f>
        <v/>
      </c>
      <c r="Q80" s="43" t="str">
        <f>IFERROR(VLOOKUP(B80,'ECN-ECO_DATA'!B:P,15,FALSE),"")</f>
        <v/>
      </c>
    </row>
    <row r="81" spans="3:17" x14ac:dyDescent="0.25">
      <c r="C81" s="43" t="str">
        <f>IFERROR(VLOOKUP(B81,'ECN-ECO_DATA'!B:C,2,FALSE),"")</f>
        <v/>
      </c>
      <c r="D81" s="43" t="str">
        <f>IFERROR(VLOOKUP(B81,'ECN-ECO_DATA'!B:X,23,FALSE),"")</f>
        <v/>
      </c>
      <c r="E81" s="44" t="str">
        <f>IFERROR(VLOOKUP(B81,'ECN-ECO_DATA'!B:G,5,FALSE),"")</f>
        <v/>
      </c>
      <c r="F81" s="44" t="str">
        <f>IFERROR((IF(VLOOKUP(B81,'ECN-ECO_DATA'!B:G,6,FALSE)="","",VLOOKUP(B81,'ECN-ECO_DATA'!B:G,6,FALSE))),"")</f>
        <v/>
      </c>
      <c r="H81" s="45" t="str">
        <f>IFERROR(VLOOKUP(B81,'ECN-ECO_DATA'!B:G,4,FALSE),"")</f>
        <v/>
      </c>
      <c r="I81" s="46" t="str">
        <f>IFERROR(IF(VLOOKUP(B81,'ECN-ECO_DATA'!B:G,6,FALSE)="","Not started",IF(VLOOKUP(B81,'ECN-ECO_DATA'!B:J,7,FALSE)="","Awaiting First Approval",IF(VLOOKUP(B81,'ECN-ECO_DATA'!B:J,8,FALSE)="","Awaiting Quality Check Approval",IF(VLOOKUP(B81,'ECN-ECO_DATA'!B:J,9,FALSE)="","Awaiting Last Approval",IF(VLOOKUP(B81,'ECN-ECO_DATA'!B:J,9,FALSE)&lt;&gt;"","Approved","Unknown"))))),"")</f>
        <v/>
      </c>
      <c r="K81" s="47" t="str">
        <f>IFERROR(VLOOKUP(B81,'ECN-ECO_DATA'!B:W,22,FALSE),"")</f>
        <v/>
      </c>
      <c r="L81" s="43" t="str">
        <f>IFERROR(IF(VLOOKUP(B81,'ECN-ECO_DATA'!B:AB,27,FALSE)=0,"",VLOOKUP(B81,'ECN-ECO_DATA'!B:AB,27,FALSE)),"")</f>
        <v/>
      </c>
      <c r="M81" s="43" t="str">
        <f>IFERROR(VLOOKUP(B81,'ECN-ECO_DATA'!B:AE,30,FALSE),"")</f>
        <v/>
      </c>
      <c r="N81" s="59" t="str">
        <f>IFERROR(IF((VLOOKUP(B81,'ECN-ECO_DATA'!B:AD,20,FALSE)-VLOOKUP(B81,'ECN-ECO_DATA'!B:AD,18,FALSE))&gt;0,(VLOOKUP(B81,'ECN-ECO_DATA'!B:AD,20,FALSE)-VLOOKUP(B81,'ECN-ECO_DATA'!B:AD,18,FALSE)),""),"")</f>
        <v/>
      </c>
      <c r="O81" s="59"/>
      <c r="P81" s="59" t="str">
        <f>IFERROR(VLOOKUP(B81,'ECN-ECO_DATA'!B:P,13,FALSE),"")</f>
        <v/>
      </c>
      <c r="Q81" s="43" t="str">
        <f>IFERROR(VLOOKUP(B81,'ECN-ECO_DATA'!B:P,15,FALSE),"")</f>
        <v/>
      </c>
    </row>
    <row r="82" spans="3:17" x14ac:dyDescent="0.25">
      <c r="C82" s="43" t="str">
        <f>IFERROR(VLOOKUP(B82,'ECN-ECO_DATA'!B:C,2,FALSE),"")</f>
        <v/>
      </c>
      <c r="D82" s="43" t="str">
        <f>IFERROR(VLOOKUP(B82,'ECN-ECO_DATA'!B:X,23,FALSE),"")</f>
        <v/>
      </c>
      <c r="E82" s="44" t="str">
        <f>IFERROR(VLOOKUP(B82,'ECN-ECO_DATA'!B:G,5,FALSE),"")</f>
        <v/>
      </c>
      <c r="F82" s="44" t="str">
        <f>IFERROR((IF(VLOOKUP(B82,'ECN-ECO_DATA'!B:G,6,FALSE)="","",VLOOKUP(B82,'ECN-ECO_DATA'!B:G,6,FALSE))),"")</f>
        <v/>
      </c>
      <c r="H82" s="45" t="str">
        <f>IFERROR(VLOOKUP(B82,'ECN-ECO_DATA'!B:G,4,FALSE),"")</f>
        <v/>
      </c>
      <c r="I82" s="46" t="str">
        <f>IFERROR(IF(VLOOKUP(B82,'ECN-ECO_DATA'!B:G,6,FALSE)="","Not started",IF(VLOOKUP(B82,'ECN-ECO_DATA'!B:J,7,FALSE)="","Awaiting First Approval",IF(VLOOKUP(B82,'ECN-ECO_DATA'!B:J,8,FALSE)="","Awaiting Quality Check Approval",IF(VLOOKUP(B82,'ECN-ECO_DATA'!B:J,9,FALSE)="","Awaiting Last Approval",IF(VLOOKUP(B82,'ECN-ECO_DATA'!B:J,9,FALSE)&lt;&gt;"","Approved","Unknown"))))),"")</f>
        <v/>
      </c>
      <c r="K82" s="47" t="str">
        <f>IFERROR(VLOOKUP(B82,'ECN-ECO_DATA'!B:W,22,FALSE),"")</f>
        <v/>
      </c>
      <c r="L82" s="43" t="str">
        <f>IFERROR(IF(VLOOKUP(B82,'ECN-ECO_DATA'!B:AB,27,FALSE)=0,"",VLOOKUP(B82,'ECN-ECO_DATA'!B:AB,27,FALSE)),"")</f>
        <v/>
      </c>
      <c r="M82" s="43" t="str">
        <f>IFERROR(VLOOKUP(B82,'ECN-ECO_DATA'!B:AE,30,FALSE),"")</f>
        <v/>
      </c>
      <c r="N82" s="59" t="str">
        <f>IFERROR(IF((VLOOKUP(B82,'ECN-ECO_DATA'!B:AD,20,FALSE)-VLOOKUP(B82,'ECN-ECO_DATA'!B:AD,18,FALSE))&gt;0,(VLOOKUP(B82,'ECN-ECO_DATA'!B:AD,20,FALSE)-VLOOKUP(B82,'ECN-ECO_DATA'!B:AD,18,FALSE)),""),"")</f>
        <v/>
      </c>
      <c r="O82" s="59"/>
      <c r="P82" s="59" t="str">
        <f>IFERROR(VLOOKUP(B82,'ECN-ECO_DATA'!B:P,13,FALSE),"")</f>
        <v/>
      </c>
      <c r="Q82" s="43" t="str">
        <f>IFERROR(VLOOKUP(B82,'ECN-ECO_DATA'!B:P,15,FALSE),"")</f>
        <v/>
      </c>
    </row>
    <row r="83" spans="3:17" x14ac:dyDescent="0.25">
      <c r="C83" s="43" t="str">
        <f>IFERROR(VLOOKUP(B83,'ECN-ECO_DATA'!B:C,2,FALSE),"")</f>
        <v/>
      </c>
      <c r="D83" s="43" t="str">
        <f>IFERROR(VLOOKUP(B83,'ECN-ECO_DATA'!B:X,23,FALSE),"")</f>
        <v/>
      </c>
      <c r="E83" s="44" t="str">
        <f>IFERROR(VLOOKUP(B83,'ECN-ECO_DATA'!B:G,5,FALSE),"")</f>
        <v/>
      </c>
      <c r="F83" s="44" t="str">
        <f>IFERROR((IF(VLOOKUP(B83,'ECN-ECO_DATA'!B:G,6,FALSE)="","",VLOOKUP(B83,'ECN-ECO_DATA'!B:G,6,FALSE))),"")</f>
        <v/>
      </c>
      <c r="H83" s="45" t="str">
        <f>IFERROR(VLOOKUP(B83,'ECN-ECO_DATA'!B:G,4,FALSE),"")</f>
        <v/>
      </c>
      <c r="I83" s="46" t="str">
        <f>IFERROR(IF(VLOOKUP(B83,'ECN-ECO_DATA'!B:G,6,FALSE)="","Not started",IF(VLOOKUP(B83,'ECN-ECO_DATA'!B:J,7,FALSE)="","Awaiting First Approval",IF(VLOOKUP(B83,'ECN-ECO_DATA'!B:J,8,FALSE)="","Awaiting Quality Check Approval",IF(VLOOKUP(B83,'ECN-ECO_DATA'!B:J,9,FALSE)="","Awaiting Last Approval",IF(VLOOKUP(B83,'ECN-ECO_DATA'!B:J,9,FALSE)&lt;&gt;"","Approved","Unknown"))))),"")</f>
        <v/>
      </c>
      <c r="K83" s="47" t="str">
        <f>IFERROR(VLOOKUP(B83,'ECN-ECO_DATA'!B:W,22,FALSE),"")</f>
        <v/>
      </c>
      <c r="L83" s="43" t="str">
        <f>IFERROR(IF(VLOOKUP(B83,'ECN-ECO_DATA'!B:AB,27,FALSE)=0,"",VLOOKUP(B83,'ECN-ECO_DATA'!B:AB,27,FALSE)),"")</f>
        <v/>
      </c>
      <c r="M83" s="43" t="str">
        <f>IFERROR(VLOOKUP(B83,'ECN-ECO_DATA'!B:AE,30,FALSE),"")</f>
        <v/>
      </c>
      <c r="N83" s="59" t="str">
        <f>IFERROR(IF((VLOOKUP(B83,'ECN-ECO_DATA'!B:AD,20,FALSE)-VLOOKUP(B83,'ECN-ECO_DATA'!B:AD,18,FALSE))&gt;0,(VLOOKUP(B83,'ECN-ECO_DATA'!B:AD,20,FALSE)-VLOOKUP(B83,'ECN-ECO_DATA'!B:AD,18,FALSE)),""),"")</f>
        <v/>
      </c>
      <c r="O83" s="59"/>
      <c r="P83" s="59" t="str">
        <f>IFERROR(VLOOKUP(B83,'ECN-ECO_DATA'!B:P,13,FALSE),"")</f>
        <v/>
      </c>
      <c r="Q83" s="43" t="str">
        <f>IFERROR(VLOOKUP(B83,'ECN-ECO_DATA'!B:P,15,FALSE),"")</f>
        <v/>
      </c>
    </row>
    <row r="84" spans="3:17" x14ac:dyDescent="0.25">
      <c r="C84" s="43" t="str">
        <f>IFERROR(VLOOKUP(B84,'ECN-ECO_DATA'!B:C,2,FALSE),"")</f>
        <v/>
      </c>
      <c r="D84" s="43" t="str">
        <f>IFERROR(VLOOKUP(B84,'ECN-ECO_DATA'!B:X,23,FALSE),"")</f>
        <v/>
      </c>
      <c r="E84" s="44" t="str">
        <f>IFERROR(VLOOKUP(B84,'ECN-ECO_DATA'!B:G,5,FALSE),"")</f>
        <v/>
      </c>
      <c r="F84" s="44" t="str">
        <f>IFERROR((IF(VLOOKUP(B84,'ECN-ECO_DATA'!B:G,6,FALSE)="","",VLOOKUP(B84,'ECN-ECO_DATA'!B:G,6,FALSE))),"")</f>
        <v/>
      </c>
      <c r="H84" s="45" t="str">
        <f>IFERROR(VLOOKUP(B84,'ECN-ECO_DATA'!B:G,4,FALSE),"")</f>
        <v/>
      </c>
      <c r="I84" s="46" t="str">
        <f>IFERROR(IF(VLOOKUP(B84,'ECN-ECO_DATA'!B:G,6,FALSE)="","Not started",IF(VLOOKUP(B84,'ECN-ECO_DATA'!B:J,7,FALSE)="","Awaiting First Approval",IF(VLOOKUP(B84,'ECN-ECO_DATA'!B:J,8,FALSE)="","Awaiting Quality Check Approval",IF(VLOOKUP(B84,'ECN-ECO_DATA'!B:J,9,FALSE)="","Awaiting Last Approval",IF(VLOOKUP(B84,'ECN-ECO_DATA'!B:J,9,FALSE)&lt;&gt;"","Approved","Unknown"))))),"")</f>
        <v/>
      </c>
      <c r="K84" s="47" t="str">
        <f>IFERROR(VLOOKUP(B84,'ECN-ECO_DATA'!B:W,22,FALSE),"")</f>
        <v/>
      </c>
      <c r="L84" s="43" t="str">
        <f>IFERROR(IF(VLOOKUP(B84,'ECN-ECO_DATA'!B:AB,27,FALSE)=0,"",VLOOKUP(B84,'ECN-ECO_DATA'!B:AB,27,FALSE)),"")</f>
        <v/>
      </c>
      <c r="M84" s="43" t="str">
        <f>IFERROR(VLOOKUP(B84,'ECN-ECO_DATA'!B:AE,30,FALSE),"")</f>
        <v/>
      </c>
      <c r="N84" s="59" t="str">
        <f>IFERROR(IF((VLOOKUP(B84,'ECN-ECO_DATA'!B:AD,20,FALSE)-VLOOKUP(B84,'ECN-ECO_DATA'!B:AD,18,FALSE))&gt;0,(VLOOKUP(B84,'ECN-ECO_DATA'!B:AD,20,FALSE)-VLOOKUP(B84,'ECN-ECO_DATA'!B:AD,18,FALSE)),""),"")</f>
        <v/>
      </c>
      <c r="O84" s="59"/>
      <c r="P84" s="59" t="str">
        <f>IFERROR(VLOOKUP(B84,'ECN-ECO_DATA'!B:P,13,FALSE),"")</f>
        <v/>
      </c>
      <c r="Q84" s="43" t="str">
        <f>IFERROR(VLOOKUP(B84,'ECN-ECO_DATA'!B:P,15,FALSE),"")</f>
        <v/>
      </c>
    </row>
    <row r="85" spans="3:17" x14ac:dyDescent="0.25">
      <c r="C85" s="43" t="str">
        <f>IFERROR(VLOOKUP(B85,'ECN-ECO_DATA'!B:C,2,FALSE),"")</f>
        <v/>
      </c>
      <c r="D85" s="43" t="str">
        <f>IFERROR(VLOOKUP(B85,'ECN-ECO_DATA'!B:X,23,FALSE),"")</f>
        <v/>
      </c>
      <c r="E85" s="44" t="str">
        <f>IFERROR(VLOOKUP(B85,'ECN-ECO_DATA'!B:G,5,FALSE),"")</f>
        <v/>
      </c>
      <c r="F85" s="44" t="str">
        <f>IFERROR((IF(VLOOKUP(B85,'ECN-ECO_DATA'!B:G,6,FALSE)="","",VLOOKUP(B85,'ECN-ECO_DATA'!B:G,6,FALSE))),"")</f>
        <v/>
      </c>
      <c r="H85" s="45" t="str">
        <f>IFERROR(VLOOKUP(B85,'ECN-ECO_DATA'!B:G,4,FALSE),"")</f>
        <v/>
      </c>
      <c r="I85" s="46" t="str">
        <f>IFERROR(IF(VLOOKUP(B85,'ECN-ECO_DATA'!B:G,6,FALSE)="","Not started",IF(VLOOKUP(B85,'ECN-ECO_DATA'!B:J,7,FALSE)="","Awaiting First Approval",IF(VLOOKUP(B85,'ECN-ECO_DATA'!B:J,8,FALSE)="","Awaiting Quality Check Approval",IF(VLOOKUP(B85,'ECN-ECO_DATA'!B:J,9,FALSE)="","Awaiting Last Approval",IF(VLOOKUP(B85,'ECN-ECO_DATA'!B:J,9,FALSE)&lt;&gt;"","Approved","Unknown"))))),"")</f>
        <v/>
      </c>
      <c r="K85" s="47" t="str">
        <f>IFERROR(VLOOKUP(B85,'ECN-ECO_DATA'!B:W,22,FALSE),"")</f>
        <v/>
      </c>
      <c r="L85" s="43" t="str">
        <f>IFERROR(IF(VLOOKUP(B85,'ECN-ECO_DATA'!B:AB,27,FALSE)=0,"",VLOOKUP(B85,'ECN-ECO_DATA'!B:AB,27,FALSE)),"")</f>
        <v/>
      </c>
      <c r="M85" s="43" t="str">
        <f>IFERROR(VLOOKUP(B85,'ECN-ECO_DATA'!B:AE,30,FALSE),"")</f>
        <v/>
      </c>
      <c r="N85" s="59" t="str">
        <f>IFERROR(IF((VLOOKUP(B85,'ECN-ECO_DATA'!B:AD,20,FALSE)-VLOOKUP(B85,'ECN-ECO_DATA'!B:AD,18,FALSE))&gt;0,(VLOOKUP(B85,'ECN-ECO_DATA'!B:AD,20,FALSE)-VLOOKUP(B85,'ECN-ECO_DATA'!B:AD,18,FALSE)),""),"")</f>
        <v/>
      </c>
      <c r="O85" s="59"/>
      <c r="P85" s="59" t="str">
        <f>IFERROR(VLOOKUP(B85,'ECN-ECO_DATA'!B:P,13,FALSE),"")</f>
        <v/>
      </c>
      <c r="Q85" s="43" t="str">
        <f>IFERROR(VLOOKUP(B85,'ECN-ECO_DATA'!B:P,15,FALSE),"")</f>
        <v/>
      </c>
    </row>
    <row r="86" spans="3:17" x14ac:dyDescent="0.25">
      <c r="C86" s="43" t="str">
        <f>IFERROR(VLOOKUP(B86,'ECN-ECO_DATA'!B:C,2,FALSE),"")</f>
        <v/>
      </c>
      <c r="D86" s="43" t="str">
        <f>IFERROR(VLOOKUP(B86,'ECN-ECO_DATA'!B:X,23,FALSE),"")</f>
        <v/>
      </c>
      <c r="E86" s="44" t="str">
        <f>IFERROR(VLOOKUP(B86,'ECN-ECO_DATA'!B:G,5,FALSE),"")</f>
        <v/>
      </c>
      <c r="F86" s="44" t="str">
        <f>IFERROR((IF(VLOOKUP(B86,'ECN-ECO_DATA'!B:G,6,FALSE)="","",VLOOKUP(B86,'ECN-ECO_DATA'!B:G,6,FALSE))),"")</f>
        <v/>
      </c>
      <c r="H86" s="45" t="str">
        <f>IFERROR(VLOOKUP(B86,'ECN-ECO_DATA'!B:G,4,FALSE),"")</f>
        <v/>
      </c>
      <c r="I86" s="46" t="str">
        <f>IFERROR(IF(VLOOKUP(B86,'ECN-ECO_DATA'!B:G,6,FALSE)="","Not started",IF(VLOOKUP(B86,'ECN-ECO_DATA'!B:J,7,FALSE)="","Awaiting First Approval",IF(VLOOKUP(B86,'ECN-ECO_DATA'!B:J,8,FALSE)="","Awaiting Quality Check Approval",IF(VLOOKUP(B86,'ECN-ECO_DATA'!B:J,9,FALSE)="","Awaiting Last Approval",IF(VLOOKUP(B86,'ECN-ECO_DATA'!B:J,9,FALSE)&lt;&gt;"","Approved","Unknown"))))),"")</f>
        <v/>
      </c>
      <c r="K86" s="47" t="str">
        <f>IFERROR(VLOOKUP(B86,'ECN-ECO_DATA'!B:W,22,FALSE),"")</f>
        <v/>
      </c>
      <c r="L86" s="43" t="str">
        <f>IFERROR(IF(VLOOKUP(B86,'ECN-ECO_DATA'!B:AB,27,FALSE)=0,"",VLOOKUP(B86,'ECN-ECO_DATA'!B:AB,27,FALSE)),"")</f>
        <v/>
      </c>
      <c r="M86" s="43" t="str">
        <f>IFERROR(VLOOKUP(B86,'ECN-ECO_DATA'!B:AE,30,FALSE),"")</f>
        <v/>
      </c>
      <c r="N86" s="59" t="str">
        <f>IFERROR(IF((VLOOKUP(B86,'ECN-ECO_DATA'!B:AD,20,FALSE)-VLOOKUP(B86,'ECN-ECO_DATA'!B:AD,18,FALSE))&gt;0,(VLOOKUP(B86,'ECN-ECO_DATA'!B:AD,20,FALSE)-VLOOKUP(B86,'ECN-ECO_DATA'!B:AD,18,FALSE)),""),"")</f>
        <v/>
      </c>
      <c r="O86" s="59"/>
      <c r="P86" s="59" t="str">
        <f>IFERROR(VLOOKUP(B86,'ECN-ECO_DATA'!B:P,13,FALSE),"")</f>
        <v/>
      </c>
      <c r="Q86" s="43" t="str">
        <f>IFERROR(VLOOKUP(B86,'ECN-ECO_DATA'!B:P,15,FALSE),"")</f>
        <v/>
      </c>
    </row>
    <row r="87" spans="3:17" x14ac:dyDescent="0.25">
      <c r="C87" s="43" t="str">
        <f>IFERROR(VLOOKUP(B87,'ECN-ECO_DATA'!B:C,2,FALSE),"")</f>
        <v/>
      </c>
      <c r="D87" s="43" t="str">
        <f>IFERROR(VLOOKUP(B87,'ECN-ECO_DATA'!B:X,23,FALSE),"")</f>
        <v/>
      </c>
      <c r="E87" s="44" t="str">
        <f>IFERROR(VLOOKUP(B87,'ECN-ECO_DATA'!B:G,5,FALSE),"")</f>
        <v/>
      </c>
      <c r="F87" s="44" t="str">
        <f>IFERROR((IF(VLOOKUP(B87,'ECN-ECO_DATA'!B:G,6,FALSE)="","",VLOOKUP(B87,'ECN-ECO_DATA'!B:G,6,FALSE))),"")</f>
        <v/>
      </c>
      <c r="H87" s="45" t="str">
        <f>IFERROR(VLOOKUP(B87,'ECN-ECO_DATA'!B:G,4,FALSE),"")</f>
        <v/>
      </c>
      <c r="I87" s="46" t="str">
        <f>IFERROR(IF(VLOOKUP(B87,'ECN-ECO_DATA'!B:G,6,FALSE)="","Not started",IF(VLOOKUP(B87,'ECN-ECO_DATA'!B:J,7,FALSE)="","Awaiting First Approval",IF(VLOOKUP(B87,'ECN-ECO_DATA'!B:J,8,FALSE)="","Awaiting Quality Check Approval",IF(VLOOKUP(B87,'ECN-ECO_DATA'!B:J,9,FALSE)="","Awaiting Last Approval",IF(VLOOKUP(B87,'ECN-ECO_DATA'!B:J,9,FALSE)&lt;&gt;"","Approved","Unknown"))))),"")</f>
        <v/>
      </c>
      <c r="K87" s="47" t="str">
        <f>IFERROR(VLOOKUP(B87,'ECN-ECO_DATA'!B:W,22,FALSE),"")</f>
        <v/>
      </c>
      <c r="L87" s="43" t="str">
        <f>IFERROR(IF(VLOOKUP(B87,'ECN-ECO_DATA'!B:AB,27,FALSE)=0,"",VLOOKUP(B87,'ECN-ECO_DATA'!B:AB,27,FALSE)),"")</f>
        <v/>
      </c>
      <c r="M87" s="43" t="str">
        <f>IFERROR(VLOOKUP(B87,'ECN-ECO_DATA'!B:AE,30,FALSE),"")</f>
        <v/>
      </c>
      <c r="N87" s="59" t="str">
        <f>IFERROR(IF((VLOOKUP(B87,'ECN-ECO_DATA'!B:AD,20,FALSE)-VLOOKUP(B87,'ECN-ECO_DATA'!B:AD,18,FALSE))&gt;0,(VLOOKUP(B87,'ECN-ECO_DATA'!B:AD,20,FALSE)-VLOOKUP(B87,'ECN-ECO_DATA'!B:AD,18,FALSE)),""),"")</f>
        <v/>
      </c>
      <c r="O87" s="59"/>
      <c r="P87" s="59" t="str">
        <f>IFERROR(VLOOKUP(B87,'ECN-ECO_DATA'!B:P,13,FALSE),"")</f>
        <v/>
      </c>
      <c r="Q87" s="43" t="str">
        <f>IFERROR(VLOOKUP(B87,'ECN-ECO_DATA'!B:P,15,FALSE),"")</f>
        <v/>
      </c>
    </row>
    <row r="88" spans="3:17" x14ac:dyDescent="0.25">
      <c r="C88" s="43" t="str">
        <f>IFERROR(VLOOKUP(B88,'ECN-ECO_DATA'!B:C,2,FALSE),"")</f>
        <v/>
      </c>
      <c r="D88" s="43" t="str">
        <f>IFERROR(VLOOKUP(B88,'ECN-ECO_DATA'!B:X,23,FALSE),"")</f>
        <v/>
      </c>
      <c r="E88" s="44" t="str">
        <f>IFERROR(VLOOKUP(B88,'ECN-ECO_DATA'!B:G,5,FALSE),"")</f>
        <v/>
      </c>
      <c r="F88" s="44" t="str">
        <f>IFERROR((IF(VLOOKUP(B88,'ECN-ECO_DATA'!B:G,6,FALSE)="","",VLOOKUP(B88,'ECN-ECO_DATA'!B:G,6,FALSE))),"")</f>
        <v/>
      </c>
      <c r="H88" s="45" t="str">
        <f>IFERROR(VLOOKUP(B88,'ECN-ECO_DATA'!B:G,4,FALSE),"")</f>
        <v/>
      </c>
      <c r="I88" s="46" t="str">
        <f>IFERROR(IF(VLOOKUP(B88,'ECN-ECO_DATA'!B:G,6,FALSE)="","Not started",IF(VLOOKUP(B88,'ECN-ECO_DATA'!B:J,7,FALSE)="","Awaiting First Approval",IF(VLOOKUP(B88,'ECN-ECO_DATA'!B:J,8,FALSE)="","Awaiting Quality Check Approval",IF(VLOOKUP(B88,'ECN-ECO_DATA'!B:J,9,FALSE)="","Awaiting Last Approval",IF(VLOOKUP(B88,'ECN-ECO_DATA'!B:J,9,FALSE)&lt;&gt;"","Approved","Unknown"))))),"")</f>
        <v/>
      </c>
      <c r="K88" s="47" t="str">
        <f>IFERROR(VLOOKUP(B88,'ECN-ECO_DATA'!B:W,22,FALSE),"")</f>
        <v/>
      </c>
      <c r="L88" s="43" t="str">
        <f>IFERROR(IF(VLOOKUP(B88,'ECN-ECO_DATA'!B:AB,27,FALSE)=0,"",VLOOKUP(B88,'ECN-ECO_DATA'!B:AB,27,FALSE)),"")</f>
        <v/>
      </c>
      <c r="M88" s="43" t="str">
        <f>IFERROR(VLOOKUP(B88,'ECN-ECO_DATA'!B:AE,30,FALSE),"")</f>
        <v/>
      </c>
      <c r="N88" s="59" t="str">
        <f>IFERROR(IF((VLOOKUP(B88,'ECN-ECO_DATA'!B:AD,20,FALSE)-VLOOKUP(B88,'ECN-ECO_DATA'!B:AD,18,FALSE))&gt;0,(VLOOKUP(B88,'ECN-ECO_DATA'!B:AD,20,FALSE)-VLOOKUP(B88,'ECN-ECO_DATA'!B:AD,18,FALSE)),""),"")</f>
        <v/>
      </c>
      <c r="O88" s="59"/>
      <c r="P88" s="59" t="str">
        <f>IFERROR(VLOOKUP(B88,'ECN-ECO_DATA'!B:P,13,FALSE),"")</f>
        <v/>
      </c>
      <c r="Q88" s="43" t="str">
        <f>IFERROR(VLOOKUP(B88,'ECN-ECO_DATA'!B:P,15,FALSE),"")</f>
        <v/>
      </c>
    </row>
    <row r="89" spans="3:17" x14ac:dyDescent="0.25">
      <c r="C89" s="43" t="str">
        <f>IFERROR(VLOOKUP(B89,'ECN-ECO_DATA'!B:C,2,FALSE),"")</f>
        <v/>
      </c>
      <c r="D89" s="43" t="str">
        <f>IFERROR(VLOOKUP(B89,'ECN-ECO_DATA'!B:X,23,FALSE),"")</f>
        <v/>
      </c>
      <c r="E89" s="44" t="str">
        <f>IFERROR(VLOOKUP(B89,'ECN-ECO_DATA'!B:G,5,FALSE),"")</f>
        <v/>
      </c>
      <c r="F89" s="44" t="str">
        <f>IFERROR((IF(VLOOKUP(B89,'ECN-ECO_DATA'!B:G,6,FALSE)="","",VLOOKUP(B89,'ECN-ECO_DATA'!B:G,6,FALSE))),"")</f>
        <v/>
      </c>
      <c r="H89" s="45" t="str">
        <f>IFERROR(VLOOKUP(B89,'ECN-ECO_DATA'!B:G,4,FALSE),"")</f>
        <v/>
      </c>
      <c r="I89" s="46" t="str">
        <f>IFERROR(IF(VLOOKUP(B89,'ECN-ECO_DATA'!B:G,6,FALSE)="","Not started",IF(VLOOKUP(B89,'ECN-ECO_DATA'!B:J,7,FALSE)="","Awaiting First Approval",IF(VLOOKUP(B89,'ECN-ECO_DATA'!B:J,8,FALSE)="","Awaiting Quality Check Approval",IF(VLOOKUP(B89,'ECN-ECO_DATA'!B:J,9,FALSE)="","Awaiting Last Approval",IF(VLOOKUP(B89,'ECN-ECO_DATA'!B:J,9,FALSE)&lt;&gt;"","Approved","Unknown"))))),"")</f>
        <v/>
      </c>
      <c r="K89" s="47" t="str">
        <f>IFERROR(VLOOKUP(B89,'ECN-ECO_DATA'!B:W,22,FALSE),"")</f>
        <v/>
      </c>
      <c r="L89" s="43" t="str">
        <f>IFERROR(IF(VLOOKUP(B89,'ECN-ECO_DATA'!B:AB,27,FALSE)=0,"",VLOOKUP(B89,'ECN-ECO_DATA'!B:AB,27,FALSE)),"")</f>
        <v/>
      </c>
      <c r="M89" s="43" t="str">
        <f>IFERROR(VLOOKUP(B89,'ECN-ECO_DATA'!B:AE,30,FALSE),"")</f>
        <v/>
      </c>
      <c r="N89" s="59" t="str">
        <f>IFERROR(IF((VLOOKUP(B89,'ECN-ECO_DATA'!B:AD,20,FALSE)-VLOOKUP(B89,'ECN-ECO_DATA'!B:AD,18,FALSE))&gt;0,(VLOOKUP(B89,'ECN-ECO_DATA'!B:AD,20,FALSE)-VLOOKUP(B89,'ECN-ECO_DATA'!B:AD,18,FALSE)),""),"")</f>
        <v/>
      </c>
      <c r="O89" s="59"/>
      <c r="P89" s="59" t="str">
        <f>IFERROR(VLOOKUP(B89,'ECN-ECO_DATA'!B:P,13,FALSE),"")</f>
        <v/>
      </c>
      <c r="Q89" s="43" t="str">
        <f>IFERROR(VLOOKUP(B89,'ECN-ECO_DATA'!B:P,15,FALSE),"")</f>
        <v/>
      </c>
    </row>
    <row r="90" spans="3:17" x14ac:dyDescent="0.25">
      <c r="C90" s="43" t="str">
        <f>IFERROR(VLOOKUP(B90,'ECN-ECO_DATA'!B:C,2,FALSE),"")</f>
        <v/>
      </c>
      <c r="D90" s="43" t="str">
        <f>IFERROR(VLOOKUP(B90,'ECN-ECO_DATA'!B:X,23,FALSE),"")</f>
        <v/>
      </c>
      <c r="E90" s="44" t="str">
        <f>IFERROR(VLOOKUP(B90,'ECN-ECO_DATA'!B:G,5,FALSE),"")</f>
        <v/>
      </c>
      <c r="F90" s="44" t="str">
        <f>IFERROR((IF(VLOOKUP(B90,'ECN-ECO_DATA'!B:G,6,FALSE)="","",VLOOKUP(B90,'ECN-ECO_DATA'!B:G,6,FALSE))),"")</f>
        <v/>
      </c>
      <c r="H90" s="45" t="str">
        <f>IFERROR(VLOOKUP(B90,'ECN-ECO_DATA'!B:G,4,FALSE),"")</f>
        <v/>
      </c>
      <c r="I90" s="46" t="str">
        <f>IFERROR(IF(VLOOKUP(B90,'ECN-ECO_DATA'!B:G,6,FALSE)="","Not started",IF(VLOOKUP(B90,'ECN-ECO_DATA'!B:J,7,FALSE)="","Awaiting First Approval",IF(VLOOKUP(B90,'ECN-ECO_DATA'!B:J,8,FALSE)="","Awaiting Quality Check Approval",IF(VLOOKUP(B90,'ECN-ECO_DATA'!B:J,9,FALSE)="","Awaiting Last Approval",IF(VLOOKUP(B90,'ECN-ECO_DATA'!B:J,9,FALSE)&lt;&gt;"","Approved","Unknown"))))),"")</f>
        <v/>
      </c>
      <c r="K90" s="47" t="str">
        <f>IFERROR(VLOOKUP(B90,'ECN-ECO_DATA'!B:W,22,FALSE),"")</f>
        <v/>
      </c>
      <c r="L90" s="43" t="str">
        <f>IFERROR(IF(VLOOKUP(B90,'ECN-ECO_DATA'!B:AB,27,FALSE)=0,"",VLOOKUP(B90,'ECN-ECO_DATA'!B:AB,27,FALSE)),"")</f>
        <v/>
      </c>
      <c r="M90" s="43" t="str">
        <f>IFERROR(VLOOKUP(B90,'ECN-ECO_DATA'!B:AE,30,FALSE),"")</f>
        <v/>
      </c>
      <c r="N90" s="59" t="str">
        <f>IFERROR(IF((VLOOKUP(B90,'ECN-ECO_DATA'!B:AD,20,FALSE)-VLOOKUP(B90,'ECN-ECO_DATA'!B:AD,18,FALSE))&gt;0,(VLOOKUP(B90,'ECN-ECO_DATA'!B:AD,20,FALSE)-VLOOKUP(B90,'ECN-ECO_DATA'!B:AD,18,FALSE)),""),"")</f>
        <v/>
      </c>
      <c r="O90" s="59"/>
      <c r="P90" s="59" t="str">
        <f>IFERROR(VLOOKUP(B90,'ECN-ECO_DATA'!B:P,13,FALSE),"")</f>
        <v/>
      </c>
      <c r="Q90" s="43" t="str">
        <f>IFERROR(VLOOKUP(B90,'ECN-ECO_DATA'!B:P,15,FALSE),"")</f>
        <v/>
      </c>
    </row>
    <row r="91" spans="3:17" x14ac:dyDescent="0.25">
      <c r="C91" s="43" t="str">
        <f>IFERROR(VLOOKUP(B91,'ECN-ECO_DATA'!B:C,2,FALSE),"")</f>
        <v/>
      </c>
      <c r="D91" s="43" t="str">
        <f>IFERROR(VLOOKUP(B91,'ECN-ECO_DATA'!B:X,23,FALSE),"")</f>
        <v/>
      </c>
      <c r="E91" s="44" t="str">
        <f>IFERROR(VLOOKUP(B91,'ECN-ECO_DATA'!B:G,5,FALSE),"")</f>
        <v/>
      </c>
      <c r="F91" s="44" t="str">
        <f>IFERROR((IF(VLOOKUP(B91,'ECN-ECO_DATA'!B:G,6,FALSE)="","",VLOOKUP(B91,'ECN-ECO_DATA'!B:G,6,FALSE))),"")</f>
        <v/>
      </c>
      <c r="H91" s="45" t="str">
        <f>IFERROR(VLOOKUP(B91,'ECN-ECO_DATA'!B:G,4,FALSE),"")</f>
        <v/>
      </c>
      <c r="I91" s="46" t="str">
        <f>IFERROR(IF(VLOOKUP(B91,'ECN-ECO_DATA'!B:G,6,FALSE)="","Not started",IF(VLOOKUP(B91,'ECN-ECO_DATA'!B:J,7,FALSE)="","Awaiting First Approval",IF(VLOOKUP(B91,'ECN-ECO_DATA'!B:J,8,FALSE)="","Awaiting Quality Check Approval",IF(VLOOKUP(B91,'ECN-ECO_DATA'!B:J,9,FALSE)="","Awaiting Last Approval",IF(VLOOKUP(B91,'ECN-ECO_DATA'!B:J,9,FALSE)&lt;&gt;"","Approved","Unknown"))))),"")</f>
        <v/>
      </c>
      <c r="K91" s="47" t="str">
        <f>IFERROR(VLOOKUP(B91,'ECN-ECO_DATA'!B:W,22,FALSE),"")</f>
        <v/>
      </c>
      <c r="L91" s="43" t="str">
        <f>IFERROR(IF(VLOOKUP(B91,'ECN-ECO_DATA'!B:AB,27,FALSE)=0,"",VLOOKUP(B91,'ECN-ECO_DATA'!B:AB,27,FALSE)),"")</f>
        <v/>
      </c>
      <c r="M91" s="43" t="str">
        <f>IFERROR(VLOOKUP(B91,'ECN-ECO_DATA'!B:AE,30,FALSE),"")</f>
        <v/>
      </c>
      <c r="N91" s="59" t="str">
        <f>IFERROR(IF((VLOOKUP(B91,'ECN-ECO_DATA'!B:AD,20,FALSE)-VLOOKUP(B91,'ECN-ECO_DATA'!B:AD,18,FALSE))&gt;0,(VLOOKUP(B91,'ECN-ECO_DATA'!B:AD,20,FALSE)-VLOOKUP(B91,'ECN-ECO_DATA'!B:AD,18,FALSE)),""),"")</f>
        <v/>
      </c>
      <c r="O91" s="59"/>
      <c r="P91" s="59" t="str">
        <f>IFERROR(VLOOKUP(B91,'ECN-ECO_DATA'!B:P,13,FALSE),"")</f>
        <v/>
      </c>
      <c r="Q91" s="43" t="str">
        <f>IFERROR(VLOOKUP(B91,'ECN-ECO_DATA'!B:P,15,FALSE),"")</f>
        <v/>
      </c>
    </row>
    <row r="92" spans="3:17" x14ac:dyDescent="0.25">
      <c r="C92" s="43" t="str">
        <f>IFERROR(VLOOKUP(B92,'ECN-ECO_DATA'!B:C,2,FALSE),"")</f>
        <v/>
      </c>
      <c r="D92" s="43" t="str">
        <f>IFERROR(VLOOKUP(B92,'ECN-ECO_DATA'!B:X,23,FALSE),"")</f>
        <v/>
      </c>
      <c r="E92" s="44" t="str">
        <f>IFERROR(VLOOKUP(B92,'ECN-ECO_DATA'!B:G,5,FALSE),"")</f>
        <v/>
      </c>
      <c r="F92" s="44" t="str">
        <f>IFERROR((IF(VLOOKUP(B92,'ECN-ECO_DATA'!B:G,6,FALSE)="","",VLOOKUP(B92,'ECN-ECO_DATA'!B:G,6,FALSE))),"")</f>
        <v/>
      </c>
      <c r="H92" s="45" t="str">
        <f>IFERROR(VLOOKUP(B92,'ECN-ECO_DATA'!B:G,4,FALSE),"")</f>
        <v/>
      </c>
      <c r="I92" s="46" t="str">
        <f>IFERROR(IF(VLOOKUP(B92,'ECN-ECO_DATA'!B:G,6,FALSE)="","Not started",IF(VLOOKUP(B92,'ECN-ECO_DATA'!B:J,7,FALSE)="","Awaiting First Approval",IF(VLOOKUP(B92,'ECN-ECO_DATA'!B:J,8,FALSE)="","Awaiting Quality Check Approval",IF(VLOOKUP(B92,'ECN-ECO_DATA'!B:J,9,FALSE)="","Awaiting Last Approval",IF(VLOOKUP(B92,'ECN-ECO_DATA'!B:J,9,FALSE)&lt;&gt;"","Approved","Unknown"))))),"")</f>
        <v/>
      </c>
      <c r="K92" s="47" t="str">
        <f>IFERROR(VLOOKUP(B92,'ECN-ECO_DATA'!B:W,22,FALSE),"")</f>
        <v/>
      </c>
      <c r="L92" s="43" t="str">
        <f>IFERROR(IF(VLOOKUP(B92,'ECN-ECO_DATA'!B:AB,27,FALSE)=0,"",VLOOKUP(B92,'ECN-ECO_DATA'!B:AB,27,FALSE)),"")</f>
        <v/>
      </c>
      <c r="M92" s="43" t="str">
        <f>IFERROR(VLOOKUP(B92,'ECN-ECO_DATA'!B:AE,30,FALSE),"")</f>
        <v/>
      </c>
      <c r="N92" s="59" t="str">
        <f>IFERROR(IF((VLOOKUP(B92,'ECN-ECO_DATA'!B:AD,20,FALSE)-VLOOKUP(B92,'ECN-ECO_DATA'!B:AD,18,FALSE))&gt;0,(VLOOKUP(B92,'ECN-ECO_DATA'!B:AD,20,FALSE)-VLOOKUP(B92,'ECN-ECO_DATA'!B:AD,18,FALSE)),""),"")</f>
        <v/>
      </c>
      <c r="O92" s="59"/>
      <c r="P92" s="59" t="str">
        <f>IFERROR(VLOOKUP(B92,'ECN-ECO_DATA'!B:P,13,FALSE),"")</f>
        <v/>
      </c>
      <c r="Q92" s="43" t="str">
        <f>IFERROR(VLOOKUP(B92,'ECN-ECO_DATA'!B:P,15,FALSE),"")</f>
        <v/>
      </c>
    </row>
    <row r="93" spans="3:17" x14ac:dyDescent="0.25">
      <c r="C93" s="43" t="str">
        <f>IFERROR(VLOOKUP(B93,'ECN-ECO_DATA'!B:C,2,FALSE),"")</f>
        <v/>
      </c>
      <c r="D93" s="43" t="str">
        <f>IFERROR(VLOOKUP(B93,'ECN-ECO_DATA'!B:X,23,FALSE),"")</f>
        <v/>
      </c>
      <c r="E93" s="44" t="str">
        <f>IFERROR(VLOOKUP(B93,'ECN-ECO_DATA'!B:G,5,FALSE),"")</f>
        <v/>
      </c>
      <c r="F93" s="44" t="str">
        <f>IFERROR((IF(VLOOKUP(B93,'ECN-ECO_DATA'!B:G,6,FALSE)="","",VLOOKUP(B93,'ECN-ECO_DATA'!B:G,6,FALSE))),"")</f>
        <v/>
      </c>
      <c r="H93" s="45" t="str">
        <f>IFERROR(VLOOKUP(B93,'ECN-ECO_DATA'!B:G,4,FALSE),"")</f>
        <v/>
      </c>
      <c r="I93" s="46" t="str">
        <f>IFERROR(IF(VLOOKUP(B93,'ECN-ECO_DATA'!B:G,6,FALSE)="","Not started",IF(VLOOKUP(B93,'ECN-ECO_DATA'!B:J,7,FALSE)="","Awaiting First Approval",IF(VLOOKUP(B93,'ECN-ECO_DATA'!B:J,8,FALSE)="","Awaiting Quality Check Approval",IF(VLOOKUP(B93,'ECN-ECO_DATA'!B:J,9,FALSE)="","Awaiting Last Approval",IF(VLOOKUP(B93,'ECN-ECO_DATA'!B:J,9,FALSE)&lt;&gt;"","Approved","Unknown"))))),"")</f>
        <v/>
      </c>
      <c r="K93" s="47" t="str">
        <f>IFERROR(VLOOKUP(B93,'ECN-ECO_DATA'!B:W,22,FALSE),"")</f>
        <v/>
      </c>
      <c r="L93" s="43" t="str">
        <f>IFERROR(IF(VLOOKUP(B93,'ECN-ECO_DATA'!B:AB,27,FALSE)=0,"",VLOOKUP(B93,'ECN-ECO_DATA'!B:AB,27,FALSE)),"")</f>
        <v/>
      </c>
      <c r="M93" s="43" t="str">
        <f>IFERROR(VLOOKUP(B93,'ECN-ECO_DATA'!B:AE,30,FALSE),"")</f>
        <v/>
      </c>
      <c r="N93" s="59" t="str">
        <f>IFERROR(IF((VLOOKUP(B93,'ECN-ECO_DATA'!B:AD,20,FALSE)-VLOOKUP(B93,'ECN-ECO_DATA'!B:AD,18,FALSE))&gt;0,(VLOOKUP(B93,'ECN-ECO_DATA'!B:AD,20,FALSE)-VLOOKUP(B93,'ECN-ECO_DATA'!B:AD,18,FALSE)),""),"")</f>
        <v/>
      </c>
      <c r="O93" s="59"/>
      <c r="P93" s="59" t="str">
        <f>IFERROR(VLOOKUP(B93,'ECN-ECO_DATA'!B:P,13,FALSE),"")</f>
        <v/>
      </c>
      <c r="Q93" s="43" t="str">
        <f>IFERROR(VLOOKUP(B93,'ECN-ECO_DATA'!B:P,15,FALSE),"")</f>
        <v/>
      </c>
    </row>
    <row r="94" spans="3:17" x14ac:dyDescent="0.25">
      <c r="C94" s="43" t="str">
        <f>IFERROR(VLOOKUP(B94,'ECN-ECO_DATA'!B:C,2,FALSE),"")</f>
        <v/>
      </c>
      <c r="D94" s="43" t="str">
        <f>IFERROR(VLOOKUP(B94,'ECN-ECO_DATA'!B:X,23,FALSE),"")</f>
        <v/>
      </c>
      <c r="E94" s="44" t="str">
        <f>IFERROR(VLOOKUP(B94,'ECN-ECO_DATA'!B:G,5,FALSE),"")</f>
        <v/>
      </c>
      <c r="F94" s="44" t="str">
        <f>IFERROR((IF(VLOOKUP(B94,'ECN-ECO_DATA'!B:G,6,FALSE)="","",VLOOKUP(B94,'ECN-ECO_DATA'!B:G,6,FALSE))),"")</f>
        <v/>
      </c>
      <c r="H94" s="45" t="str">
        <f>IFERROR(VLOOKUP(B94,'ECN-ECO_DATA'!B:G,4,FALSE),"")</f>
        <v/>
      </c>
      <c r="I94" s="46" t="str">
        <f>IFERROR(IF(VLOOKUP(B94,'ECN-ECO_DATA'!B:G,6,FALSE)="","Not started",IF(VLOOKUP(B94,'ECN-ECO_DATA'!B:J,7,FALSE)="","Awaiting First Approval",IF(VLOOKUP(B94,'ECN-ECO_DATA'!B:J,8,FALSE)="","Awaiting Quality Check Approval",IF(VLOOKUP(B94,'ECN-ECO_DATA'!B:J,9,FALSE)="","Awaiting Last Approval",IF(VLOOKUP(B94,'ECN-ECO_DATA'!B:J,9,FALSE)&lt;&gt;"","Approved","Unknown"))))),"")</f>
        <v/>
      </c>
      <c r="K94" s="47" t="str">
        <f>IFERROR(VLOOKUP(B94,'ECN-ECO_DATA'!B:W,22,FALSE),"")</f>
        <v/>
      </c>
      <c r="L94" s="43" t="str">
        <f>IFERROR(IF(VLOOKUP(B94,'ECN-ECO_DATA'!B:AB,27,FALSE)=0,"",VLOOKUP(B94,'ECN-ECO_DATA'!B:AB,27,FALSE)),"")</f>
        <v/>
      </c>
      <c r="M94" s="43" t="str">
        <f>IFERROR(VLOOKUP(B94,'ECN-ECO_DATA'!B:AE,30,FALSE),"")</f>
        <v/>
      </c>
      <c r="N94" s="59" t="str">
        <f>IFERROR(IF((VLOOKUP(B94,'ECN-ECO_DATA'!B:AD,20,FALSE)-VLOOKUP(B94,'ECN-ECO_DATA'!B:AD,18,FALSE))&gt;0,(VLOOKUP(B94,'ECN-ECO_DATA'!B:AD,20,FALSE)-VLOOKUP(B94,'ECN-ECO_DATA'!B:AD,18,FALSE)),""),"")</f>
        <v/>
      </c>
      <c r="O94" s="59"/>
      <c r="P94" s="59" t="str">
        <f>IFERROR(VLOOKUP(B94,'ECN-ECO_DATA'!B:P,13,FALSE),"")</f>
        <v/>
      </c>
      <c r="Q94" s="43" t="str">
        <f>IFERROR(VLOOKUP(B94,'ECN-ECO_DATA'!B:P,15,FALSE),"")</f>
        <v/>
      </c>
    </row>
    <row r="95" spans="3:17" x14ac:dyDescent="0.25">
      <c r="C95" s="43" t="str">
        <f>IFERROR(VLOOKUP(B95,'ECN-ECO_DATA'!B:C,2,FALSE),"")</f>
        <v/>
      </c>
      <c r="D95" s="43" t="str">
        <f>IFERROR(VLOOKUP(B95,'ECN-ECO_DATA'!B:X,23,FALSE),"")</f>
        <v/>
      </c>
      <c r="E95" s="44" t="str">
        <f>IFERROR(VLOOKUP(B95,'ECN-ECO_DATA'!B:G,5,FALSE),"")</f>
        <v/>
      </c>
      <c r="F95" s="44" t="str">
        <f>IFERROR((IF(VLOOKUP(B95,'ECN-ECO_DATA'!B:G,6,FALSE)="","",VLOOKUP(B95,'ECN-ECO_DATA'!B:G,6,FALSE))),"")</f>
        <v/>
      </c>
      <c r="H95" s="45" t="str">
        <f>IFERROR(VLOOKUP(B95,'ECN-ECO_DATA'!B:G,4,FALSE),"")</f>
        <v/>
      </c>
      <c r="I95" s="46" t="str">
        <f>IFERROR(IF(VLOOKUP(B95,'ECN-ECO_DATA'!B:G,6,FALSE)="","Not started",IF(VLOOKUP(B95,'ECN-ECO_DATA'!B:J,7,FALSE)="","Awaiting First Approval",IF(VLOOKUP(B95,'ECN-ECO_DATA'!B:J,8,FALSE)="","Awaiting Quality Check Approval",IF(VLOOKUP(B95,'ECN-ECO_DATA'!B:J,9,FALSE)="","Awaiting Last Approval",IF(VLOOKUP(B95,'ECN-ECO_DATA'!B:J,9,FALSE)&lt;&gt;"","Approved","Unknown"))))),"")</f>
        <v/>
      </c>
      <c r="K95" s="47" t="str">
        <f>IFERROR(VLOOKUP(B95,'ECN-ECO_DATA'!B:W,22,FALSE),"")</f>
        <v/>
      </c>
      <c r="L95" s="43" t="str">
        <f>IFERROR(IF(VLOOKUP(B95,'ECN-ECO_DATA'!B:AB,27,FALSE)=0,"",VLOOKUP(B95,'ECN-ECO_DATA'!B:AB,27,FALSE)),"")</f>
        <v/>
      </c>
      <c r="M95" s="43" t="str">
        <f>IFERROR(VLOOKUP(B95,'ECN-ECO_DATA'!B:AE,30,FALSE),"")</f>
        <v/>
      </c>
      <c r="N95" s="59" t="str">
        <f>IFERROR(IF((VLOOKUP(B95,'ECN-ECO_DATA'!B:AD,20,FALSE)-VLOOKUP(B95,'ECN-ECO_DATA'!B:AD,18,FALSE))&gt;0,(VLOOKUP(B95,'ECN-ECO_DATA'!B:AD,20,FALSE)-VLOOKUP(B95,'ECN-ECO_DATA'!B:AD,18,FALSE)),""),"")</f>
        <v/>
      </c>
      <c r="O95" s="59"/>
      <c r="P95" s="59" t="str">
        <f>IFERROR(VLOOKUP(B95,'ECN-ECO_DATA'!B:P,13,FALSE),"")</f>
        <v/>
      </c>
      <c r="Q95" s="43" t="str">
        <f>IFERROR(VLOOKUP(B95,'ECN-ECO_DATA'!B:P,15,FALSE),"")</f>
        <v/>
      </c>
    </row>
    <row r="96" spans="3:17" x14ac:dyDescent="0.25">
      <c r="C96" s="43" t="str">
        <f>IFERROR(VLOOKUP(B96,'ECN-ECO_DATA'!B:C,2,FALSE),"")</f>
        <v/>
      </c>
      <c r="D96" s="43" t="str">
        <f>IFERROR(VLOOKUP(B96,'ECN-ECO_DATA'!B:X,23,FALSE),"")</f>
        <v/>
      </c>
      <c r="E96" s="44" t="str">
        <f>IFERROR(VLOOKUP(B96,'ECN-ECO_DATA'!B:G,5,FALSE),"")</f>
        <v/>
      </c>
      <c r="F96" s="44" t="str">
        <f>IFERROR((IF(VLOOKUP(B96,'ECN-ECO_DATA'!B:G,6,FALSE)="","",VLOOKUP(B96,'ECN-ECO_DATA'!B:G,6,FALSE))),"")</f>
        <v/>
      </c>
      <c r="H96" s="45" t="str">
        <f>IFERROR(VLOOKUP(B96,'ECN-ECO_DATA'!B:G,4,FALSE),"")</f>
        <v/>
      </c>
      <c r="I96" s="46" t="str">
        <f>IFERROR(IF(VLOOKUP(B96,'ECN-ECO_DATA'!B:G,6,FALSE)="","Not started",IF(VLOOKUP(B96,'ECN-ECO_DATA'!B:J,7,FALSE)="","Awaiting First Approval",IF(VLOOKUP(B96,'ECN-ECO_DATA'!B:J,8,FALSE)="","Awaiting Quality Check Approval",IF(VLOOKUP(B96,'ECN-ECO_DATA'!B:J,9,FALSE)="","Awaiting Last Approval",IF(VLOOKUP(B96,'ECN-ECO_DATA'!B:J,9,FALSE)&lt;&gt;"","Approved","Unknown"))))),"")</f>
        <v/>
      </c>
      <c r="K96" s="47" t="str">
        <f>IFERROR(VLOOKUP(B96,'ECN-ECO_DATA'!B:W,22,FALSE),"")</f>
        <v/>
      </c>
      <c r="L96" s="43" t="str">
        <f>IFERROR(IF(VLOOKUP(B96,'ECN-ECO_DATA'!B:AB,27,FALSE)=0,"",VLOOKUP(B96,'ECN-ECO_DATA'!B:AB,27,FALSE)),"")</f>
        <v/>
      </c>
      <c r="M96" s="43" t="str">
        <f>IFERROR(VLOOKUP(B96,'ECN-ECO_DATA'!B:AE,30,FALSE),"")</f>
        <v/>
      </c>
      <c r="N96" s="59" t="str">
        <f>IFERROR(IF((VLOOKUP(B96,'ECN-ECO_DATA'!B:AD,20,FALSE)-VLOOKUP(B96,'ECN-ECO_DATA'!B:AD,18,FALSE))&gt;0,(VLOOKUP(B96,'ECN-ECO_DATA'!B:AD,20,FALSE)-VLOOKUP(B96,'ECN-ECO_DATA'!B:AD,18,FALSE)),""),"")</f>
        <v/>
      </c>
      <c r="O96" s="59"/>
      <c r="P96" s="59" t="str">
        <f>IFERROR(VLOOKUP(B96,'ECN-ECO_DATA'!B:P,13,FALSE),"")</f>
        <v/>
      </c>
      <c r="Q96" s="43" t="str">
        <f>IFERROR(VLOOKUP(B96,'ECN-ECO_DATA'!B:P,15,FALSE),"")</f>
        <v/>
      </c>
    </row>
    <row r="97" spans="3:17" x14ac:dyDescent="0.25">
      <c r="C97" s="43" t="str">
        <f>IFERROR(VLOOKUP(B97,'ECN-ECO_DATA'!B:C,2,FALSE),"")</f>
        <v/>
      </c>
      <c r="D97" s="43" t="str">
        <f>IFERROR(VLOOKUP(B97,'ECN-ECO_DATA'!B:X,23,FALSE),"")</f>
        <v/>
      </c>
      <c r="E97" s="44" t="str">
        <f>IFERROR(VLOOKUP(B97,'ECN-ECO_DATA'!B:G,5,FALSE),"")</f>
        <v/>
      </c>
      <c r="F97" s="44" t="str">
        <f>IFERROR((IF(VLOOKUP(B97,'ECN-ECO_DATA'!B:G,6,FALSE)="","",VLOOKUP(B97,'ECN-ECO_DATA'!B:G,6,FALSE))),"")</f>
        <v/>
      </c>
      <c r="H97" s="45" t="str">
        <f>IFERROR(VLOOKUP(B97,'ECN-ECO_DATA'!B:G,4,FALSE),"")</f>
        <v/>
      </c>
      <c r="I97" s="46" t="str">
        <f>IFERROR(IF(VLOOKUP(B97,'ECN-ECO_DATA'!B:G,6,FALSE)="","Not started",IF(VLOOKUP(B97,'ECN-ECO_DATA'!B:J,7,FALSE)="","Awaiting First Approval",IF(VLOOKUP(B97,'ECN-ECO_DATA'!B:J,8,FALSE)="","Awaiting Quality Check Approval",IF(VLOOKUP(B97,'ECN-ECO_DATA'!B:J,9,FALSE)="","Awaiting Last Approval",IF(VLOOKUP(B97,'ECN-ECO_DATA'!B:J,9,FALSE)&lt;&gt;"","Approved","Unknown"))))),"")</f>
        <v/>
      </c>
      <c r="K97" s="47" t="str">
        <f>IFERROR(VLOOKUP(B97,'ECN-ECO_DATA'!B:W,22,FALSE),"")</f>
        <v/>
      </c>
      <c r="L97" s="43" t="str">
        <f>IFERROR(IF(VLOOKUP(B97,'ECN-ECO_DATA'!B:AB,27,FALSE)=0,"",VLOOKUP(B97,'ECN-ECO_DATA'!B:AB,27,FALSE)),"")</f>
        <v/>
      </c>
      <c r="M97" s="43" t="str">
        <f>IFERROR(VLOOKUP(B97,'ECN-ECO_DATA'!B:AE,30,FALSE),"")</f>
        <v/>
      </c>
      <c r="N97" s="59" t="str">
        <f>IFERROR(IF((VLOOKUP(B97,'ECN-ECO_DATA'!B:AD,20,FALSE)-VLOOKUP(B97,'ECN-ECO_DATA'!B:AD,18,FALSE))&gt;0,(VLOOKUP(B97,'ECN-ECO_DATA'!B:AD,20,FALSE)-VLOOKUP(B97,'ECN-ECO_DATA'!B:AD,18,FALSE)),""),"")</f>
        <v/>
      </c>
      <c r="O97" s="59"/>
      <c r="P97" s="59" t="str">
        <f>IFERROR(VLOOKUP(B97,'ECN-ECO_DATA'!B:P,13,FALSE),"")</f>
        <v/>
      </c>
      <c r="Q97" s="43" t="str">
        <f>IFERROR(VLOOKUP(B97,'ECN-ECO_DATA'!B:P,15,FALSE),"")</f>
        <v/>
      </c>
    </row>
    <row r="98" spans="3:17" x14ac:dyDescent="0.25">
      <c r="C98" s="43" t="str">
        <f>IFERROR(VLOOKUP(B98,'ECN-ECO_DATA'!B:C,2,FALSE),"")</f>
        <v/>
      </c>
      <c r="D98" s="43" t="str">
        <f>IFERROR(VLOOKUP(B98,'ECN-ECO_DATA'!B:X,23,FALSE),"")</f>
        <v/>
      </c>
      <c r="E98" s="44" t="str">
        <f>IFERROR(VLOOKUP(B98,'ECN-ECO_DATA'!B:G,5,FALSE),"")</f>
        <v/>
      </c>
      <c r="F98" s="44" t="str">
        <f>IFERROR((IF(VLOOKUP(B98,'ECN-ECO_DATA'!B:G,6,FALSE)="","",VLOOKUP(B98,'ECN-ECO_DATA'!B:G,6,FALSE))),"")</f>
        <v/>
      </c>
      <c r="H98" s="45" t="str">
        <f>IFERROR(VLOOKUP(B98,'ECN-ECO_DATA'!B:G,4,FALSE),"")</f>
        <v/>
      </c>
      <c r="I98" s="46" t="str">
        <f>IFERROR(IF(VLOOKUP(B98,'ECN-ECO_DATA'!B:G,6,FALSE)="","Not started",IF(VLOOKUP(B98,'ECN-ECO_DATA'!B:J,7,FALSE)="","Awaiting First Approval",IF(VLOOKUP(B98,'ECN-ECO_DATA'!B:J,8,FALSE)="","Awaiting Quality Check Approval",IF(VLOOKUP(B98,'ECN-ECO_DATA'!B:J,9,FALSE)="","Awaiting Last Approval",IF(VLOOKUP(B98,'ECN-ECO_DATA'!B:J,9,FALSE)&lt;&gt;"","Approved","Unknown"))))),"")</f>
        <v/>
      </c>
      <c r="K98" s="47" t="str">
        <f>IFERROR(VLOOKUP(B98,'ECN-ECO_DATA'!B:W,22,FALSE),"")</f>
        <v/>
      </c>
      <c r="L98" s="43" t="str">
        <f>IFERROR(IF(VLOOKUP(B98,'ECN-ECO_DATA'!B:AB,27,FALSE)=0,"",VLOOKUP(B98,'ECN-ECO_DATA'!B:AB,27,FALSE)),"")</f>
        <v/>
      </c>
      <c r="M98" s="43" t="str">
        <f>IFERROR(VLOOKUP(B98,'ECN-ECO_DATA'!B:AE,30,FALSE),"")</f>
        <v/>
      </c>
      <c r="N98" s="59" t="str">
        <f>IFERROR(IF((VLOOKUP(B98,'ECN-ECO_DATA'!B:AD,20,FALSE)-VLOOKUP(B98,'ECN-ECO_DATA'!B:AD,18,FALSE))&gt;0,(VLOOKUP(B98,'ECN-ECO_DATA'!B:AD,20,FALSE)-VLOOKUP(B98,'ECN-ECO_DATA'!B:AD,18,FALSE)),""),"")</f>
        <v/>
      </c>
      <c r="O98" s="59"/>
      <c r="P98" s="59" t="str">
        <f>IFERROR(VLOOKUP(B98,'ECN-ECO_DATA'!B:P,13,FALSE),"")</f>
        <v/>
      </c>
      <c r="Q98" s="43" t="str">
        <f>IFERROR(VLOOKUP(B98,'ECN-ECO_DATA'!B:P,15,FALSE),"")</f>
        <v/>
      </c>
    </row>
    <row r="99" spans="3:17" x14ac:dyDescent="0.25">
      <c r="C99" s="43" t="str">
        <f>IFERROR(VLOOKUP(B99,'ECN-ECO_DATA'!B:C,2,FALSE),"")</f>
        <v/>
      </c>
      <c r="D99" s="43" t="str">
        <f>IFERROR(VLOOKUP(B99,'ECN-ECO_DATA'!B:X,23,FALSE),"")</f>
        <v/>
      </c>
      <c r="E99" s="44" t="str">
        <f>IFERROR(VLOOKUP(B99,'ECN-ECO_DATA'!B:G,5,FALSE),"")</f>
        <v/>
      </c>
      <c r="F99" s="44" t="str">
        <f>IFERROR((IF(VLOOKUP(B99,'ECN-ECO_DATA'!B:G,6,FALSE)="","",VLOOKUP(B99,'ECN-ECO_DATA'!B:G,6,FALSE))),"")</f>
        <v/>
      </c>
      <c r="H99" s="45" t="str">
        <f>IFERROR(VLOOKUP(B99,'ECN-ECO_DATA'!B:G,4,FALSE),"")</f>
        <v/>
      </c>
      <c r="I99" s="46" t="str">
        <f>IFERROR(IF(VLOOKUP(B99,'ECN-ECO_DATA'!B:G,6,FALSE)="","Not started",IF(VLOOKUP(B99,'ECN-ECO_DATA'!B:J,7,FALSE)="","Awaiting First Approval",IF(VLOOKUP(B99,'ECN-ECO_DATA'!B:J,8,FALSE)="","Awaiting Quality Check Approval",IF(VLOOKUP(B99,'ECN-ECO_DATA'!B:J,9,FALSE)="","Awaiting Last Approval",IF(VLOOKUP(B99,'ECN-ECO_DATA'!B:J,9,FALSE)&lt;&gt;"","Approved","Unknown"))))),"")</f>
        <v/>
      </c>
      <c r="K99" s="47" t="str">
        <f>IFERROR(VLOOKUP(B99,'ECN-ECO_DATA'!B:W,22,FALSE),"")</f>
        <v/>
      </c>
      <c r="L99" s="43" t="str">
        <f>IFERROR(IF(VLOOKUP(B99,'ECN-ECO_DATA'!B:AB,27,FALSE)=0,"",VLOOKUP(B99,'ECN-ECO_DATA'!B:AB,27,FALSE)),"")</f>
        <v/>
      </c>
      <c r="M99" s="43" t="str">
        <f>IFERROR(VLOOKUP(B99,'ECN-ECO_DATA'!B:AE,30,FALSE),"")</f>
        <v/>
      </c>
      <c r="N99" s="59" t="str">
        <f>IFERROR(IF((VLOOKUP(B99,'ECN-ECO_DATA'!B:AD,20,FALSE)-VLOOKUP(B99,'ECN-ECO_DATA'!B:AD,18,FALSE))&gt;0,(VLOOKUP(B99,'ECN-ECO_DATA'!B:AD,20,FALSE)-VLOOKUP(B99,'ECN-ECO_DATA'!B:AD,18,FALSE)),""),"")</f>
        <v/>
      </c>
      <c r="O99" s="59"/>
      <c r="P99" s="59" t="str">
        <f>IFERROR(VLOOKUP(B99,'ECN-ECO_DATA'!B:P,13,FALSE),"")</f>
        <v/>
      </c>
      <c r="Q99" s="43" t="str">
        <f>IFERROR(VLOOKUP(B99,'ECN-ECO_DATA'!B:P,15,FALSE),"")</f>
        <v/>
      </c>
    </row>
    <row r="100" spans="3:17" x14ac:dyDescent="0.25">
      <c r="C100" s="43" t="str">
        <f>IFERROR(VLOOKUP(B100,'ECN-ECO_DATA'!B:C,2,FALSE),"")</f>
        <v/>
      </c>
      <c r="D100" s="43" t="str">
        <f>IFERROR(VLOOKUP(B100,'ECN-ECO_DATA'!B:X,23,FALSE),"")</f>
        <v/>
      </c>
      <c r="E100" s="44" t="str">
        <f>IFERROR(VLOOKUP(B100,'ECN-ECO_DATA'!B:G,5,FALSE),"")</f>
        <v/>
      </c>
      <c r="F100" s="44" t="str">
        <f>IFERROR((IF(VLOOKUP(B100,'ECN-ECO_DATA'!B:G,6,FALSE)="","",VLOOKUP(B100,'ECN-ECO_DATA'!B:G,6,FALSE))),"")</f>
        <v/>
      </c>
      <c r="H100" s="45" t="str">
        <f>IFERROR(VLOOKUP(B100,'ECN-ECO_DATA'!B:G,4,FALSE),"")</f>
        <v/>
      </c>
      <c r="I100" s="46" t="str">
        <f>IFERROR(IF(VLOOKUP(B100,'ECN-ECO_DATA'!B:G,6,FALSE)="","Not started",IF(VLOOKUP(B100,'ECN-ECO_DATA'!B:J,7,FALSE)="","Awaiting First Approval",IF(VLOOKUP(B100,'ECN-ECO_DATA'!B:J,8,FALSE)="","Awaiting Quality Check Approval",IF(VLOOKUP(B100,'ECN-ECO_DATA'!B:J,9,FALSE)="","Awaiting Last Approval",IF(VLOOKUP(B100,'ECN-ECO_DATA'!B:J,9,FALSE)&lt;&gt;"","Approved","Unknown"))))),"")</f>
        <v/>
      </c>
      <c r="K100" s="47" t="str">
        <f>IFERROR(VLOOKUP(B100,'ECN-ECO_DATA'!B:W,22,FALSE),"")</f>
        <v/>
      </c>
      <c r="L100" s="43" t="str">
        <f>IFERROR(IF(VLOOKUP(B100,'ECN-ECO_DATA'!B:AB,27,FALSE)=0,"",VLOOKUP(B100,'ECN-ECO_DATA'!B:AB,27,FALSE)),"")</f>
        <v/>
      </c>
      <c r="M100" s="43" t="str">
        <f>IFERROR(VLOOKUP(B100,'ECN-ECO_DATA'!B:AE,30,FALSE),"")</f>
        <v/>
      </c>
      <c r="N100" s="59" t="str">
        <f>IFERROR(IF((VLOOKUP(B100,'ECN-ECO_DATA'!B:AD,20,FALSE)-VLOOKUP(B100,'ECN-ECO_DATA'!B:AD,18,FALSE))&gt;0,(VLOOKUP(B100,'ECN-ECO_DATA'!B:AD,20,FALSE)-VLOOKUP(B100,'ECN-ECO_DATA'!B:AD,18,FALSE)),""),"")</f>
        <v/>
      </c>
      <c r="O100" s="59"/>
      <c r="P100" s="59" t="str">
        <f>IFERROR(VLOOKUP(B100,'ECN-ECO_DATA'!B:P,13,FALSE),"")</f>
        <v/>
      </c>
      <c r="Q100" s="43" t="str">
        <f>IFERROR(VLOOKUP(B100,'ECN-ECO_DATA'!B:P,15,FALSE),"")</f>
        <v/>
      </c>
    </row>
    <row r="101" spans="3:17" x14ac:dyDescent="0.25">
      <c r="C101" s="43" t="str">
        <f>IFERROR(VLOOKUP(B101,'ECN-ECO_DATA'!B:C,2,FALSE),"")</f>
        <v/>
      </c>
      <c r="D101" s="43" t="str">
        <f>IFERROR(VLOOKUP(B101,'ECN-ECO_DATA'!B:X,23,FALSE),"")</f>
        <v/>
      </c>
      <c r="E101" s="44" t="str">
        <f>IFERROR(VLOOKUP(B101,'ECN-ECO_DATA'!B:G,5,FALSE),"")</f>
        <v/>
      </c>
      <c r="F101" s="44" t="str">
        <f>IFERROR((IF(VLOOKUP(B101,'ECN-ECO_DATA'!B:G,6,FALSE)="","",VLOOKUP(B101,'ECN-ECO_DATA'!B:G,6,FALSE))),"")</f>
        <v/>
      </c>
      <c r="H101" s="45" t="str">
        <f>IFERROR(VLOOKUP(B101,'ECN-ECO_DATA'!B:G,4,FALSE),"")</f>
        <v/>
      </c>
      <c r="I101" s="46" t="str">
        <f>IFERROR(IF(VLOOKUP(B101,'ECN-ECO_DATA'!B:G,6,FALSE)="","Not started",IF(VLOOKUP(B101,'ECN-ECO_DATA'!B:J,7,FALSE)="","Awaiting First Approval",IF(VLOOKUP(B101,'ECN-ECO_DATA'!B:J,8,FALSE)="","Awaiting Quality Check Approval",IF(VLOOKUP(B101,'ECN-ECO_DATA'!B:J,9,FALSE)="","Awaiting Last Approval",IF(VLOOKUP(B101,'ECN-ECO_DATA'!B:J,9,FALSE)&lt;&gt;"","Approved","Unknown"))))),"")</f>
        <v/>
      </c>
      <c r="K101" s="47" t="str">
        <f>IFERROR(VLOOKUP(B101,'ECN-ECO_DATA'!B:W,22,FALSE),"")</f>
        <v/>
      </c>
      <c r="L101" s="43" t="str">
        <f>IFERROR(IF(VLOOKUP(B101,'ECN-ECO_DATA'!B:AB,27,FALSE)=0,"",VLOOKUP(B101,'ECN-ECO_DATA'!B:AB,27,FALSE)),"")</f>
        <v/>
      </c>
      <c r="M101" s="43" t="str">
        <f>IFERROR(VLOOKUP(B101,'ECN-ECO_DATA'!B:AE,30,FALSE),"")</f>
        <v/>
      </c>
      <c r="N101" s="59" t="str">
        <f>IFERROR(IF((VLOOKUP(B101,'ECN-ECO_DATA'!B:AD,20,FALSE)-VLOOKUP(B101,'ECN-ECO_DATA'!B:AD,18,FALSE))&gt;0,(VLOOKUP(B101,'ECN-ECO_DATA'!B:AD,20,FALSE)-VLOOKUP(B101,'ECN-ECO_DATA'!B:AD,18,FALSE)),""),"")</f>
        <v/>
      </c>
      <c r="O101" s="59"/>
      <c r="P101" s="59" t="str">
        <f>IFERROR(VLOOKUP(B101,'ECN-ECO_DATA'!B:P,13,FALSE),"")</f>
        <v/>
      </c>
      <c r="Q101" s="43" t="str">
        <f>IFERROR(VLOOKUP(B101,'ECN-ECO_DATA'!B:P,15,FALSE),"")</f>
        <v/>
      </c>
    </row>
    <row r="102" spans="3:17" x14ac:dyDescent="0.25">
      <c r="C102" s="43" t="str">
        <f>IFERROR(VLOOKUP(B102,'ECN-ECO_DATA'!B:C,2,FALSE),"")</f>
        <v/>
      </c>
      <c r="D102" s="43" t="str">
        <f>IFERROR(VLOOKUP(B102,'ECN-ECO_DATA'!B:X,23,FALSE),"")</f>
        <v/>
      </c>
      <c r="E102" s="44" t="str">
        <f>IFERROR(VLOOKUP(B102,'ECN-ECO_DATA'!B:G,5,FALSE),"")</f>
        <v/>
      </c>
      <c r="F102" s="44" t="str">
        <f>IFERROR((IF(VLOOKUP(B102,'ECN-ECO_DATA'!B:G,6,FALSE)="","",VLOOKUP(B102,'ECN-ECO_DATA'!B:G,6,FALSE))),"")</f>
        <v/>
      </c>
      <c r="H102" s="45" t="str">
        <f>IFERROR(VLOOKUP(B102,'ECN-ECO_DATA'!B:G,4,FALSE),"")</f>
        <v/>
      </c>
      <c r="I102" s="46" t="str">
        <f>IFERROR(IF(VLOOKUP(B102,'ECN-ECO_DATA'!B:G,6,FALSE)="","Not started",IF(VLOOKUP(B102,'ECN-ECO_DATA'!B:J,7,FALSE)="","Awaiting First Approval",IF(VLOOKUP(B102,'ECN-ECO_DATA'!B:J,8,FALSE)="","Awaiting Quality Check Approval",IF(VLOOKUP(B102,'ECN-ECO_DATA'!B:J,9,FALSE)="","Awaiting Last Approval",IF(VLOOKUP(B102,'ECN-ECO_DATA'!B:J,9,FALSE)&lt;&gt;"","Approved","Unknown"))))),"")</f>
        <v/>
      </c>
      <c r="K102" s="47" t="str">
        <f>IFERROR(VLOOKUP(B102,'ECN-ECO_DATA'!B:W,22,FALSE),"")</f>
        <v/>
      </c>
      <c r="L102" s="43" t="str">
        <f>IFERROR(IF(VLOOKUP(B102,'ECN-ECO_DATA'!B:AB,27,FALSE)=0,"",VLOOKUP(B102,'ECN-ECO_DATA'!B:AB,27,FALSE)),"")</f>
        <v/>
      </c>
      <c r="M102" s="43" t="str">
        <f>IFERROR(VLOOKUP(B102,'ECN-ECO_DATA'!B:AE,30,FALSE),"")</f>
        <v/>
      </c>
      <c r="N102" s="59" t="str">
        <f>IFERROR(IF((VLOOKUP(B102,'ECN-ECO_DATA'!B:AD,20,FALSE)-VLOOKUP(B102,'ECN-ECO_DATA'!B:AD,18,FALSE))&gt;0,(VLOOKUP(B102,'ECN-ECO_DATA'!B:AD,20,FALSE)-VLOOKUP(B102,'ECN-ECO_DATA'!B:AD,18,FALSE)),""),"")</f>
        <v/>
      </c>
      <c r="O102" s="59"/>
      <c r="P102" s="59" t="str">
        <f>IFERROR(VLOOKUP(B102,'ECN-ECO_DATA'!B:P,13,FALSE),"")</f>
        <v/>
      </c>
      <c r="Q102" s="43" t="str">
        <f>IFERROR(VLOOKUP(B102,'ECN-ECO_DATA'!B:P,15,FALSE),"")</f>
        <v/>
      </c>
    </row>
    <row r="103" spans="3:17" x14ac:dyDescent="0.25">
      <c r="C103" s="43" t="str">
        <f>IFERROR(VLOOKUP(B103,'ECN-ECO_DATA'!B:C,2,FALSE),"")</f>
        <v/>
      </c>
      <c r="D103" s="43" t="str">
        <f>IFERROR(VLOOKUP(B103,'ECN-ECO_DATA'!B:X,23,FALSE),"")</f>
        <v/>
      </c>
      <c r="E103" s="44" t="str">
        <f>IFERROR(VLOOKUP(B103,'ECN-ECO_DATA'!B:G,5,FALSE),"")</f>
        <v/>
      </c>
      <c r="F103" s="44" t="str">
        <f>IFERROR((IF(VLOOKUP(B103,'ECN-ECO_DATA'!B:G,6,FALSE)="","",VLOOKUP(B103,'ECN-ECO_DATA'!B:G,6,FALSE))),"")</f>
        <v/>
      </c>
      <c r="H103" s="45" t="str">
        <f>IFERROR(VLOOKUP(B103,'ECN-ECO_DATA'!B:G,4,FALSE),"")</f>
        <v/>
      </c>
      <c r="I103" s="46" t="str">
        <f>IFERROR(IF(VLOOKUP(B103,'ECN-ECO_DATA'!B:G,6,FALSE)="","Not started",IF(VLOOKUP(B103,'ECN-ECO_DATA'!B:J,7,FALSE)="","Awaiting First Approval",IF(VLOOKUP(B103,'ECN-ECO_DATA'!B:J,8,FALSE)="","Awaiting Quality Check Approval",IF(VLOOKUP(B103,'ECN-ECO_DATA'!B:J,9,FALSE)="","Awaiting Last Approval",IF(VLOOKUP(B103,'ECN-ECO_DATA'!B:J,9,FALSE)&lt;&gt;"","Approved","Unknown"))))),"")</f>
        <v/>
      </c>
      <c r="K103" s="47" t="str">
        <f>IFERROR(VLOOKUP(B103,'ECN-ECO_DATA'!B:W,22,FALSE),"")</f>
        <v/>
      </c>
      <c r="L103" s="43" t="str">
        <f>IFERROR(IF(VLOOKUP(B103,'ECN-ECO_DATA'!B:AB,27,FALSE)=0,"",VLOOKUP(B103,'ECN-ECO_DATA'!B:AB,27,FALSE)),"")</f>
        <v/>
      </c>
      <c r="M103" s="43" t="str">
        <f>IFERROR(VLOOKUP(B103,'ECN-ECO_DATA'!B:AE,30,FALSE),"")</f>
        <v/>
      </c>
      <c r="N103" s="59" t="str">
        <f>IFERROR(IF((VLOOKUP(B103,'ECN-ECO_DATA'!B:AD,20,FALSE)-VLOOKUP(B103,'ECN-ECO_DATA'!B:AD,18,FALSE))&gt;0,(VLOOKUP(B103,'ECN-ECO_DATA'!B:AD,20,FALSE)-VLOOKUP(B103,'ECN-ECO_DATA'!B:AD,18,FALSE)),""),"")</f>
        <v/>
      </c>
      <c r="O103" s="59"/>
      <c r="P103" s="59" t="str">
        <f>IFERROR(VLOOKUP(B103,'ECN-ECO_DATA'!B:P,13,FALSE),"")</f>
        <v/>
      </c>
      <c r="Q103" s="43" t="str">
        <f>IFERROR(VLOOKUP(B103,'ECN-ECO_DATA'!B:P,15,FALSE),"")</f>
        <v/>
      </c>
    </row>
    <row r="104" spans="3:17" x14ac:dyDescent="0.25">
      <c r="C104" s="43" t="str">
        <f>IFERROR(VLOOKUP(B104,'ECN-ECO_DATA'!B:C,2,FALSE),"")</f>
        <v/>
      </c>
      <c r="D104" s="43" t="str">
        <f>IFERROR(VLOOKUP(B104,'ECN-ECO_DATA'!B:X,23,FALSE),"")</f>
        <v/>
      </c>
      <c r="E104" s="44" t="str">
        <f>IFERROR(VLOOKUP(B104,'ECN-ECO_DATA'!B:G,5,FALSE),"")</f>
        <v/>
      </c>
      <c r="F104" s="44" t="str">
        <f>IFERROR((IF(VLOOKUP(B104,'ECN-ECO_DATA'!B:G,6,FALSE)="","",VLOOKUP(B104,'ECN-ECO_DATA'!B:G,6,FALSE))),"")</f>
        <v/>
      </c>
      <c r="H104" s="45" t="str">
        <f>IFERROR(VLOOKUP(B104,'ECN-ECO_DATA'!B:G,4,FALSE),"")</f>
        <v/>
      </c>
      <c r="I104" s="46" t="str">
        <f>IFERROR(IF(VLOOKUP(B104,'ECN-ECO_DATA'!B:G,6,FALSE)="","Not started",IF(VLOOKUP(B104,'ECN-ECO_DATA'!B:J,7,FALSE)="","Awaiting First Approval",IF(VLOOKUP(B104,'ECN-ECO_DATA'!B:J,8,FALSE)="","Awaiting Quality Check Approval",IF(VLOOKUP(B104,'ECN-ECO_DATA'!B:J,9,FALSE)="","Awaiting Last Approval",IF(VLOOKUP(B104,'ECN-ECO_DATA'!B:J,9,FALSE)&lt;&gt;"","Approved","Unknown"))))),"")</f>
        <v/>
      </c>
      <c r="K104" s="47" t="str">
        <f>IFERROR(VLOOKUP(B104,'ECN-ECO_DATA'!B:W,22,FALSE),"")</f>
        <v/>
      </c>
      <c r="L104" s="43" t="str">
        <f>IFERROR(IF(VLOOKUP(B104,'ECN-ECO_DATA'!B:AB,27,FALSE)=0,"",VLOOKUP(B104,'ECN-ECO_DATA'!B:AB,27,FALSE)),"")</f>
        <v/>
      </c>
      <c r="M104" s="43" t="str">
        <f>IFERROR(VLOOKUP(B104,'ECN-ECO_DATA'!B:AE,30,FALSE),"")</f>
        <v/>
      </c>
      <c r="N104" s="59" t="str">
        <f>IFERROR(IF((VLOOKUP(B104,'ECN-ECO_DATA'!B:AD,20,FALSE)-VLOOKUP(B104,'ECN-ECO_DATA'!B:AD,18,FALSE))&gt;0,(VLOOKUP(B104,'ECN-ECO_DATA'!B:AD,20,FALSE)-VLOOKUP(B104,'ECN-ECO_DATA'!B:AD,18,FALSE)),""),"")</f>
        <v/>
      </c>
      <c r="O104" s="59"/>
      <c r="P104" s="59" t="str">
        <f>IFERROR(VLOOKUP(B104,'ECN-ECO_DATA'!B:P,13,FALSE),"")</f>
        <v/>
      </c>
      <c r="Q104" s="43" t="str">
        <f>IFERROR(VLOOKUP(B104,'ECN-ECO_DATA'!B:P,15,FALSE),"")</f>
        <v/>
      </c>
    </row>
    <row r="105" spans="3:17" x14ac:dyDescent="0.25">
      <c r="C105" s="43" t="str">
        <f>IFERROR(VLOOKUP(B105,'ECN-ECO_DATA'!B:C,2,FALSE),"")</f>
        <v/>
      </c>
      <c r="D105" s="43" t="str">
        <f>IFERROR(VLOOKUP(B105,'ECN-ECO_DATA'!B:X,23,FALSE),"")</f>
        <v/>
      </c>
      <c r="E105" s="44" t="str">
        <f>IFERROR(VLOOKUP(B105,'ECN-ECO_DATA'!B:G,5,FALSE),"")</f>
        <v/>
      </c>
      <c r="F105" s="44" t="str">
        <f>IFERROR((IF(VLOOKUP(B105,'ECN-ECO_DATA'!B:G,6,FALSE)="","",VLOOKUP(B105,'ECN-ECO_DATA'!B:G,6,FALSE))),"")</f>
        <v/>
      </c>
      <c r="H105" s="45" t="str">
        <f>IFERROR(VLOOKUP(B105,'ECN-ECO_DATA'!B:G,4,FALSE),"")</f>
        <v/>
      </c>
      <c r="I105" s="46" t="str">
        <f>IFERROR(IF(VLOOKUP(B105,'ECN-ECO_DATA'!B:G,6,FALSE)="","Not started",IF(VLOOKUP(B105,'ECN-ECO_DATA'!B:J,7,FALSE)="","Awaiting First Approval",IF(VLOOKUP(B105,'ECN-ECO_DATA'!B:J,8,FALSE)="","Awaiting Quality Check Approval",IF(VLOOKUP(B105,'ECN-ECO_DATA'!B:J,9,FALSE)="","Awaiting Last Approval",IF(VLOOKUP(B105,'ECN-ECO_DATA'!B:J,9,FALSE)&lt;&gt;"","Approved","Unknown"))))),"")</f>
        <v/>
      </c>
      <c r="K105" s="47" t="str">
        <f>IFERROR(VLOOKUP(B105,'ECN-ECO_DATA'!B:W,22,FALSE),"")</f>
        <v/>
      </c>
      <c r="L105" s="43" t="str">
        <f>IFERROR(IF(VLOOKUP(B105,'ECN-ECO_DATA'!B:AB,27,FALSE)=0,"",VLOOKUP(B105,'ECN-ECO_DATA'!B:AB,27,FALSE)),"")</f>
        <v/>
      </c>
      <c r="M105" s="43" t="str">
        <f>IFERROR(VLOOKUP(B105,'ECN-ECO_DATA'!B:AE,30,FALSE),"")</f>
        <v/>
      </c>
      <c r="N105" s="59" t="str">
        <f>IFERROR(IF((VLOOKUP(B105,'ECN-ECO_DATA'!B:AD,20,FALSE)-VLOOKUP(B105,'ECN-ECO_DATA'!B:AD,18,FALSE))&gt;0,(VLOOKUP(B105,'ECN-ECO_DATA'!B:AD,20,FALSE)-VLOOKUP(B105,'ECN-ECO_DATA'!B:AD,18,FALSE)),""),"")</f>
        <v/>
      </c>
      <c r="O105" s="59"/>
      <c r="P105" s="59" t="str">
        <f>IFERROR(VLOOKUP(B105,'ECN-ECO_DATA'!B:P,13,FALSE),"")</f>
        <v/>
      </c>
      <c r="Q105" s="43" t="str">
        <f>IFERROR(VLOOKUP(B105,'ECN-ECO_DATA'!B:P,15,FALSE),"")</f>
        <v/>
      </c>
    </row>
    <row r="106" spans="3:17" x14ac:dyDescent="0.25">
      <c r="C106" s="43" t="str">
        <f>IFERROR(VLOOKUP(B106,'ECN-ECO_DATA'!B:C,2,FALSE),"")</f>
        <v/>
      </c>
      <c r="D106" s="43" t="str">
        <f>IFERROR(VLOOKUP(B106,'ECN-ECO_DATA'!B:X,23,FALSE),"")</f>
        <v/>
      </c>
      <c r="E106" s="44" t="str">
        <f>IFERROR(VLOOKUP(B106,'ECN-ECO_DATA'!B:G,5,FALSE),"")</f>
        <v/>
      </c>
      <c r="F106" s="44" t="str">
        <f>IFERROR((IF(VLOOKUP(B106,'ECN-ECO_DATA'!B:G,6,FALSE)="","",VLOOKUP(B106,'ECN-ECO_DATA'!B:G,6,FALSE))),"")</f>
        <v/>
      </c>
      <c r="H106" s="45" t="str">
        <f>IFERROR(VLOOKUP(B106,'ECN-ECO_DATA'!B:G,4,FALSE),"")</f>
        <v/>
      </c>
      <c r="I106" s="46" t="str">
        <f>IFERROR(IF(VLOOKUP(B106,'ECN-ECO_DATA'!B:G,6,FALSE)="","Not started",IF(VLOOKUP(B106,'ECN-ECO_DATA'!B:J,7,FALSE)="","Awaiting First Approval",IF(VLOOKUP(B106,'ECN-ECO_DATA'!B:J,8,FALSE)="","Awaiting Quality Check Approval",IF(VLOOKUP(B106,'ECN-ECO_DATA'!B:J,9,FALSE)="","Awaiting Last Approval",IF(VLOOKUP(B106,'ECN-ECO_DATA'!B:J,9,FALSE)&lt;&gt;"","Approved","Unknown"))))),"")</f>
        <v/>
      </c>
      <c r="K106" s="47" t="str">
        <f>IFERROR(VLOOKUP(B106,'ECN-ECO_DATA'!B:W,22,FALSE),"")</f>
        <v/>
      </c>
      <c r="L106" s="43" t="str">
        <f>IFERROR(IF(VLOOKUP(B106,'ECN-ECO_DATA'!B:AB,27,FALSE)=0,"",VLOOKUP(B106,'ECN-ECO_DATA'!B:AB,27,FALSE)),"")</f>
        <v/>
      </c>
      <c r="M106" s="43" t="str">
        <f>IFERROR(VLOOKUP(B106,'ECN-ECO_DATA'!B:AE,30,FALSE),"")</f>
        <v/>
      </c>
      <c r="N106" s="59" t="str">
        <f>IFERROR(IF((VLOOKUP(B106,'ECN-ECO_DATA'!B:AD,20,FALSE)-VLOOKUP(B106,'ECN-ECO_DATA'!B:AD,18,FALSE))&gt;0,(VLOOKUP(B106,'ECN-ECO_DATA'!B:AD,20,FALSE)-VLOOKUP(B106,'ECN-ECO_DATA'!B:AD,18,FALSE)),""),"")</f>
        <v/>
      </c>
      <c r="O106" s="59"/>
      <c r="P106" s="59" t="str">
        <f>IFERROR(VLOOKUP(B106,'ECN-ECO_DATA'!B:P,13,FALSE),"")</f>
        <v/>
      </c>
      <c r="Q106" s="43" t="str">
        <f>IFERROR(VLOOKUP(B106,'ECN-ECO_DATA'!B:P,15,FALSE),"")</f>
        <v/>
      </c>
    </row>
    <row r="107" spans="3:17" x14ac:dyDescent="0.25">
      <c r="C107" s="43" t="str">
        <f>IFERROR(VLOOKUP(B107,'ECN-ECO_DATA'!B:C,2,FALSE),"")</f>
        <v/>
      </c>
      <c r="D107" s="43" t="str">
        <f>IFERROR(VLOOKUP(B107,'ECN-ECO_DATA'!B:X,23,FALSE),"")</f>
        <v/>
      </c>
      <c r="E107" s="44" t="str">
        <f>IFERROR(VLOOKUP(B107,'ECN-ECO_DATA'!B:G,5,FALSE),"")</f>
        <v/>
      </c>
      <c r="F107" s="44" t="str">
        <f>IFERROR((IF(VLOOKUP(B107,'ECN-ECO_DATA'!B:G,6,FALSE)="","",VLOOKUP(B107,'ECN-ECO_DATA'!B:G,6,FALSE))),"")</f>
        <v/>
      </c>
      <c r="H107" s="45" t="str">
        <f>IFERROR(VLOOKUP(B107,'ECN-ECO_DATA'!B:G,4,FALSE),"")</f>
        <v/>
      </c>
      <c r="I107" s="46" t="str">
        <f>IFERROR(IF(VLOOKUP(B107,'ECN-ECO_DATA'!B:G,6,FALSE)="","Not started",IF(VLOOKUP(B107,'ECN-ECO_DATA'!B:J,7,FALSE)="","Awaiting First Approval",IF(VLOOKUP(B107,'ECN-ECO_DATA'!B:J,8,FALSE)="","Awaiting Quality Check Approval",IF(VLOOKUP(B107,'ECN-ECO_DATA'!B:J,9,FALSE)="","Awaiting Last Approval",IF(VLOOKUP(B107,'ECN-ECO_DATA'!B:J,9,FALSE)&lt;&gt;"","Approved","Unknown"))))),"")</f>
        <v/>
      </c>
      <c r="K107" s="47" t="str">
        <f>IFERROR(VLOOKUP(B107,'ECN-ECO_DATA'!B:W,22,FALSE),"")</f>
        <v/>
      </c>
      <c r="L107" s="43" t="str">
        <f>IFERROR(IF(VLOOKUP(B107,'ECN-ECO_DATA'!B:AB,27,FALSE)=0,"",VLOOKUP(B107,'ECN-ECO_DATA'!B:AB,27,FALSE)),"")</f>
        <v/>
      </c>
      <c r="M107" s="43" t="str">
        <f>IFERROR(VLOOKUP(B107,'ECN-ECO_DATA'!B:AE,30,FALSE),"")</f>
        <v/>
      </c>
      <c r="N107" s="59" t="str">
        <f>IFERROR(IF((VLOOKUP(B107,'ECN-ECO_DATA'!B:AD,20,FALSE)-VLOOKUP(B107,'ECN-ECO_DATA'!B:AD,18,FALSE))&gt;0,(VLOOKUP(B107,'ECN-ECO_DATA'!B:AD,20,FALSE)-VLOOKUP(B107,'ECN-ECO_DATA'!B:AD,18,FALSE)),""),"")</f>
        <v/>
      </c>
      <c r="O107" s="59"/>
      <c r="P107" s="59" t="str">
        <f>IFERROR(VLOOKUP(B107,'ECN-ECO_DATA'!B:P,13,FALSE),"")</f>
        <v/>
      </c>
      <c r="Q107" s="43" t="str">
        <f>IFERROR(VLOOKUP(B107,'ECN-ECO_DATA'!B:P,15,FALSE),"")</f>
        <v/>
      </c>
    </row>
    <row r="108" spans="3:17" x14ac:dyDescent="0.25">
      <c r="C108" s="43" t="str">
        <f>IFERROR(VLOOKUP(B108,'ECN-ECO_DATA'!B:C,2,FALSE),"")</f>
        <v/>
      </c>
      <c r="D108" s="43" t="str">
        <f>IFERROR(VLOOKUP(B108,'ECN-ECO_DATA'!B:X,23,FALSE),"")</f>
        <v/>
      </c>
      <c r="E108" s="44" t="str">
        <f>IFERROR(VLOOKUP(B108,'ECN-ECO_DATA'!B:G,5,FALSE),"")</f>
        <v/>
      </c>
      <c r="F108" s="44" t="str">
        <f>IFERROR((IF(VLOOKUP(B108,'ECN-ECO_DATA'!B:G,6,FALSE)="","",VLOOKUP(B108,'ECN-ECO_DATA'!B:G,6,FALSE))),"")</f>
        <v/>
      </c>
      <c r="H108" s="45" t="str">
        <f>IFERROR(VLOOKUP(B108,'ECN-ECO_DATA'!B:G,4,FALSE),"")</f>
        <v/>
      </c>
      <c r="I108" s="46" t="str">
        <f>IFERROR(IF(VLOOKUP(B108,'ECN-ECO_DATA'!B:G,6,FALSE)="","Not started",IF(VLOOKUP(B108,'ECN-ECO_DATA'!B:J,7,FALSE)="","Awaiting First Approval",IF(VLOOKUP(B108,'ECN-ECO_DATA'!B:J,8,FALSE)="","Awaiting Quality Check Approval",IF(VLOOKUP(B108,'ECN-ECO_DATA'!B:J,9,FALSE)="","Awaiting Last Approval",IF(VLOOKUP(B108,'ECN-ECO_DATA'!B:J,9,FALSE)&lt;&gt;"","Approved","Unknown"))))),"")</f>
        <v/>
      </c>
      <c r="K108" s="47" t="str">
        <f>IFERROR(VLOOKUP(B108,'ECN-ECO_DATA'!B:W,22,FALSE),"")</f>
        <v/>
      </c>
      <c r="L108" s="43" t="str">
        <f>IFERROR(IF(VLOOKUP(B108,'ECN-ECO_DATA'!B:AB,27,FALSE)=0,"",VLOOKUP(B108,'ECN-ECO_DATA'!B:AB,27,FALSE)),"")</f>
        <v/>
      </c>
      <c r="M108" s="43" t="str">
        <f>IFERROR(VLOOKUP(B108,'ECN-ECO_DATA'!B:AE,30,FALSE),"")</f>
        <v/>
      </c>
      <c r="N108" s="59" t="str">
        <f>IFERROR(IF((VLOOKUP(B108,'ECN-ECO_DATA'!B:AD,20,FALSE)-VLOOKUP(B108,'ECN-ECO_DATA'!B:AD,18,FALSE))&gt;0,(VLOOKUP(B108,'ECN-ECO_DATA'!B:AD,20,FALSE)-VLOOKUP(B108,'ECN-ECO_DATA'!B:AD,18,FALSE)),""),"")</f>
        <v/>
      </c>
      <c r="O108" s="59"/>
      <c r="P108" s="59" t="str">
        <f>IFERROR(VLOOKUP(B108,'ECN-ECO_DATA'!B:P,13,FALSE),"")</f>
        <v/>
      </c>
      <c r="Q108" s="43" t="str">
        <f>IFERROR(VLOOKUP(B108,'ECN-ECO_DATA'!B:P,15,FALSE),"")</f>
        <v/>
      </c>
    </row>
    <row r="109" spans="3:17" x14ac:dyDescent="0.25">
      <c r="C109" s="43" t="str">
        <f>IFERROR(VLOOKUP(B109,'ECN-ECO_DATA'!B:C,2,FALSE),"")</f>
        <v/>
      </c>
      <c r="D109" s="43" t="str">
        <f>IFERROR(VLOOKUP(B109,'ECN-ECO_DATA'!B:X,23,FALSE),"")</f>
        <v/>
      </c>
      <c r="E109" s="44" t="str">
        <f>IFERROR(VLOOKUP(B109,'ECN-ECO_DATA'!B:G,5,FALSE),"")</f>
        <v/>
      </c>
      <c r="F109" s="44" t="str">
        <f>IFERROR((IF(VLOOKUP(B109,'ECN-ECO_DATA'!B:G,6,FALSE)="","",VLOOKUP(B109,'ECN-ECO_DATA'!B:G,6,FALSE))),"")</f>
        <v/>
      </c>
      <c r="H109" s="45" t="str">
        <f>IFERROR(VLOOKUP(B109,'ECN-ECO_DATA'!B:G,4,FALSE),"")</f>
        <v/>
      </c>
      <c r="I109" s="46" t="str">
        <f>IFERROR(IF(VLOOKUP(B109,'ECN-ECO_DATA'!B:G,6,FALSE)="","Not started",IF(VLOOKUP(B109,'ECN-ECO_DATA'!B:J,7,FALSE)="","Awaiting First Approval",IF(VLOOKUP(B109,'ECN-ECO_DATA'!B:J,8,FALSE)="","Awaiting Quality Check Approval",IF(VLOOKUP(B109,'ECN-ECO_DATA'!B:J,9,FALSE)="","Awaiting Last Approval",IF(VLOOKUP(B109,'ECN-ECO_DATA'!B:J,9,FALSE)&lt;&gt;"","Approved","Unknown"))))),"")</f>
        <v/>
      </c>
      <c r="K109" s="47" t="str">
        <f>IFERROR(VLOOKUP(B109,'ECN-ECO_DATA'!B:W,22,FALSE),"")</f>
        <v/>
      </c>
      <c r="L109" s="43" t="str">
        <f>IFERROR(IF(VLOOKUP(B109,'ECN-ECO_DATA'!B:AB,27,FALSE)=0,"",VLOOKUP(B109,'ECN-ECO_DATA'!B:AB,27,FALSE)),"")</f>
        <v/>
      </c>
      <c r="M109" s="43" t="str">
        <f>IFERROR(VLOOKUP(B109,'ECN-ECO_DATA'!B:AE,30,FALSE),"")</f>
        <v/>
      </c>
      <c r="N109" s="59" t="str">
        <f>IFERROR(IF((VLOOKUP(B109,'ECN-ECO_DATA'!B:AD,20,FALSE)-VLOOKUP(B109,'ECN-ECO_DATA'!B:AD,18,FALSE))&gt;0,(VLOOKUP(B109,'ECN-ECO_DATA'!B:AD,20,FALSE)-VLOOKUP(B109,'ECN-ECO_DATA'!B:AD,18,FALSE)),""),"")</f>
        <v/>
      </c>
      <c r="O109" s="59"/>
      <c r="P109" s="59" t="str">
        <f>IFERROR(VLOOKUP(B109,'ECN-ECO_DATA'!B:P,13,FALSE),"")</f>
        <v/>
      </c>
      <c r="Q109" s="43" t="str">
        <f>IFERROR(VLOOKUP(B109,'ECN-ECO_DATA'!B:P,15,FALSE),"")</f>
        <v/>
      </c>
    </row>
    <row r="110" spans="3:17" x14ac:dyDescent="0.25">
      <c r="C110" s="43" t="str">
        <f>IFERROR(VLOOKUP(B110,'ECN-ECO_DATA'!B:C,2,FALSE),"")</f>
        <v/>
      </c>
      <c r="D110" s="43" t="str">
        <f>IFERROR(VLOOKUP(B110,'ECN-ECO_DATA'!B:X,23,FALSE),"")</f>
        <v/>
      </c>
      <c r="E110" s="44" t="str">
        <f>IFERROR(VLOOKUP(B110,'ECN-ECO_DATA'!B:G,5,FALSE),"")</f>
        <v/>
      </c>
      <c r="F110" s="44" t="str">
        <f>IFERROR((IF(VLOOKUP(B110,'ECN-ECO_DATA'!B:G,6,FALSE)="","",VLOOKUP(B110,'ECN-ECO_DATA'!B:G,6,FALSE))),"")</f>
        <v/>
      </c>
      <c r="H110" s="45" t="str">
        <f>IFERROR(VLOOKUP(B110,'ECN-ECO_DATA'!B:G,4,FALSE),"")</f>
        <v/>
      </c>
      <c r="I110" s="46" t="str">
        <f>IFERROR(IF(VLOOKUP(B110,'ECN-ECO_DATA'!B:G,6,FALSE)="","Not started",IF(VLOOKUP(B110,'ECN-ECO_DATA'!B:J,7,FALSE)="","Awaiting First Approval",IF(VLOOKUP(B110,'ECN-ECO_DATA'!B:J,8,FALSE)="","Awaiting Quality Check Approval",IF(VLOOKUP(B110,'ECN-ECO_DATA'!B:J,9,FALSE)="","Awaiting Last Approval",IF(VLOOKUP(B110,'ECN-ECO_DATA'!B:J,9,FALSE)&lt;&gt;"","Approved","Unknown"))))),"")</f>
        <v/>
      </c>
      <c r="K110" s="47" t="str">
        <f>IFERROR(VLOOKUP(B110,'ECN-ECO_DATA'!B:W,22,FALSE),"")</f>
        <v/>
      </c>
      <c r="L110" s="43" t="str">
        <f>IFERROR(IF(VLOOKUP(B110,'ECN-ECO_DATA'!B:AB,27,FALSE)=0,"",VLOOKUP(B110,'ECN-ECO_DATA'!B:AB,27,FALSE)),"")</f>
        <v/>
      </c>
      <c r="M110" s="43" t="str">
        <f>IFERROR(VLOOKUP(B110,'ECN-ECO_DATA'!B:AE,30,FALSE),"")</f>
        <v/>
      </c>
      <c r="N110" s="59" t="str">
        <f>IFERROR(IF((VLOOKUP(B110,'ECN-ECO_DATA'!B:AD,20,FALSE)-VLOOKUP(B110,'ECN-ECO_DATA'!B:AD,18,FALSE))&gt;0,(VLOOKUP(B110,'ECN-ECO_DATA'!B:AD,20,FALSE)-VLOOKUP(B110,'ECN-ECO_DATA'!B:AD,18,FALSE)),""),"")</f>
        <v/>
      </c>
      <c r="O110" s="59"/>
      <c r="P110" s="59" t="str">
        <f>IFERROR(VLOOKUP(B110,'ECN-ECO_DATA'!B:P,13,FALSE),"")</f>
        <v/>
      </c>
      <c r="Q110" s="43" t="str">
        <f>IFERROR(VLOOKUP(B110,'ECN-ECO_DATA'!B:P,15,FALSE),"")</f>
        <v/>
      </c>
    </row>
    <row r="111" spans="3:17" x14ac:dyDescent="0.25">
      <c r="C111" s="43" t="str">
        <f>IFERROR(VLOOKUP(B111,'ECN-ECO_DATA'!B:C,2,FALSE),"")</f>
        <v/>
      </c>
      <c r="D111" s="43" t="str">
        <f>IFERROR(VLOOKUP(B111,'ECN-ECO_DATA'!B:X,23,FALSE),"")</f>
        <v/>
      </c>
      <c r="E111" s="44" t="str">
        <f>IFERROR(VLOOKUP(B111,'ECN-ECO_DATA'!B:G,5,FALSE),"")</f>
        <v/>
      </c>
      <c r="F111" s="44" t="str">
        <f>IFERROR((IF(VLOOKUP(B111,'ECN-ECO_DATA'!B:G,6,FALSE)="","",VLOOKUP(B111,'ECN-ECO_DATA'!B:G,6,FALSE))),"")</f>
        <v/>
      </c>
      <c r="H111" s="45" t="str">
        <f>IFERROR(VLOOKUP(B111,'ECN-ECO_DATA'!B:G,4,FALSE),"")</f>
        <v/>
      </c>
      <c r="I111" s="46" t="str">
        <f>IFERROR(IF(VLOOKUP(B111,'ECN-ECO_DATA'!B:G,6,FALSE)="","Not started",IF(VLOOKUP(B111,'ECN-ECO_DATA'!B:J,7,FALSE)="","Awaiting First Approval",IF(VLOOKUP(B111,'ECN-ECO_DATA'!B:J,8,FALSE)="","Awaiting Quality Check Approval",IF(VLOOKUP(B111,'ECN-ECO_DATA'!B:J,9,FALSE)="","Awaiting Last Approval",IF(VLOOKUP(B111,'ECN-ECO_DATA'!B:J,9,FALSE)&lt;&gt;"","Approved","Unknown"))))),"")</f>
        <v/>
      </c>
      <c r="K111" s="47" t="str">
        <f>IFERROR(VLOOKUP(B111,'ECN-ECO_DATA'!B:W,22,FALSE),"")</f>
        <v/>
      </c>
      <c r="L111" s="43" t="str">
        <f>IFERROR(IF(VLOOKUP(B111,'ECN-ECO_DATA'!B:AB,27,FALSE)=0,"",VLOOKUP(B111,'ECN-ECO_DATA'!B:AB,27,FALSE)),"")</f>
        <v/>
      </c>
      <c r="M111" s="43" t="str">
        <f>IFERROR(VLOOKUP(B111,'ECN-ECO_DATA'!B:AE,30,FALSE),"")</f>
        <v/>
      </c>
      <c r="N111" s="59" t="str">
        <f>IFERROR(IF((VLOOKUP(B111,'ECN-ECO_DATA'!B:AD,20,FALSE)-VLOOKUP(B111,'ECN-ECO_DATA'!B:AD,18,FALSE))&gt;0,(VLOOKUP(B111,'ECN-ECO_DATA'!B:AD,20,FALSE)-VLOOKUP(B111,'ECN-ECO_DATA'!B:AD,18,FALSE)),""),"")</f>
        <v/>
      </c>
      <c r="O111" s="59"/>
      <c r="P111" s="59" t="str">
        <f>IFERROR(VLOOKUP(B111,'ECN-ECO_DATA'!B:P,13,FALSE),"")</f>
        <v/>
      </c>
      <c r="Q111" s="43" t="str">
        <f>IFERROR(VLOOKUP(B111,'ECN-ECO_DATA'!B:P,15,FALSE),"")</f>
        <v/>
      </c>
    </row>
    <row r="112" spans="3:17" x14ac:dyDescent="0.25">
      <c r="C112" s="43" t="str">
        <f>IFERROR(VLOOKUP(B112,'ECN-ECO_DATA'!B:C,2,FALSE),"")</f>
        <v/>
      </c>
      <c r="D112" s="43" t="str">
        <f>IFERROR(VLOOKUP(B112,'ECN-ECO_DATA'!B:X,23,FALSE),"")</f>
        <v/>
      </c>
      <c r="E112" s="44" t="str">
        <f>IFERROR(VLOOKUP(B112,'ECN-ECO_DATA'!B:G,5,FALSE),"")</f>
        <v/>
      </c>
      <c r="F112" s="44" t="str">
        <f>IFERROR((IF(VLOOKUP(B112,'ECN-ECO_DATA'!B:G,6,FALSE)="","",VLOOKUP(B112,'ECN-ECO_DATA'!B:G,6,FALSE))),"")</f>
        <v/>
      </c>
      <c r="H112" s="45" t="str">
        <f>IFERROR(VLOOKUP(B112,'ECN-ECO_DATA'!B:G,4,FALSE),"")</f>
        <v/>
      </c>
      <c r="I112" s="46" t="str">
        <f>IFERROR(IF(VLOOKUP(B112,'ECN-ECO_DATA'!B:G,6,FALSE)="","Not started",IF(VLOOKUP(B112,'ECN-ECO_DATA'!B:J,7,FALSE)="","Awaiting First Approval",IF(VLOOKUP(B112,'ECN-ECO_DATA'!B:J,8,FALSE)="","Awaiting Quality Check Approval",IF(VLOOKUP(B112,'ECN-ECO_DATA'!B:J,9,FALSE)="","Awaiting Last Approval",IF(VLOOKUP(B112,'ECN-ECO_DATA'!B:J,9,FALSE)&lt;&gt;"","Approved","Unknown"))))),"")</f>
        <v/>
      </c>
      <c r="K112" s="47" t="str">
        <f>IFERROR(VLOOKUP(B112,'ECN-ECO_DATA'!B:W,22,FALSE),"")</f>
        <v/>
      </c>
      <c r="L112" s="43" t="str">
        <f>IFERROR(IF(VLOOKUP(B112,'ECN-ECO_DATA'!B:AB,27,FALSE)=0,"",VLOOKUP(B112,'ECN-ECO_DATA'!B:AB,27,FALSE)),"")</f>
        <v/>
      </c>
      <c r="M112" s="43" t="str">
        <f>IFERROR(VLOOKUP(B112,'ECN-ECO_DATA'!B:AE,30,FALSE),"")</f>
        <v/>
      </c>
      <c r="N112" s="59" t="str">
        <f>IFERROR(IF((VLOOKUP(B112,'ECN-ECO_DATA'!B:AD,20,FALSE)-VLOOKUP(B112,'ECN-ECO_DATA'!B:AD,18,FALSE))&gt;0,(VLOOKUP(B112,'ECN-ECO_DATA'!B:AD,20,FALSE)-VLOOKUP(B112,'ECN-ECO_DATA'!B:AD,18,FALSE)),""),"")</f>
        <v/>
      </c>
      <c r="O112" s="59"/>
      <c r="P112" s="59" t="str">
        <f>IFERROR(VLOOKUP(B112,'ECN-ECO_DATA'!B:P,13,FALSE),"")</f>
        <v/>
      </c>
      <c r="Q112" s="43" t="str">
        <f>IFERROR(VLOOKUP(B112,'ECN-ECO_DATA'!B:P,15,FALSE),"")</f>
        <v/>
      </c>
    </row>
    <row r="113" spans="3:17" x14ac:dyDescent="0.25">
      <c r="C113" s="43" t="str">
        <f>IFERROR(VLOOKUP(B113,'ECN-ECO_DATA'!B:C,2,FALSE),"")</f>
        <v/>
      </c>
      <c r="D113" s="43" t="str">
        <f>IFERROR(VLOOKUP(B113,'ECN-ECO_DATA'!B:X,23,FALSE),"")</f>
        <v/>
      </c>
      <c r="E113" s="44" t="str">
        <f>IFERROR(VLOOKUP(B113,'ECN-ECO_DATA'!B:G,5,FALSE),"")</f>
        <v/>
      </c>
      <c r="F113" s="44" t="str">
        <f>IFERROR((IF(VLOOKUP(B113,'ECN-ECO_DATA'!B:G,6,FALSE)="","",VLOOKUP(B113,'ECN-ECO_DATA'!B:G,6,FALSE))),"")</f>
        <v/>
      </c>
      <c r="H113" s="45" t="str">
        <f>IFERROR(VLOOKUP(B113,'ECN-ECO_DATA'!B:G,4,FALSE),"")</f>
        <v/>
      </c>
      <c r="I113" s="46" t="str">
        <f>IFERROR(IF(VLOOKUP(B113,'ECN-ECO_DATA'!B:G,6,FALSE)="","Not started",IF(VLOOKUP(B113,'ECN-ECO_DATA'!B:J,7,FALSE)="","Awaiting First Approval",IF(VLOOKUP(B113,'ECN-ECO_DATA'!B:J,8,FALSE)="","Awaiting Quality Check Approval",IF(VLOOKUP(B113,'ECN-ECO_DATA'!B:J,9,FALSE)="","Awaiting Last Approval",IF(VLOOKUP(B113,'ECN-ECO_DATA'!B:J,9,FALSE)&lt;&gt;"","Approved","Unknown"))))),"")</f>
        <v/>
      </c>
      <c r="K113" s="47" t="str">
        <f>IFERROR(VLOOKUP(B113,'ECN-ECO_DATA'!B:W,22,FALSE),"")</f>
        <v/>
      </c>
      <c r="L113" s="43" t="str">
        <f>IFERROR(IF(VLOOKUP(B113,'ECN-ECO_DATA'!B:AB,27,FALSE)=0,"",VLOOKUP(B113,'ECN-ECO_DATA'!B:AB,27,FALSE)),"")</f>
        <v/>
      </c>
      <c r="M113" s="43" t="str">
        <f>IFERROR(VLOOKUP(B113,'ECN-ECO_DATA'!B:AE,30,FALSE),"")</f>
        <v/>
      </c>
      <c r="N113" s="59" t="str">
        <f>IFERROR(IF((VLOOKUP(B113,'ECN-ECO_DATA'!B:AD,20,FALSE)-VLOOKUP(B113,'ECN-ECO_DATA'!B:AD,18,FALSE))&gt;0,(VLOOKUP(B113,'ECN-ECO_DATA'!B:AD,20,FALSE)-VLOOKUP(B113,'ECN-ECO_DATA'!B:AD,18,FALSE)),""),"")</f>
        <v/>
      </c>
      <c r="O113" s="59"/>
      <c r="P113" s="59" t="str">
        <f>IFERROR(VLOOKUP(B113,'ECN-ECO_DATA'!B:P,13,FALSE),"")</f>
        <v/>
      </c>
      <c r="Q113" s="43" t="str">
        <f>IFERROR(VLOOKUP(B113,'ECN-ECO_DATA'!B:P,15,FALSE),"")</f>
        <v/>
      </c>
    </row>
    <row r="114" spans="3:17" x14ac:dyDescent="0.25">
      <c r="C114" s="43" t="str">
        <f>IFERROR(VLOOKUP(B114,'ECN-ECO_DATA'!B:C,2,FALSE),"")</f>
        <v/>
      </c>
      <c r="D114" s="43" t="str">
        <f>IFERROR(VLOOKUP(B114,'ECN-ECO_DATA'!B:X,23,FALSE),"")</f>
        <v/>
      </c>
      <c r="E114" s="44" t="str">
        <f>IFERROR(VLOOKUP(B114,'ECN-ECO_DATA'!B:G,5,FALSE),"")</f>
        <v/>
      </c>
      <c r="F114" s="44" t="str">
        <f>IFERROR((IF(VLOOKUP(B114,'ECN-ECO_DATA'!B:G,6,FALSE)="","",VLOOKUP(B114,'ECN-ECO_DATA'!B:G,6,FALSE))),"")</f>
        <v/>
      </c>
      <c r="H114" s="45" t="str">
        <f>IFERROR(VLOOKUP(B114,'ECN-ECO_DATA'!B:G,4,FALSE),"")</f>
        <v/>
      </c>
      <c r="I114" s="46" t="str">
        <f>IFERROR(IF(VLOOKUP(B114,'ECN-ECO_DATA'!B:G,6,FALSE)="","Not started",IF(VLOOKUP(B114,'ECN-ECO_DATA'!B:J,7,FALSE)="","Awaiting First Approval",IF(VLOOKUP(B114,'ECN-ECO_DATA'!B:J,8,FALSE)="","Awaiting Quality Check Approval",IF(VLOOKUP(B114,'ECN-ECO_DATA'!B:J,9,FALSE)="","Awaiting Last Approval",IF(VLOOKUP(B114,'ECN-ECO_DATA'!B:J,9,FALSE)&lt;&gt;"","Approved","Unknown"))))),"")</f>
        <v/>
      </c>
      <c r="K114" s="47" t="str">
        <f>IFERROR(VLOOKUP(B114,'ECN-ECO_DATA'!B:W,22,FALSE),"")</f>
        <v/>
      </c>
      <c r="L114" s="43" t="str">
        <f>IFERROR(IF(VLOOKUP(B114,'ECN-ECO_DATA'!B:AB,27,FALSE)=0,"",VLOOKUP(B114,'ECN-ECO_DATA'!B:AB,27,FALSE)),"")</f>
        <v/>
      </c>
      <c r="M114" s="43" t="str">
        <f>IFERROR(VLOOKUP(B114,'ECN-ECO_DATA'!B:AE,30,FALSE),"")</f>
        <v/>
      </c>
      <c r="N114" s="59" t="str">
        <f>IFERROR(IF((VLOOKUP(B114,'ECN-ECO_DATA'!B:AD,20,FALSE)-VLOOKUP(B114,'ECN-ECO_DATA'!B:AD,18,FALSE))&gt;0,(VLOOKUP(B114,'ECN-ECO_DATA'!B:AD,20,FALSE)-VLOOKUP(B114,'ECN-ECO_DATA'!B:AD,18,FALSE)),""),"")</f>
        <v/>
      </c>
      <c r="O114" s="59"/>
      <c r="P114" s="59" t="str">
        <f>IFERROR(VLOOKUP(B114,'ECN-ECO_DATA'!B:P,13,FALSE),"")</f>
        <v/>
      </c>
      <c r="Q114" s="43" t="str">
        <f>IFERROR(VLOOKUP(B114,'ECN-ECO_DATA'!B:P,15,FALSE),"")</f>
        <v/>
      </c>
    </row>
    <row r="115" spans="3:17" x14ac:dyDescent="0.25">
      <c r="C115" s="43" t="str">
        <f>IFERROR(VLOOKUP(B115,'ECN-ECO_DATA'!B:C,2,FALSE),"")</f>
        <v/>
      </c>
      <c r="D115" s="43" t="str">
        <f>IFERROR(VLOOKUP(B115,'ECN-ECO_DATA'!B:X,23,FALSE),"")</f>
        <v/>
      </c>
      <c r="E115" s="44" t="str">
        <f>IFERROR(VLOOKUP(B115,'ECN-ECO_DATA'!B:G,5,FALSE),"")</f>
        <v/>
      </c>
      <c r="F115" s="44" t="str">
        <f>IFERROR((IF(VLOOKUP(B115,'ECN-ECO_DATA'!B:G,6,FALSE)="","",VLOOKUP(B115,'ECN-ECO_DATA'!B:G,6,FALSE))),"")</f>
        <v/>
      </c>
      <c r="H115" s="45" t="str">
        <f>IFERROR(VLOOKUP(B115,'ECN-ECO_DATA'!B:G,4,FALSE),"")</f>
        <v/>
      </c>
      <c r="I115" s="46" t="str">
        <f>IFERROR(IF(VLOOKUP(B115,'ECN-ECO_DATA'!B:G,6,FALSE)="","Not started",IF(VLOOKUP(B115,'ECN-ECO_DATA'!B:J,7,FALSE)="","Awaiting First Approval",IF(VLOOKUP(B115,'ECN-ECO_DATA'!B:J,8,FALSE)="","Awaiting Quality Check Approval",IF(VLOOKUP(B115,'ECN-ECO_DATA'!B:J,9,FALSE)="","Awaiting Last Approval",IF(VLOOKUP(B115,'ECN-ECO_DATA'!B:J,9,FALSE)&lt;&gt;"","Approved","Unknown"))))),"")</f>
        <v/>
      </c>
      <c r="K115" s="47" t="str">
        <f>IFERROR(VLOOKUP(B115,'ECN-ECO_DATA'!B:W,22,FALSE),"")</f>
        <v/>
      </c>
      <c r="L115" s="43" t="str">
        <f>IFERROR(IF(VLOOKUP(B115,'ECN-ECO_DATA'!B:AB,27,FALSE)=0,"",VLOOKUP(B115,'ECN-ECO_DATA'!B:AB,27,FALSE)),"")</f>
        <v/>
      </c>
      <c r="M115" s="43" t="str">
        <f>IFERROR(VLOOKUP(B115,'ECN-ECO_DATA'!B:AE,30,FALSE),"")</f>
        <v/>
      </c>
      <c r="N115" s="59" t="str">
        <f>IFERROR(IF((VLOOKUP(B115,'ECN-ECO_DATA'!B:AD,20,FALSE)-VLOOKUP(B115,'ECN-ECO_DATA'!B:AD,18,FALSE))&gt;0,(VLOOKUP(B115,'ECN-ECO_DATA'!B:AD,20,FALSE)-VLOOKUP(B115,'ECN-ECO_DATA'!B:AD,18,FALSE)),""),"")</f>
        <v/>
      </c>
      <c r="O115" s="59"/>
      <c r="P115" s="59" t="str">
        <f>IFERROR(VLOOKUP(B115,'ECN-ECO_DATA'!B:P,13,FALSE),"")</f>
        <v/>
      </c>
      <c r="Q115" s="43" t="str">
        <f>IFERROR(VLOOKUP(B115,'ECN-ECO_DATA'!B:P,15,FALSE),"")</f>
        <v/>
      </c>
    </row>
    <row r="116" spans="3:17" x14ac:dyDescent="0.25">
      <c r="C116" s="43" t="str">
        <f>IFERROR(VLOOKUP(B116,'ECN-ECO_DATA'!B:C,2,FALSE),"")</f>
        <v/>
      </c>
      <c r="D116" s="43" t="str">
        <f>IFERROR(VLOOKUP(B116,'ECN-ECO_DATA'!B:X,23,FALSE),"")</f>
        <v/>
      </c>
      <c r="E116" s="44" t="str">
        <f>IFERROR(VLOOKUP(B116,'ECN-ECO_DATA'!B:G,5,FALSE),"")</f>
        <v/>
      </c>
      <c r="F116" s="44" t="str">
        <f>IFERROR((IF(VLOOKUP(B116,'ECN-ECO_DATA'!B:G,6,FALSE)="","",VLOOKUP(B116,'ECN-ECO_DATA'!B:G,6,FALSE))),"")</f>
        <v/>
      </c>
      <c r="H116" s="45" t="str">
        <f>IFERROR(VLOOKUP(B116,'ECN-ECO_DATA'!B:G,4,FALSE),"")</f>
        <v/>
      </c>
      <c r="I116" s="46" t="str">
        <f>IFERROR(IF(VLOOKUP(B116,'ECN-ECO_DATA'!B:G,6,FALSE)="","Not started",IF(VLOOKUP(B116,'ECN-ECO_DATA'!B:J,7,FALSE)="","Awaiting First Approval",IF(VLOOKUP(B116,'ECN-ECO_DATA'!B:J,8,FALSE)="","Awaiting Quality Check Approval",IF(VLOOKUP(B116,'ECN-ECO_DATA'!B:J,9,FALSE)="","Awaiting Last Approval",IF(VLOOKUP(B116,'ECN-ECO_DATA'!B:J,9,FALSE)&lt;&gt;"","Approved","Unknown"))))),"")</f>
        <v/>
      </c>
      <c r="K116" s="47" t="str">
        <f>IFERROR(VLOOKUP(B116,'ECN-ECO_DATA'!B:W,22,FALSE),"")</f>
        <v/>
      </c>
      <c r="L116" s="43" t="str">
        <f>IFERROR(IF(VLOOKUP(B116,'ECN-ECO_DATA'!B:AB,27,FALSE)=0,"",VLOOKUP(B116,'ECN-ECO_DATA'!B:AB,27,FALSE)),"")</f>
        <v/>
      </c>
      <c r="M116" s="43" t="str">
        <f>IFERROR(VLOOKUP(B116,'ECN-ECO_DATA'!B:AE,30,FALSE),"")</f>
        <v/>
      </c>
      <c r="N116" s="59" t="str">
        <f>IFERROR(IF((VLOOKUP(B116,'ECN-ECO_DATA'!B:AD,20,FALSE)-VLOOKUP(B116,'ECN-ECO_DATA'!B:AD,18,FALSE))&gt;0,(VLOOKUP(B116,'ECN-ECO_DATA'!B:AD,20,FALSE)-VLOOKUP(B116,'ECN-ECO_DATA'!B:AD,18,FALSE)),""),"")</f>
        <v/>
      </c>
      <c r="O116" s="59"/>
      <c r="P116" s="59" t="str">
        <f>IFERROR(VLOOKUP(B116,'ECN-ECO_DATA'!B:P,13,FALSE),"")</f>
        <v/>
      </c>
      <c r="Q116" s="43" t="str">
        <f>IFERROR(VLOOKUP(B116,'ECN-ECO_DATA'!B:P,15,FALSE),"")</f>
        <v/>
      </c>
    </row>
    <row r="117" spans="3:17" x14ac:dyDescent="0.25">
      <c r="C117" s="43" t="str">
        <f>IFERROR(VLOOKUP(B117,'ECN-ECO_DATA'!B:C,2,FALSE),"")</f>
        <v/>
      </c>
      <c r="D117" s="43" t="str">
        <f>IFERROR(VLOOKUP(B117,'ECN-ECO_DATA'!B:X,23,FALSE),"")</f>
        <v/>
      </c>
      <c r="E117" s="44" t="str">
        <f>IFERROR(VLOOKUP(B117,'ECN-ECO_DATA'!B:G,5,FALSE),"")</f>
        <v/>
      </c>
      <c r="F117" s="44" t="str">
        <f>IFERROR((IF(VLOOKUP(B117,'ECN-ECO_DATA'!B:G,6,FALSE)="","",VLOOKUP(B117,'ECN-ECO_DATA'!B:G,6,FALSE))),"")</f>
        <v/>
      </c>
      <c r="H117" s="45" t="str">
        <f>IFERROR(VLOOKUP(B117,'ECN-ECO_DATA'!B:G,4,FALSE),"")</f>
        <v/>
      </c>
      <c r="I117" s="46" t="str">
        <f>IFERROR(IF(VLOOKUP(B117,'ECN-ECO_DATA'!B:G,6,FALSE)="","Not started",IF(VLOOKUP(B117,'ECN-ECO_DATA'!B:J,7,FALSE)="","Awaiting First Approval",IF(VLOOKUP(B117,'ECN-ECO_DATA'!B:J,8,FALSE)="","Awaiting Quality Check Approval",IF(VLOOKUP(B117,'ECN-ECO_DATA'!B:J,9,FALSE)="","Awaiting Last Approval",IF(VLOOKUP(B117,'ECN-ECO_DATA'!B:J,9,FALSE)&lt;&gt;"","Approved","Unknown"))))),"")</f>
        <v/>
      </c>
      <c r="K117" s="47" t="str">
        <f>IFERROR(VLOOKUP(B117,'ECN-ECO_DATA'!B:W,22,FALSE),"")</f>
        <v/>
      </c>
      <c r="L117" s="43" t="str">
        <f>IFERROR(IF(VLOOKUP(B117,'ECN-ECO_DATA'!B:AB,27,FALSE)=0,"",VLOOKUP(B117,'ECN-ECO_DATA'!B:AB,27,FALSE)),"")</f>
        <v/>
      </c>
      <c r="M117" s="43" t="str">
        <f>IFERROR(VLOOKUP(B117,'ECN-ECO_DATA'!B:AE,30,FALSE),"")</f>
        <v/>
      </c>
      <c r="N117" s="59" t="str">
        <f>IFERROR(IF((VLOOKUP(B117,'ECN-ECO_DATA'!B:AD,20,FALSE)-VLOOKUP(B117,'ECN-ECO_DATA'!B:AD,18,FALSE))&gt;0,(VLOOKUP(B117,'ECN-ECO_DATA'!B:AD,20,FALSE)-VLOOKUP(B117,'ECN-ECO_DATA'!B:AD,18,FALSE)),""),"")</f>
        <v/>
      </c>
      <c r="O117" s="59"/>
      <c r="P117" s="59" t="str">
        <f>IFERROR(VLOOKUP(B117,'ECN-ECO_DATA'!B:P,13,FALSE),"")</f>
        <v/>
      </c>
      <c r="Q117" s="43" t="str">
        <f>IFERROR(VLOOKUP(B117,'ECN-ECO_DATA'!B:P,15,FALSE),"")</f>
        <v/>
      </c>
    </row>
    <row r="118" spans="3:17" x14ac:dyDescent="0.25">
      <c r="C118" s="43" t="str">
        <f>IFERROR(VLOOKUP(B118,'ECN-ECO_DATA'!B:C,2,FALSE),"")</f>
        <v/>
      </c>
      <c r="D118" s="43" t="str">
        <f>IFERROR(VLOOKUP(B118,'ECN-ECO_DATA'!B:X,23,FALSE),"")</f>
        <v/>
      </c>
      <c r="E118" s="44" t="str">
        <f>IFERROR(VLOOKUP(B118,'ECN-ECO_DATA'!B:G,5,FALSE),"")</f>
        <v/>
      </c>
      <c r="F118" s="44" t="str">
        <f>IFERROR((IF(VLOOKUP(B118,'ECN-ECO_DATA'!B:G,6,FALSE)="","",VLOOKUP(B118,'ECN-ECO_DATA'!B:G,6,FALSE))),"")</f>
        <v/>
      </c>
      <c r="H118" s="45" t="str">
        <f>IFERROR(VLOOKUP(B118,'ECN-ECO_DATA'!B:G,4,FALSE),"")</f>
        <v/>
      </c>
      <c r="I118" s="46" t="str">
        <f>IFERROR(IF(VLOOKUP(B118,'ECN-ECO_DATA'!B:G,6,FALSE)="","Not started",IF(VLOOKUP(B118,'ECN-ECO_DATA'!B:J,7,FALSE)="","Awaiting First Approval",IF(VLOOKUP(B118,'ECN-ECO_DATA'!B:J,8,FALSE)="","Awaiting Quality Check Approval",IF(VLOOKUP(B118,'ECN-ECO_DATA'!B:J,9,FALSE)="","Awaiting Last Approval",IF(VLOOKUP(B118,'ECN-ECO_DATA'!B:J,9,FALSE)&lt;&gt;"","Approved","Unknown"))))),"")</f>
        <v/>
      </c>
      <c r="K118" s="47" t="str">
        <f>IFERROR(VLOOKUP(B118,'ECN-ECO_DATA'!B:W,22,FALSE),"")</f>
        <v/>
      </c>
      <c r="L118" s="43" t="str">
        <f>IFERROR(IF(VLOOKUP(B118,'ECN-ECO_DATA'!B:AB,27,FALSE)=0,"",VLOOKUP(B118,'ECN-ECO_DATA'!B:AB,27,FALSE)),"")</f>
        <v/>
      </c>
      <c r="M118" s="43" t="str">
        <f>IFERROR(VLOOKUP(B118,'ECN-ECO_DATA'!B:AE,30,FALSE),"")</f>
        <v/>
      </c>
      <c r="N118" s="59" t="str">
        <f>IFERROR(IF((VLOOKUP(B118,'ECN-ECO_DATA'!B:AD,20,FALSE)-VLOOKUP(B118,'ECN-ECO_DATA'!B:AD,18,FALSE))&gt;0,(VLOOKUP(B118,'ECN-ECO_DATA'!B:AD,20,FALSE)-VLOOKUP(B118,'ECN-ECO_DATA'!B:AD,18,FALSE)),""),"")</f>
        <v/>
      </c>
      <c r="O118" s="59"/>
      <c r="P118" s="59" t="str">
        <f>IFERROR(VLOOKUP(B118,'ECN-ECO_DATA'!B:P,13,FALSE),"")</f>
        <v/>
      </c>
      <c r="Q118" s="43" t="str">
        <f>IFERROR(VLOOKUP(B118,'ECN-ECO_DATA'!B:P,15,FALSE),"")</f>
        <v/>
      </c>
    </row>
    <row r="119" spans="3:17" x14ac:dyDescent="0.25">
      <c r="C119" s="43" t="str">
        <f>IFERROR(VLOOKUP(B119,'ECN-ECO_DATA'!B:C,2,FALSE),"")</f>
        <v/>
      </c>
      <c r="D119" s="43" t="str">
        <f>IFERROR(VLOOKUP(B119,'ECN-ECO_DATA'!B:X,23,FALSE),"")</f>
        <v/>
      </c>
      <c r="E119" s="44" t="str">
        <f>IFERROR(VLOOKUP(B119,'ECN-ECO_DATA'!B:G,5,FALSE),"")</f>
        <v/>
      </c>
      <c r="F119" s="44" t="str">
        <f>IFERROR((IF(VLOOKUP(B119,'ECN-ECO_DATA'!B:G,6,FALSE)="","",VLOOKUP(B119,'ECN-ECO_DATA'!B:G,6,FALSE))),"")</f>
        <v/>
      </c>
      <c r="H119" s="45" t="str">
        <f>IFERROR(VLOOKUP(B119,'ECN-ECO_DATA'!B:G,4,FALSE),"")</f>
        <v/>
      </c>
      <c r="I119" s="46" t="str">
        <f>IFERROR(IF(VLOOKUP(B119,'ECN-ECO_DATA'!B:G,6,FALSE)="","Not started",IF(VLOOKUP(B119,'ECN-ECO_DATA'!B:J,7,FALSE)="","Awaiting First Approval",IF(VLOOKUP(B119,'ECN-ECO_DATA'!B:J,8,FALSE)="","Awaiting Quality Check Approval",IF(VLOOKUP(B119,'ECN-ECO_DATA'!B:J,9,FALSE)="","Awaiting Last Approval",IF(VLOOKUP(B119,'ECN-ECO_DATA'!B:J,9,FALSE)&lt;&gt;"","Approved","Unknown"))))),"")</f>
        <v/>
      </c>
      <c r="K119" s="47" t="str">
        <f>IFERROR(VLOOKUP(B119,'ECN-ECO_DATA'!B:W,22,FALSE),"")</f>
        <v/>
      </c>
      <c r="L119" s="43" t="str">
        <f>IFERROR(IF(VLOOKUP(B119,'ECN-ECO_DATA'!B:AB,27,FALSE)=0,"",VLOOKUP(B119,'ECN-ECO_DATA'!B:AB,27,FALSE)),"")</f>
        <v/>
      </c>
      <c r="M119" s="43" t="str">
        <f>IFERROR(VLOOKUP(B119,'ECN-ECO_DATA'!B:AE,30,FALSE),"")</f>
        <v/>
      </c>
      <c r="N119" s="59" t="str">
        <f>IFERROR(IF((VLOOKUP(B119,'ECN-ECO_DATA'!B:AD,20,FALSE)-VLOOKUP(B119,'ECN-ECO_DATA'!B:AD,18,FALSE))&gt;0,(VLOOKUP(B119,'ECN-ECO_DATA'!B:AD,20,FALSE)-VLOOKUP(B119,'ECN-ECO_DATA'!B:AD,18,FALSE)),""),"")</f>
        <v/>
      </c>
      <c r="O119" s="59"/>
      <c r="P119" s="59" t="str">
        <f>IFERROR(VLOOKUP(B119,'ECN-ECO_DATA'!B:P,13,FALSE),"")</f>
        <v/>
      </c>
      <c r="Q119" s="43" t="str">
        <f>IFERROR(VLOOKUP(B119,'ECN-ECO_DATA'!B:P,15,FALSE),"")</f>
        <v/>
      </c>
    </row>
    <row r="120" spans="3:17" x14ac:dyDescent="0.25">
      <c r="C120" s="43" t="str">
        <f>IFERROR(VLOOKUP(B120,'ECN-ECO_DATA'!B:C,2,FALSE),"")</f>
        <v/>
      </c>
      <c r="D120" s="43" t="str">
        <f>IFERROR(VLOOKUP(B120,'ECN-ECO_DATA'!B:X,23,FALSE),"")</f>
        <v/>
      </c>
      <c r="E120" s="44" t="str">
        <f>IFERROR(VLOOKUP(B120,'ECN-ECO_DATA'!B:G,5,FALSE),"")</f>
        <v/>
      </c>
      <c r="F120" s="44" t="str">
        <f>IFERROR((IF(VLOOKUP(B120,'ECN-ECO_DATA'!B:G,6,FALSE)="","",VLOOKUP(B120,'ECN-ECO_DATA'!B:G,6,FALSE))),"")</f>
        <v/>
      </c>
      <c r="H120" s="45" t="str">
        <f>IFERROR(VLOOKUP(B120,'ECN-ECO_DATA'!B:G,4,FALSE),"")</f>
        <v/>
      </c>
      <c r="I120" s="46" t="str">
        <f>IFERROR(IF(VLOOKUP(B120,'ECN-ECO_DATA'!B:G,6,FALSE)="","Not started",IF(VLOOKUP(B120,'ECN-ECO_DATA'!B:J,7,FALSE)="","Awaiting First Approval",IF(VLOOKUP(B120,'ECN-ECO_DATA'!B:J,8,FALSE)="","Awaiting Quality Check Approval",IF(VLOOKUP(B120,'ECN-ECO_DATA'!B:J,9,FALSE)="","Awaiting Last Approval",IF(VLOOKUP(B120,'ECN-ECO_DATA'!B:J,9,FALSE)&lt;&gt;"","Approved","Unknown"))))),"")</f>
        <v/>
      </c>
      <c r="K120" s="47" t="str">
        <f>IFERROR(VLOOKUP(B120,'ECN-ECO_DATA'!B:W,22,FALSE),"")</f>
        <v/>
      </c>
      <c r="L120" s="43" t="str">
        <f>IFERROR(IF(VLOOKUP(B120,'ECN-ECO_DATA'!B:AB,27,FALSE)=0,"",VLOOKUP(B120,'ECN-ECO_DATA'!B:AB,27,FALSE)),"")</f>
        <v/>
      </c>
      <c r="M120" s="43" t="str">
        <f>IFERROR(VLOOKUP(B120,'ECN-ECO_DATA'!B:AE,30,FALSE),"")</f>
        <v/>
      </c>
      <c r="N120" s="59" t="str">
        <f>IFERROR(IF((VLOOKUP(B120,'ECN-ECO_DATA'!B:AD,20,FALSE)-VLOOKUP(B120,'ECN-ECO_DATA'!B:AD,18,FALSE))&gt;0,(VLOOKUP(B120,'ECN-ECO_DATA'!B:AD,20,FALSE)-VLOOKUP(B120,'ECN-ECO_DATA'!B:AD,18,FALSE)),""),"")</f>
        <v/>
      </c>
      <c r="O120" s="59"/>
      <c r="P120" s="59" t="str">
        <f>IFERROR(VLOOKUP(B120,'ECN-ECO_DATA'!B:P,13,FALSE),"")</f>
        <v/>
      </c>
      <c r="Q120" s="43" t="str">
        <f>IFERROR(VLOOKUP(B120,'ECN-ECO_DATA'!B:P,15,FALSE),"")</f>
        <v/>
      </c>
    </row>
    <row r="121" spans="3:17" x14ac:dyDescent="0.25">
      <c r="C121" s="43" t="str">
        <f>IFERROR(VLOOKUP(B121,'ECN-ECO_DATA'!B:C,2,FALSE),"")</f>
        <v/>
      </c>
      <c r="D121" s="43" t="str">
        <f>IFERROR(VLOOKUP(B121,'ECN-ECO_DATA'!B:X,23,FALSE),"")</f>
        <v/>
      </c>
      <c r="E121" s="44" t="str">
        <f>IFERROR(VLOOKUP(B121,'ECN-ECO_DATA'!B:G,5,FALSE),"")</f>
        <v/>
      </c>
      <c r="F121" s="44" t="str">
        <f>IFERROR((IF(VLOOKUP(B121,'ECN-ECO_DATA'!B:G,6,FALSE)="","",VLOOKUP(B121,'ECN-ECO_DATA'!B:G,6,FALSE))),"")</f>
        <v/>
      </c>
      <c r="H121" s="45" t="str">
        <f>IFERROR(VLOOKUP(B121,'ECN-ECO_DATA'!B:G,4,FALSE),"")</f>
        <v/>
      </c>
      <c r="I121" s="46" t="str">
        <f>IFERROR(IF(VLOOKUP(B121,'ECN-ECO_DATA'!B:G,6,FALSE)="","Not started",IF(VLOOKUP(B121,'ECN-ECO_DATA'!B:J,7,FALSE)="","Awaiting First Approval",IF(VLOOKUP(B121,'ECN-ECO_DATA'!B:J,8,FALSE)="","Awaiting Quality Check Approval",IF(VLOOKUP(B121,'ECN-ECO_DATA'!B:J,9,FALSE)="","Awaiting Last Approval",IF(VLOOKUP(B121,'ECN-ECO_DATA'!B:J,9,FALSE)&lt;&gt;"","Approved","Unknown"))))),"")</f>
        <v/>
      </c>
      <c r="K121" s="47" t="str">
        <f>IFERROR(VLOOKUP(B121,'ECN-ECO_DATA'!B:W,22,FALSE),"")</f>
        <v/>
      </c>
      <c r="L121" s="43" t="str">
        <f>IFERROR(IF(VLOOKUP(B121,'ECN-ECO_DATA'!B:AB,27,FALSE)=0,"",VLOOKUP(B121,'ECN-ECO_DATA'!B:AB,27,FALSE)),"")</f>
        <v/>
      </c>
      <c r="M121" s="43" t="str">
        <f>IFERROR(VLOOKUP(B121,'ECN-ECO_DATA'!B:AE,30,FALSE),"")</f>
        <v/>
      </c>
      <c r="N121" s="59" t="str">
        <f>IFERROR(IF((VLOOKUP(B121,'ECN-ECO_DATA'!B:AD,20,FALSE)-VLOOKUP(B121,'ECN-ECO_DATA'!B:AD,18,FALSE))&gt;0,(VLOOKUP(B121,'ECN-ECO_DATA'!B:AD,20,FALSE)-VLOOKUP(B121,'ECN-ECO_DATA'!B:AD,18,FALSE)),""),"")</f>
        <v/>
      </c>
      <c r="O121" s="59"/>
      <c r="P121" s="59" t="str">
        <f>IFERROR(VLOOKUP(B121,'ECN-ECO_DATA'!B:P,13,FALSE),"")</f>
        <v/>
      </c>
      <c r="Q121" s="43" t="str">
        <f>IFERROR(VLOOKUP(B121,'ECN-ECO_DATA'!B:P,15,FALSE),"")</f>
        <v/>
      </c>
    </row>
    <row r="122" spans="3:17" x14ac:dyDescent="0.25">
      <c r="C122" s="43" t="str">
        <f>IFERROR(VLOOKUP(B122,'ECN-ECO_DATA'!B:C,2,FALSE),"")</f>
        <v/>
      </c>
      <c r="D122" s="43" t="str">
        <f>IFERROR(VLOOKUP(B122,'ECN-ECO_DATA'!B:X,23,FALSE),"")</f>
        <v/>
      </c>
      <c r="E122" s="44" t="str">
        <f>IFERROR(VLOOKUP(B122,'ECN-ECO_DATA'!B:G,5,FALSE),"")</f>
        <v/>
      </c>
      <c r="F122" s="44" t="str">
        <f>IFERROR((IF(VLOOKUP(B122,'ECN-ECO_DATA'!B:G,6,FALSE)="","",VLOOKUP(B122,'ECN-ECO_DATA'!B:G,6,FALSE))),"")</f>
        <v/>
      </c>
      <c r="H122" s="45" t="str">
        <f>IFERROR(VLOOKUP(B122,'ECN-ECO_DATA'!B:G,4,FALSE),"")</f>
        <v/>
      </c>
      <c r="I122" s="46" t="str">
        <f>IFERROR(IF(VLOOKUP(B122,'ECN-ECO_DATA'!B:G,6,FALSE)="","Not started",IF(VLOOKUP(B122,'ECN-ECO_DATA'!B:J,7,FALSE)="","Awaiting First Approval",IF(VLOOKUP(B122,'ECN-ECO_DATA'!B:J,8,FALSE)="","Awaiting Quality Check Approval",IF(VLOOKUP(B122,'ECN-ECO_DATA'!B:J,9,FALSE)="","Awaiting Last Approval",IF(VLOOKUP(B122,'ECN-ECO_DATA'!B:J,9,FALSE)&lt;&gt;"","Approved","Unknown"))))),"")</f>
        <v/>
      </c>
      <c r="K122" s="47" t="str">
        <f>IFERROR(VLOOKUP(B122,'ECN-ECO_DATA'!B:W,22,FALSE),"")</f>
        <v/>
      </c>
      <c r="L122" s="43" t="str">
        <f>IFERROR(IF(VLOOKUP(B122,'ECN-ECO_DATA'!B:AB,27,FALSE)=0,"",VLOOKUP(B122,'ECN-ECO_DATA'!B:AB,27,FALSE)),"")</f>
        <v/>
      </c>
      <c r="M122" s="43" t="str">
        <f>IFERROR(VLOOKUP(B122,'ECN-ECO_DATA'!B:AE,30,FALSE),"")</f>
        <v/>
      </c>
      <c r="N122" s="59" t="str">
        <f>IFERROR(IF((VLOOKUP(B122,'ECN-ECO_DATA'!B:AD,20,FALSE)-VLOOKUP(B122,'ECN-ECO_DATA'!B:AD,18,FALSE))&gt;0,(VLOOKUP(B122,'ECN-ECO_DATA'!B:AD,20,FALSE)-VLOOKUP(B122,'ECN-ECO_DATA'!B:AD,18,FALSE)),""),"")</f>
        <v/>
      </c>
      <c r="O122" s="59"/>
      <c r="P122" s="59" t="str">
        <f>IFERROR(VLOOKUP(B122,'ECN-ECO_DATA'!B:P,13,FALSE),"")</f>
        <v/>
      </c>
      <c r="Q122" s="43" t="str">
        <f>IFERROR(VLOOKUP(B122,'ECN-ECO_DATA'!B:P,15,FALSE),"")</f>
        <v/>
      </c>
    </row>
    <row r="123" spans="3:17" x14ac:dyDescent="0.25">
      <c r="C123" s="43" t="str">
        <f>IFERROR(VLOOKUP(B123,'ECN-ECO_DATA'!B:C,2,FALSE),"")</f>
        <v/>
      </c>
      <c r="D123" s="43" t="str">
        <f>IFERROR(VLOOKUP(B123,'ECN-ECO_DATA'!B:X,23,FALSE),"")</f>
        <v/>
      </c>
      <c r="E123" s="44" t="str">
        <f>IFERROR(VLOOKUP(B123,'ECN-ECO_DATA'!B:G,5,FALSE),"")</f>
        <v/>
      </c>
      <c r="F123" s="44" t="str">
        <f>IFERROR((IF(VLOOKUP(B123,'ECN-ECO_DATA'!B:G,6,FALSE)="","",VLOOKUP(B123,'ECN-ECO_DATA'!B:G,6,FALSE))),"")</f>
        <v/>
      </c>
      <c r="H123" s="45" t="str">
        <f>IFERROR(VLOOKUP(B123,'ECN-ECO_DATA'!B:G,4,FALSE),"")</f>
        <v/>
      </c>
      <c r="I123" s="46" t="str">
        <f>IFERROR(IF(VLOOKUP(B123,'ECN-ECO_DATA'!B:G,6,FALSE)="","Not started",IF(VLOOKUP(B123,'ECN-ECO_DATA'!B:J,7,FALSE)="","Awaiting First Approval",IF(VLOOKUP(B123,'ECN-ECO_DATA'!B:J,8,FALSE)="","Awaiting Quality Check Approval",IF(VLOOKUP(B123,'ECN-ECO_DATA'!B:J,9,FALSE)="","Awaiting Last Approval",IF(VLOOKUP(B123,'ECN-ECO_DATA'!B:J,9,FALSE)&lt;&gt;"","Approved","Unknown"))))),"")</f>
        <v/>
      </c>
      <c r="K123" s="47" t="str">
        <f>IFERROR(VLOOKUP(B123,'ECN-ECO_DATA'!B:W,22,FALSE),"")</f>
        <v/>
      </c>
      <c r="L123" s="43" t="str">
        <f>IFERROR(IF(VLOOKUP(B123,'ECN-ECO_DATA'!B:AB,27,FALSE)=0,"",VLOOKUP(B123,'ECN-ECO_DATA'!B:AB,27,FALSE)),"")</f>
        <v/>
      </c>
      <c r="M123" s="43" t="str">
        <f>IFERROR(VLOOKUP(B123,'ECN-ECO_DATA'!B:AE,30,FALSE),"")</f>
        <v/>
      </c>
      <c r="N123" s="59" t="str">
        <f>IFERROR(IF((VLOOKUP(B123,'ECN-ECO_DATA'!B:AD,20,FALSE)-VLOOKUP(B123,'ECN-ECO_DATA'!B:AD,18,FALSE))&gt;0,(VLOOKUP(B123,'ECN-ECO_DATA'!B:AD,20,FALSE)-VLOOKUP(B123,'ECN-ECO_DATA'!B:AD,18,FALSE)),""),"")</f>
        <v/>
      </c>
      <c r="O123" s="59"/>
      <c r="P123" s="59" t="str">
        <f>IFERROR(VLOOKUP(B123,'ECN-ECO_DATA'!B:P,13,FALSE),"")</f>
        <v/>
      </c>
      <c r="Q123" s="43" t="str">
        <f>IFERROR(VLOOKUP(B123,'ECN-ECO_DATA'!B:P,15,FALSE),"")</f>
        <v/>
      </c>
    </row>
    <row r="124" spans="3:17" x14ac:dyDescent="0.25">
      <c r="C124" s="43" t="str">
        <f>IFERROR(VLOOKUP(B124,'ECN-ECO_DATA'!B:C,2,FALSE),"")</f>
        <v/>
      </c>
      <c r="D124" s="43" t="str">
        <f>IFERROR(VLOOKUP(B124,'ECN-ECO_DATA'!B:X,23,FALSE),"")</f>
        <v/>
      </c>
      <c r="E124" s="44" t="str">
        <f>IFERROR(VLOOKUP(B124,'ECN-ECO_DATA'!B:G,5,FALSE),"")</f>
        <v/>
      </c>
      <c r="F124" s="44" t="str">
        <f>IFERROR((IF(VLOOKUP(B124,'ECN-ECO_DATA'!B:G,6,FALSE)="","",VLOOKUP(B124,'ECN-ECO_DATA'!B:G,6,FALSE))),"")</f>
        <v/>
      </c>
      <c r="H124" s="45" t="str">
        <f>IFERROR(VLOOKUP(B124,'ECN-ECO_DATA'!B:G,4,FALSE),"")</f>
        <v/>
      </c>
      <c r="I124" s="46" t="str">
        <f>IFERROR(IF(VLOOKUP(B124,'ECN-ECO_DATA'!B:G,6,FALSE)="","Not started",IF(VLOOKUP(B124,'ECN-ECO_DATA'!B:J,7,FALSE)="","Awaiting First Approval",IF(VLOOKUP(B124,'ECN-ECO_DATA'!B:J,8,FALSE)="","Awaiting Quality Check Approval",IF(VLOOKUP(B124,'ECN-ECO_DATA'!B:J,9,FALSE)="","Awaiting Last Approval",IF(VLOOKUP(B124,'ECN-ECO_DATA'!B:J,9,FALSE)&lt;&gt;"","Approved","Unknown"))))),"")</f>
        <v/>
      </c>
      <c r="K124" s="47" t="str">
        <f>IFERROR(VLOOKUP(B124,'ECN-ECO_DATA'!B:W,22,FALSE),"")</f>
        <v/>
      </c>
      <c r="L124" s="43" t="str">
        <f>IFERROR(IF(VLOOKUP(B124,'ECN-ECO_DATA'!B:AB,27,FALSE)=0,"",VLOOKUP(B124,'ECN-ECO_DATA'!B:AB,27,FALSE)),"")</f>
        <v/>
      </c>
      <c r="M124" s="43" t="str">
        <f>IFERROR(VLOOKUP(B124,'ECN-ECO_DATA'!B:AE,30,FALSE),"")</f>
        <v/>
      </c>
      <c r="N124" s="59" t="str">
        <f>IFERROR(IF((VLOOKUP(B124,'ECN-ECO_DATA'!B:AD,20,FALSE)-VLOOKUP(B124,'ECN-ECO_DATA'!B:AD,18,FALSE))&gt;0,(VLOOKUP(B124,'ECN-ECO_DATA'!B:AD,20,FALSE)-VLOOKUP(B124,'ECN-ECO_DATA'!B:AD,18,FALSE)),""),"")</f>
        <v/>
      </c>
      <c r="O124" s="59"/>
      <c r="P124" s="59" t="str">
        <f>IFERROR(VLOOKUP(B124,'ECN-ECO_DATA'!B:P,13,FALSE),"")</f>
        <v/>
      </c>
      <c r="Q124" s="43" t="str">
        <f>IFERROR(VLOOKUP(B124,'ECN-ECO_DATA'!B:P,15,FALSE),"")</f>
        <v/>
      </c>
    </row>
    <row r="125" spans="3:17" x14ac:dyDescent="0.25">
      <c r="C125" s="43" t="str">
        <f>IFERROR(VLOOKUP(B125,'ECN-ECO_DATA'!B:C,2,FALSE),"")</f>
        <v/>
      </c>
      <c r="D125" s="43" t="str">
        <f>IFERROR(VLOOKUP(B125,'ECN-ECO_DATA'!B:X,23,FALSE),"")</f>
        <v/>
      </c>
      <c r="E125" s="44" t="str">
        <f>IFERROR(VLOOKUP(B125,'ECN-ECO_DATA'!B:G,5,FALSE),"")</f>
        <v/>
      </c>
      <c r="F125" s="44" t="str">
        <f>IFERROR((IF(VLOOKUP(B125,'ECN-ECO_DATA'!B:G,6,FALSE)="","",VLOOKUP(B125,'ECN-ECO_DATA'!B:G,6,FALSE))),"")</f>
        <v/>
      </c>
      <c r="H125" s="45" t="str">
        <f>IFERROR(VLOOKUP(B125,'ECN-ECO_DATA'!B:G,4,FALSE),"")</f>
        <v/>
      </c>
      <c r="I125" s="46" t="str">
        <f>IFERROR(IF(VLOOKUP(B125,'ECN-ECO_DATA'!B:G,6,FALSE)="","Not started",IF(VLOOKUP(B125,'ECN-ECO_DATA'!B:J,7,FALSE)="","Awaiting First Approval",IF(VLOOKUP(B125,'ECN-ECO_DATA'!B:J,8,FALSE)="","Awaiting Quality Check Approval",IF(VLOOKUP(B125,'ECN-ECO_DATA'!B:J,9,FALSE)="","Awaiting Last Approval",IF(VLOOKUP(B125,'ECN-ECO_DATA'!B:J,9,FALSE)&lt;&gt;"","Approved","Unknown"))))),"")</f>
        <v/>
      </c>
      <c r="K125" s="47" t="str">
        <f>IFERROR(VLOOKUP(B125,'ECN-ECO_DATA'!B:W,22,FALSE),"")</f>
        <v/>
      </c>
      <c r="L125" s="43" t="str">
        <f>IFERROR(IF(VLOOKUP(B125,'ECN-ECO_DATA'!B:AB,27,FALSE)=0,"",VLOOKUP(B125,'ECN-ECO_DATA'!B:AB,27,FALSE)),"")</f>
        <v/>
      </c>
      <c r="M125" s="43" t="str">
        <f>IFERROR(VLOOKUP(B125,'ECN-ECO_DATA'!B:AE,30,FALSE),"")</f>
        <v/>
      </c>
      <c r="N125" s="59" t="str">
        <f>IFERROR(IF((VLOOKUP(B125,'ECN-ECO_DATA'!B:AD,20,FALSE)-VLOOKUP(B125,'ECN-ECO_DATA'!B:AD,18,FALSE))&gt;0,(VLOOKUP(B125,'ECN-ECO_DATA'!B:AD,20,FALSE)-VLOOKUP(B125,'ECN-ECO_DATA'!B:AD,18,FALSE)),""),"")</f>
        <v/>
      </c>
      <c r="O125" s="59"/>
      <c r="P125" s="59" t="str">
        <f>IFERROR(VLOOKUP(B125,'ECN-ECO_DATA'!B:P,13,FALSE),"")</f>
        <v/>
      </c>
      <c r="Q125" s="43" t="str">
        <f>IFERROR(VLOOKUP(B125,'ECN-ECO_DATA'!B:P,15,FALSE),"")</f>
        <v/>
      </c>
    </row>
    <row r="126" spans="3:17" x14ac:dyDescent="0.25">
      <c r="C126" s="43" t="str">
        <f>IFERROR(VLOOKUP(B126,'ECN-ECO_DATA'!B:C,2,FALSE),"")</f>
        <v/>
      </c>
      <c r="D126" s="43" t="str">
        <f>IFERROR(VLOOKUP(B126,'ECN-ECO_DATA'!B:X,23,FALSE),"")</f>
        <v/>
      </c>
      <c r="E126" s="44" t="str">
        <f>IFERROR(VLOOKUP(B126,'ECN-ECO_DATA'!B:G,5,FALSE),"")</f>
        <v/>
      </c>
      <c r="F126" s="44" t="str">
        <f>IFERROR((IF(VLOOKUP(B126,'ECN-ECO_DATA'!B:G,6,FALSE)="","",VLOOKUP(B126,'ECN-ECO_DATA'!B:G,6,FALSE))),"")</f>
        <v/>
      </c>
      <c r="H126" s="45" t="str">
        <f>IFERROR(VLOOKUP(B126,'ECN-ECO_DATA'!B:G,4,FALSE),"")</f>
        <v/>
      </c>
      <c r="I126" s="46" t="str">
        <f>IFERROR(IF(VLOOKUP(B126,'ECN-ECO_DATA'!B:G,6,FALSE)="","Not started",IF(VLOOKUP(B126,'ECN-ECO_DATA'!B:J,7,FALSE)="","Awaiting First Approval",IF(VLOOKUP(B126,'ECN-ECO_DATA'!B:J,8,FALSE)="","Awaiting Quality Check Approval",IF(VLOOKUP(B126,'ECN-ECO_DATA'!B:J,9,FALSE)="","Awaiting Last Approval",IF(VLOOKUP(B126,'ECN-ECO_DATA'!B:J,9,FALSE)&lt;&gt;"","Approved","Unknown"))))),"")</f>
        <v/>
      </c>
      <c r="K126" s="47" t="str">
        <f>IFERROR(VLOOKUP(B126,'ECN-ECO_DATA'!B:W,22,FALSE),"")</f>
        <v/>
      </c>
      <c r="L126" s="43" t="str">
        <f>IFERROR(IF(VLOOKUP(B126,'ECN-ECO_DATA'!B:AB,27,FALSE)=0,"",VLOOKUP(B126,'ECN-ECO_DATA'!B:AB,27,FALSE)),"")</f>
        <v/>
      </c>
      <c r="M126" s="43" t="str">
        <f>IFERROR(VLOOKUP(B126,'ECN-ECO_DATA'!B:AE,30,FALSE),"")</f>
        <v/>
      </c>
      <c r="N126" s="59" t="str">
        <f>IFERROR(IF((VLOOKUP(B126,'ECN-ECO_DATA'!B:AD,20,FALSE)-VLOOKUP(B126,'ECN-ECO_DATA'!B:AD,18,FALSE))&gt;0,(VLOOKUP(B126,'ECN-ECO_DATA'!B:AD,20,FALSE)-VLOOKUP(B126,'ECN-ECO_DATA'!B:AD,18,FALSE)),""),"")</f>
        <v/>
      </c>
      <c r="O126" s="59"/>
      <c r="P126" s="59" t="str">
        <f>IFERROR(VLOOKUP(B126,'ECN-ECO_DATA'!B:P,13,FALSE),"")</f>
        <v/>
      </c>
      <c r="Q126" s="43" t="str">
        <f>IFERROR(VLOOKUP(B126,'ECN-ECO_DATA'!B:P,15,FALSE),"")</f>
        <v/>
      </c>
    </row>
    <row r="127" spans="3:17" x14ac:dyDescent="0.25">
      <c r="C127" s="43" t="str">
        <f>IFERROR(VLOOKUP(B127,'ECN-ECO_DATA'!B:C,2,FALSE),"")</f>
        <v/>
      </c>
      <c r="D127" s="43" t="str">
        <f>IFERROR(VLOOKUP(B127,'ECN-ECO_DATA'!B:X,23,FALSE),"")</f>
        <v/>
      </c>
      <c r="E127" s="44" t="str">
        <f>IFERROR(VLOOKUP(B127,'ECN-ECO_DATA'!B:G,5,FALSE),"")</f>
        <v/>
      </c>
      <c r="F127" s="44" t="str">
        <f>IFERROR((IF(VLOOKUP(B127,'ECN-ECO_DATA'!B:G,6,FALSE)="","",VLOOKUP(B127,'ECN-ECO_DATA'!B:G,6,FALSE))),"")</f>
        <v/>
      </c>
      <c r="H127" s="45" t="str">
        <f>IFERROR(VLOOKUP(B127,'ECN-ECO_DATA'!B:G,4,FALSE),"")</f>
        <v/>
      </c>
      <c r="I127" s="46" t="str">
        <f>IFERROR(IF(VLOOKUP(B127,'ECN-ECO_DATA'!B:G,6,FALSE)="","Not started",IF(VLOOKUP(B127,'ECN-ECO_DATA'!B:J,7,FALSE)="","Awaiting First Approval",IF(VLOOKUP(B127,'ECN-ECO_DATA'!B:J,8,FALSE)="","Awaiting Quality Check Approval",IF(VLOOKUP(B127,'ECN-ECO_DATA'!B:J,9,FALSE)="","Awaiting Last Approval",IF(VLOOKUP(B127,'ECN-ECO_DATA'!B:J,9,FALSE)&lt;&gt;"","Approved","Unknown"))))),"")</f>
        <v/>
      </c>
      <c r="K127" s="47" t="str">
        <f>IFERROR(VLOOKUP(B127,'ECN-ECO_DATA'!B:W,22,FALSE),"")</f>
        <v/>
      </c>
      <c r="L127" s="43" t="str">
        <f>IFERROR(IF(VLOOKUP(B127,'ECN-ECO_DATA'!B:AB,27,FALSE)=0,"",VLOOKUP(B127,'ECN-ECO_DATA'!B:AB,27,FALSE)),"")</f>
        <v/>
      </c>
      <c r="M127" s="43" t="str">
        <f>IFERROR(VLOOKUP(B127,'ECN-ECO_DATA'!B:AE,30,FALSE),"")</f>
        <v/>
      </c>
      <c r="N127" s="59" t="str">
        <f>IFERROR(IF((VLOOKUP(B127,'ECN-ECO_DATA'!B:AD,20,FALSE)-VLOOKUP(B127,'ECN-ECO_DATA'!B:AD,18,FALSE))&gt;0,(VLOOKUP(B127,'ECN-ECO_DATA'!B:AD,20,FALSE)-VLOOKUP(B127,'ECN-ECO_DATA'!B:AD,18,FALSE)),""),"")</f>
        <v/>
      </c>
      <c r="O127" s="59"/>
      <c r="P127" s="59" t="str">
        <f>IFERROR(VLOOKUP(B127,'ECN-ECO_DATA'!B:P,13,FALSE),"")</f>
        <v/>
      </c>
      <c r="Q127" s="43" t="str">
        <f>IFERROR(VLOOKUP(B127,'ECN-ECO_DATA'!B:P,15,FALSE),"")</f>
        <v/>
      </c>
    </row>
    <row r="128" spans="3:17" x14ac:dyDescent="0.25">
      <c r="C128" s="43" t="str">
        <f>IFERROR(VLOOKUP(B128,'ECN-ECO_DATA'!B:C,2,FALSE),"")</f>
        <v/>
      </c>
      <c r="D128" s="43" t="str">
        <f>IFERROR(VLOOKUP(B128,'ECN-ECO_DATA'!B:X,23,FALSE),"")</f>
        <v/>
      </c>
      <c r="E128" s="44" t="str">
        <f>IFERROR(VLOOKUP(B128,'ECN-ECO_DATA'!B:G,5,FALSE),"")</f>
        <v/>
      </c>
      <c r="F128" s="44" t="str">
        <f>IFERROR((IF(VLOOKUP(B128,'ECN-ECO_DATA'!B:G,6,FALSE)="","",VLOOKUP(B128,'ECN-ECO_DATA'!B:G,6,FALSE))),"")</f>
        <v/>
      </c>
      <c r="H128" s="45" t="str">
        <f>IFERROR(VLOOKUP(B128,'ECN-ECO_DATA'!B:G,4,FALSE),"")</f>
        <v/>
      </c>
      <c r="I128" s="46" t="str">
        <f>IFERROR(IF(VLOOKUP(B128,'ECN-ECO_DATA'!B:G,6,FALSE)="","Not started",IF(VLOOKUP(B128,'ECN-ECO_DATA'!B:J,7,FALSE)="","Awaiting First Approval",IF(VLOOKUP(B128,'ECN-ECO_DATA'!B:J,8,FALSE)="","Awaiting Quality Check Approval",IF(VLOOKUP(B128,'ECN-ECO_DATA'!B:J,9,FALSE)="","Awaiting Last Approval",IF(VLOOKUP(B128,'ECN-ECO_DATA'!B:J,9,FALSE)&lt;&gt;"","Approved","Unknown"))))),"")</f>
        <v/>
      </c>
      <c r="K128" s="47" t="str">
        <f>IFERROR(VLOOKUP(B128,'ECN-ECO_DATA'!B:W,22,FALSE),"")</f>
        <v/>
      </c>
      <c r="L128" s="43" t="str">
        <f>IFERROR(IF(VLOOKUP(B128,'ECN-ECO_DATA'!B:AB,27,FALSE)=0,"",VLOOKUP(B128,'ECN-ECO_DATA'!B:AB,27,FALSE)),"")</f>
        <v/>
      </c>
      <c r="M128" s="43" t="str">
        <f>IFERROR(VLOOKUP(B128,'ECN-ECO_DATA'!B:AE,30,FALSE),"")</f>
        <v/>
      </c>
      <c r="N128" s="59" t="str">
        <f>IFERROR(IF((VLOOKUP(B128,'ECN-ECO_DATA'!B:AD,20,FALSE)-VLOOKUP(B128,'ECN-ECO_DATA'!B:AD,18,FALSE))&gt;0,(VLOOKUP(B128,'ECN-ECO_DATA'!B:AD,20,FALSE)-VLOOKUP(B128,'ECN-ECO_DATA'!B:AD,18,FALSE)),""),"")</f>
        <v/>
      </c>
      <c r="O128" s="59"/>
      <c r="P128" s="59" t="str">
        <f>IFERROR(VLOOKUP(B128,'ECN-ECO_DATA'!B:P,13,FALSE),"")</f>
        <v/>
      </c>
      <c r="Q128" s="43" t="str">
        <f>IFERROR(VLOOKUP(B128,'ECN-ECO_DATA'!B:P,15,FALSE),"")</f>
        <v/>
      </c>
    </row>
    <row r="129" spans="3:17" x14ac:dyDescent="0.25">
      <c r="C129" s="43" t="str">
        <f>IFERROR(VLOOKUP(B129,'ECN-ECO_DATA'!B:C,2,FALSE),"")</f>
        <v/>
      </c>
      <c r="D129" s="43" t="str">
        <f>IFERROR(VLOOKUP(B129,'ECN-ECO_DATA'!B:X,23,FALSE),"")</f>
        <v/>
      </c>
      <c r="E129" s="44" t="str">
        <f>IFERROR(VLOOKUP(B129,'ECN-ECO_DATA'!B:G,5,FALSE),"")</f>
        <v/>
      </c>
      <c r="F129" s="44" t="str">
        <f>IFERROR((IF(VLOOKUP(B129,'ECN-ECO_DATA'!B:G,6,FALSE)="","",VLOOKUP(B129,'ECN-ECO_DATA'!B:G,6,FALSE))),"")</f>
        <v/>
      </c>
      <c r="H129" s="45" t="str">
        <f>IFERROR(VLOOKUP(B129,'ECN-ECO_DATA'!B:G,4,FALSE),"")</f>
        <v/>
      </c>
      <c r="I129" s="46" t="str">
        <f>IFERROR(IF(VLOOKUP(B129,'ECN-ECO_DATA'!B:G,6,FALSE)="","Not started",IF(VLOOKUP(B129,'ECN-ECO_DATA'!B:J,7,FALSE)="","Awaiting First Approval",IF(VLOOKUP(B129,'ECN-ECO_DATA'!B:J,8,FALSE)="","Awaiting Quality Check Approval",IF(VLOOKUP(B129,'ECN-ECO_DATA'!B:J,9,FALSE)="","Awaiting Last Approval",IF(VLOOKUP(B129,'ECN-ECO_DATA'!B:J,9,FALSE)&lt;&gt;"","Approved","Unknown"))))),"")</f>
        <v/>
      </c>
      <c r="K129" s="47" t="str">
        <f>IFERROR(VLOOKUP(B129,'ECN-ECO_DATA'!B:W,22,FALSE),"")</f>
        <v/>
      </c>
      <c r="L129" s="43" t="str">
        <f>IFERROR(IF(VLOOKUP(B129,'ECN-ECO_DATA'!B:AB,27,FALSE)=0,"",VLOOKUP(B129,'ECN-ECO_DATA'!B:AB,27,FALSE)),"")</f>
        <v/>
      </c>
      <c r="M129" s="43" t="str">
        <f>IFERROR(VLOOKUP(B129,'ECN-ECO_DATA'!B:AE,30,FALSE),"")</f>
        <v/>
      </c>
      <c r="N129" s="59" t="str">
        <f>IFERROR(IF((VLOOKUP(B129,'ECN-ECO_DATA'!B:AD,20,FALSE)-VLOOKUP(B129,'ECN-ECO_DATA'!B:AD,18,FALSE))&gt;0,(VLOOKUP(B129,'ECN-ECO_DATA'!B:AD,20,FALSE)-VLOOKUP(B129,'ECN-ECO_DATA'!B:AD,18,FALSE)),""),"")</f>
        <v/>
      </c>
      <c r="O129" s="59"/>
      <c r="P129" s="59" t="str">
        <f>IFERROR(VLOOKUP(B129,'ECN-ECO_DATA'!B:P,13,FALSE),"")</f>
        <v/>
      </c>
      <c r="Q129" s="43" t="str">
        <f>IFERROR(VLOOKUP(B129,'ECN-ECO_DATA'!B:P,15,FALSE),"")</f>
        <v/>
      </c>
    </row>
    <row r="130" spans="3:17" x14ac:dyDescent="0.25">
      <c r="C130" s="43" t="str">
        <f>IFERROR(VLOOKUP(B130,'ECN-ECO_DATA'!B:C,2,FALSE),"")</f>
        <v/>
      </c>
      <c r="D130" s="43" t="str">
        <f>IFERROR(VLOOKUP(B130,'ECN-ECO_DATA'!B:X,23,FALSE),"")</f>
        <v/>
      </c>
      <c r="E130" s="44" t="str">
        <f>IFERROR(VLOOKUP(B130,'ECN-ECO_DATA'!B:G,5,FALSE),"")</f>
        <v/>
      </c>
      <c r="F130" s="44" t="str">
        <f>IFERROR((IF(VLOOKUP(B130,'ECN-ECO_DATA'!B:G,6,FALSE)="","",VLOOKUP(B130,'ECN-ECO_DATA'!B:G,6,FALSE))),"")</f>
        <v/>
      </c>
      <c r="H130" s="45" t="str">
        <f>IFERROR(VLOOKUP(B130,'ECN-ECO_DATA'!B:G,4,FALSE),"")</f>
        <v/>
      </c>
      <c r="I130" s="46" t="str">
        <f>IFERROR(IF(VLOOKUP(B130,'ECN-ECO_DATA'!B:G,6,FALSE)="","Not started",IF(VLOOKUP(B130,'ECN-ECO_DATA'!B:J,7,FALSE)="","Awaiting First Approval",IF(VLOOKUP(B130,'ECN-ECO_DATA'!B:J,8,FALSE)="","Awaiting Quality Check Approval",IF(VLOOKUP(B130,'ECN-ECO_DATA'!B:J,9,FALSE)="","Awaiting Last Approval",IF(VLOOKUP(B130,'ECN-ECO_DATA'!B:J,9,FALSE)&lt;&gt;"","Approved","Unknown"))))),"")</f>
        <v/>
      </c>
      <c r="K130" s="47" t="str">
        <f>IFERROR(VLOOKUP(B130,'ECN-ECO_DATA'!B:W,22,FALSE),"")</f>
        <v/>
      </c>
      <c r="L130" s="43" t="str">
        <f>IFERROR(IF(VLOOKUP(B130,'ECN-ECO_DATA'!B:AB,27,FALSE)=0,"",VLOOKUP(B130,'ECN-ECO_DATA'!B:AB,27,FALSE)),"")</f>
        <v/>
      </c>
      <c r="M130" s="43" t="str">
        <f>IFERROR(VLOOKUP(B130,'ECN-ECO_DATA'!B:AE,30,FALSE),"")</f>
        <v/>
      </c>
      <c r="N130" s="59" t="str">
        <f>IFERROR(IF((VLOOKUP(B130,'ECN-ECO_DATA'!B:AD,20,FALSE)-VLOOKUP(B130,'ECN-ECO_DATA'!B:AD,18,FALSE))&gt;0,(VLOOKUP(B130,'ECN-ECO_DATA'!B:AD,20,FALSE)-VLOOKUP(B130,'ECN-ECO_DATA'!B:AD,18,FALSE)),""),"")</f>
        <v/>
      </c>
      <c r="O130" s="59"/>
      <c r="P130" s="59" t="str">
        <f>IFERROR(VLOOKUP(B130,'ECN-ECO_DATA'!B:P,13,FALSE),"")</f>
        <v/>
      </c>
      <c r="Q130" s="43" t="str">
        <f>IFERROR(VLOOKUP(B130,'ECN-ECO_DATA'!B:P,15,FALSE),"")</f>
        <v/>
      </c>
    </row>
    <row r="131" spans="3:17" x14ac:dyDescent="0.25">
      <c r="C131" s="43" t="str">
        <f>IFERROR(VLOOKUP(B131,'ECN-ECO_DATA'!B:C,2,FALSE),"")</f>
        <v/>
      </c>
      <c r="D131" s="43" t="str">
        <f>IFERROR(VLOOKUP(B131,'ECN-ECO_DATA'!B:X,23,FALSE),"")</f>
        <v/>
      </c>
      <c r="E131" s="44" t="str">
        <f>IFERROR(VLOOKUP(B131,'ECN-ECO_DATA'!B:G,5,FALSE),"")</f>
        <v/>
      </c>
      <c r="F131" s="44" t="str">
        <f>IFERROR((IF(VLOOKUP(B131,'ECN-ECO_DATA'!B:G,6,FALSE)="","",VLOOKUP(B131,'ECN-ECO_DATA'!B:G,6,FALSE))),"")</f>
        <v/>
      </c>
      <c r="H131" s="45" t="str">
        <f>IFERROR(VLOOKUP(B131,'ECN-ECO_DATA'!B:G,4,FALSE),"")</f>
        <v/>
      </c>
      <c r="I131" s="46" t="str">
        <f>IFERROR(IF(VLOOKUP(B131,'ECN-ECO_DATA'!B:G,6,FALSE)="","Not started",IF(VLOOKUP(B131,'ECN-ECO_DATA'!B:J,7,FALSE)="","Awaiting First Approval",IF(VLOOKUP(B131,'ECN-ECO_DATA'!B:J,8,FALSE)="","Awaiting Quality Check Approval",IF(VLOOKUP(B131,'ECN-ECO_DATA'!B:J,9,FALSE)="","Awaiting Last Approval",IF(VLOOKUP(B131,'ECN-ECO_DATA'!B:J,9,FALSE)&lt;&gt;"","Approved","Unknown"))))),"")</f>
        <v/>
      </c>
      <c r="K131" s="47" t="str">
        <f>IFERROR(VLOOKUP(B131,'ECN-ECO_DATA'!B:W,22,FALSE),"")</f>
        <v/>
      </c>
      <c r="L131" s="43" t="str">
        <f>IFERROR(IF(VLOOKUP(B131,'ECN-ECO_DATA'!B:AB,27,FALSE)=0,"",VLOOKUP(B131,'ECN-ECO_DATA'!B:AB,27,FALSE)),"")</f>
        <v/>
      </c>
      <c r="M131" s="43" t="str">
        <f>IFERROR(VLOOKUP(B131,'ECN-ECO_DATA'!B:AE,30,FALSE),"")</f>
        <v/>
      </c>
      <c r="N131" s="59" t="str">
        <f>IFERROR(IF((VLOOKUP(B131,'ECN-ECO_DATA'!B:AD,20,FALSE)-VLOOKUP(B131,'ECN-ECO_DATA'!B:AD,18,FALSE))&gt;0,(VLOOKUP(B131,'ECN-ECO_DATA'!B:AD,20,FALSE)-VLOOKUP(B131,'ECN-ECO_DATA'!B:AD,18,FALSE)),""),"")</f>
        <v/>
      </c>
      <c r="O131" s="59"/>
      <c r="P131" s="59" t="str">
        <f>IFERROR(VLOOKUP(B131,'ECN-ECO_DATA'!B:P,13,FALSE),"")</f>
        <v/>
      </c>
      <c r="Q131" s="43" t="str">
        <f>IFERROR(VLOOKUP(B131,'ECN-ECO_DATA'!B:P,15,FALSE),"")</f>
        <v/>
      </c>
    </row>
    <row r="132" spans="3:17" x14ac:dyDescent="0.25">
      <c r="C132" s="43" t="str">
        <f>IFERROR(VLOOKUP(B132,'ECN-ECO_DATA'!B:C,2,FALSE),"")</f>
        <v/>
      </c>
      <c r="D132" s="43" t="str">
        <f>IFERROR(VLOOKUP(B132,'ECN-ECO_DATA'!B:X,23,FALSE),"")</f>
        <v/>
      </c>
      <c r="E132" s="44" t="str">
        <f>IFERROR(VLOOKUP(B132,'ECN-ECO_DATA'!B:G,5,FALSE),"")</f>
        <v/>
      </c>
      <c r="F132" s="44" t="str">
        <f>IFERROR((IF(VLOOKUP(B132,'ECN-ECO_DATA'!B:G,6,FALSE)="","",VLOOKUP(B132,'ECN-ECO_DATA'!B:G,6,FALSE))),"")</f>
        <v/>
      </c>
      <c r="H132" s="45" t="str">
        <f>IFERROR(VLOOKUP(B132,'ECN-ECO_DATA'!B:G,4,FALSE),"")</f>
        <v/>
      </c>
      <c r="I132" s="46" t="str">
        <f>IFERROR(IF(VLOOKUP(B132,'ECN-ECO_DATA'!B:G,6,FALSE)="","Not started",IF(VLOOKUP(B132,'ECN-ECO_DATA'!B:J,7,FALSE)="","Awaiting First Approval",IF(VLOOKUP(B132,'ECN-ECO_DATA'!B:J,8,FALSE)="","Awaiting Quality Check Approval",IF(VLOOKUP(B132,'ECN-ECO_DATA'!B:J,9,FALSE)="","Awaiting Last Approval",IF(VLOOKUP(B132,'ECN-ECO_DATA'!B:J,9,FALSE)&lt;&gt;"","Approved","Unknown"))))),"")</f>
        <v/>
      </c>
      <c r="K132" s="47" t="str">
        <f>IFERROR(VLOOKUP(B132,'ECN-ECO_DATA'!B:W,22,FALSE),"")</f>
        <v/>
      </c>
      <c r="L132" s="43" t="str">
        <f>IFERROR(IF(VLOOKUP(B132,'ECN-ECO_DATA'!B:AB,27,FALSE)=0,"",VLOOKUP(B132,'ECN-ECO_DATA'!B:AB,27,FALSE)),"")</f>
        <v/>
      </c>
      <c r="M132" s="43" t="str">
        <f>IFERROR(VLOOKUP(B132,'ECN-ECO_DATA'!B:AE,30,FALSE),"")</f>
        <v/>
      </c>
      <c r="N132" s="59" t="str">
        <f>IFERROR(IF((VLOOKUP(B132,'ECN-ECO_DATA'!B:AD,20,FALSE)-VLOOKUP(B132,'ECN-ECO_DATA'!B:AD,18,FALSE))&gt;0,(VLOOKUP(B132,'ECN-ECO_DATA'!B:AD,20,FALSE)-VLOOKUP(B132,'ECN-ECO_DATA'!B:AD,18,FALSE)),""),"")</f>
        <v/>
      </c>
      <c r="O132" s="59"/>
      <c r="P132" s="59" t="str">
        <f>IFERROR(VLOOKUP(B132,'ECN-ECO_DATA'!B:P,13,FALSE),"")</f>
        <v/>
      </c>
      <c r="Q132" s="43" t="str">
        <f>IFERROR(VLOOKUP(B132,'ECN-ECO_DATA'!B:P,15,FALSE),"")</f>
        <v/>
      </c>
    </row>
    <row r="133" spans="3:17" x14ac:dyDescent="0.25">
      <c r="C133" s="43" t="str">
        <f>IFERROR(VLOOKUP(B133,'ECN-ECO_DATA'!B:C,2,FALSE),"")</f>
        <v/>
      </c>
      <c r="D133" s="43" t="str">
        <f>IFERROR(VLOOKUP(B133,'ECN-ECO_DATA'!B:X,23,FALSE),"")</f>
        <v/>
      </c>
      <c r="E133" s="44" t="str">
        <f>IFERROR(VLOOKUP(B133,'ECN-ECO_DATA'!B:G,5,FALSE),"")</f>
        <v/>
      </c>
      <c r="F133" s="44" t="str">
        <f>IFERROR((IF(VLOOKUP(B133,'ECN-ECO_DATA'!B:G,6,FALSE)="","",VLOOKUP(B133,'ECN-ECO_DATA'!B:G,6,FALSE))),"")</f>
        <v/>
      </c>
      <c r="H133" s="45" t="str">
        <f>IFERROR(VLOOKUP(B133,'ECN-ECO_DATA'!B:G,4,FALSE),"")</f>
        <v/>
      </c>
      <c r="I133" s="46" t="str">
        <f>IFERROR(IF(VLOOKUP(B133,'ECN-ECO_DATA'!B:G,6,FALSE)="","Not started",IF(VLOOKUP(B133,'ECN-ECO_DATA'!B:J,7,FALSE)="","Awaiting First Approval",IF(VLOOKUP(B133,'ECN-ECO_DATA'!B:J,8,FALSE)="","Awaiting Quality Check Approval",IF(VLOOKUP(B133,'ECN-ECO_DATA'!B:J,9,FALSE)="","Awaiting Last Approval",IF(VLOOKUP(B133,'ECN-ECO_DATA'!B:J,9,FALSE)&lt;&gt;"","Approved","Unknown"))))),"")</f>
        <v/>
      </c>
      <c r="K133" s="47" t="str">
        <f>IFERROR(VLOOKUP(B133,'ECN-ECO_DATA'!B:W,22,FALSE),"")</f>
        <v/>
      </c>
      <c r="L133" s="43" t="str">
        <f>IFERROR(IF(VLOOKUP(B133,'ECN-ECO_DATA'!B:AB,27,FALSE)=0,"",VLOOKUP(B133,'ECN-ECO_DATA'!B:AB,27,FALSE)),"")</f>
        <v/>
      </c>
      <c r="M133" s="43" t="str">
        <f>IFERROR(VLOOKUP(B133,'ECN-ECO_DATA'!B:AE,30,FALSE),"")</f>
        <v/>
      </c>
      <c r="N133" s="59" t="str">
        <f>IFERROR(IF((VLOOKUP(B133,'ECN-ECO_DATA'!B:AD,20,FALSE)-VLOOKUP(B133,'ECN-ECO_DATA'!B:AD,18,FALSE))&gt;0,(VLOOKUP(B133,'ECN-ECO_DATA'!B:AD,20,FALSE)-VLOOKUP(B133,'ECN-ECO_DATA'!B:AD,18,FALSE)),""),"")</f>
        <v/>
      </c>
      <c r="O133" s="59"/>
      <c r="P133" s="59" t="str">
        <f>IFERROR(VLOOKUP(B133,'ECN-ECO_DATA'!B:P,13,FALSE),"")</f>
        <v/>
      </c>
      <c r="Q133" s="43" t="str">
        <f>IFERROR(VLOOKUP(B133,'ECN-ECO_DATA'!B:P,15,FALSE),"")</f>
        <v/>
      </c>
    </row>
    <row r="134" spans="3:17" x14ac:dyDescent="0.25">
      <c r="C134" s="43" t="str">
        <f>IFERROR(VLOOKUP(B134,'ECN-ECO_DATA'!B:C,2,FALSE),"")</f>
        <v/>
      </c>
      <c r="D134" s="43" t="str">
        <f>IFERROR(VLOOKUP(B134,'ECN-ECO_DATA'!B:X,23,FALSE),"")</f>
        <v/>
      </c>
      <c r="E134" s="44" t="str">
        <f>IFERROR(VLOOKUP(B134,'ECN-ECO_DATA'!B:G,5,FALSE),"")</f>
        <v/>
      </c>
      <c r="F134" s="44" t="str">
        <f>IFERROR((IF(VLOOKUP(B134,'ECN-ECO_DATA'!B:G,6,FALSE)="","",VLOOKUP(B134,'ECN-ECO_DATA'!B:G,6,FALSE))),"")</f>
        <v/>
      </c>
      <c r="H134" s="45" t="str">
        <f>IFERROR(VLOOKUP(B134,'ECN-ECO_DATA'!B:G,4,FALSE),"")</f>
        <v/>
      </c>
      <c r="I134" s="46" t="str">
        <f>IFERROR(IF(VLOOKUP(B134,'ECN-ECO_DATA'!B:G,6,FALSE)="","Not started",IF(VLOOKUP(B134,'ECN-ECO_DATA'!B:J,7,FALSE)="","Awaiting First Approval",IF(VLOOKUP(B134,'ECN-ECO_DATA'!B:J,8,FALSE)="","Awaiting Quality Check Approval",IF(VLOOKUP(B134,'ECN-ECO_DATA'!B:J,9,FALSE)="","Awaiting Last Approval",IF(VLOOKUP(B134,'ECN-ECO_DATA'!B:J,9,FALSE)&lt;&gt;"","Approved","Unknown"))))),"")</f>
        <v/>
      </c>
      <c r="K134" s="47" t="str">
        <f>IFERROR(VLOOKUP(B134,'ECN-ECO_DATA'!B:W,22,FALSE),"")</f>
        <v/>
      </c>
      <c r="L134" s="43" t="str">
        <f>IFERROR(IF(VLOOKUP(B134,'ECN-ECO_DATA'!B:AB,27,FALSE)=0,"",VLOOKUP(B134,'ECN-ECO_DATA'!B:AB,27,FALSE)),"")</f>
        <v/>
      </c>
      <c r="M134" s="43" t="str">
        <f>IFERROR(VLOOKUP(B134,'ECN-ECO_DATA'!B:AE,30,FALSE),"")</f>
        <v/>
      </c>
      <c r="N134" s="59" t="str">
        <f>IFERROR(IF((VLOOKUP(B134,'ECN-ECO_DATA'!B:AD,20,FALSE)-VLOOKUP(B134,'ECN-ECO_DATA'!B:AD,18,FALSE))&gt;0,(VLOOKUP(B134,'ECN-ECO_DATA'!B:AD,20,FALSE)-VLOOKUP(B134,'ECN-ECO_DATA'!B:AD,18,FALSE)),""),"")</f>
        <v/>
      </c>
      <c r="O134" s="59"/>
      <c r="P134" s="59" t="str">
        <f>IFERROR(VLOOKUP(B134,'ECN-ECO_DATA'!B:P,13,FALSE),"")</f>
        <v/>
      </c>
      <c r="Q134" s="43" t="str">
        <f>IFERROR(VLOOKUP(B134,'ECN-ECO_DATA'!B:P,15,FALSE),"")</f>
        <v/>
      </c>
    </row>
    <row r="135" spans="3:17" x14ac:dyDescent="0.25">
      <c r="C135" s="43" t="str">
        <f>IFERROR(VLOOKUP(B135,'ECN-ECO_DATA'!B:C,2,FALSE),"")</f>
        <v/>
      </c>
      <c r="D135" s="43" t="str">
        <f>IFERROR(VLOOKUP(B135,'ECN-ECO_DATA'!B:X,23,FALSE),"")</f>
        <v/>
      </c>
      <c r="E135" s="44" t="str">
        <f>IFERROR(VLOOKUP(B135,'ECN-ECO_DATA'!B:G,5,FALSE),"")</f>
        <v/>
      </c>
      <c r="F135" s="44" t="str">
        <f>IFERROR((IF(VLOOKUP(B135,'ECN-ECO_DATA'!B:G,6,FALSE)="","",VLOOKUP(B135,'ECN-ECO_DATA'!B:G,6,FALSE))),"")</f>
        <v/>
      </c>
      <c r="H135" s="45" t="str">
        <f>IFERROR(VLOOKUP(B135,'ECN-ECO_DATA'!B:G,4,FALSE),"")</f>
        <v/>
      </c>
      <c r="I135" s="46" t="str">
        <f>IFERROR(IF(VLOOKUP(B135,'ECN-ECO_DATA'!B:G,6,FALSE)="","Not started",IF(VLOOKUP(B135,'ECN-ECO_DATA'!B:J,7,FALSE)="","Awaiting First Approval",IF(VLOOKUP(B135,'ECN-ECO_DATA'!B:J,8,FALSE)="","Awaiting Quality Check Approval",IF(VLOOKUP(B135,'ECN-ECO_DATA'!B:J,9,FALSE)="","Awaiting Last Approval",IF(VLOOKUP(B135,'ECN-ECO_DATA'!B:J,9,FALSE)&lt;&gt;"","Approved","Unknown"))))),"")</f>
        <v/>
      </c>
      <c r="K135" s="47" t="str">
        <f>IFERROR(VLOOKUP(B135,'ECN-ECO_DATA'!B:W,22,FALSE),"")</f>
        <v/>
      </c>
      <c r="L135" s="43" t="str">
        <f>IFERROR(IF(VLOOKUP(B135,'ECN-ECO_DATA'!B:AB,27,FALSE)=0,"",VLOOKUP(B135,'ECN-ECO_DATA'!B:AB,27,FALSE)),"")</f>
        <v/>
      </c>
      <c r="M135" s="43" t="str">
        <f>IFERROR(VLOOKUP(B135,'ECN-ECO_DATA'!B:AE,30,FALSE),"")</f>
        <v/>
      </c>
      <c r="N135" s="59" t="str">
        <f>IFERROR(IF((VLOOKUP(B135,'ECN-ECO_DATA'!B:AD,20,FALSE)-VLOOKUP(B135,'ECN-ECO_DATA'!B:AD,18,FALSE))&gt;0,(VLOOKUP(B135,'ECN-ECO_DATA'!B:AD,20,FALSE)-VLOOKUP(B135,'ECN-ECO_DATA'!B:AD,18,FALSE)),""),"")</f>
        <v/>
      </c>
      <c r="O135" s="59"/>
      <c r="P135" s="59" t="str">
        <f>IFERROR(VLOOKUP(B135,'ECN-ECO_DATA'!B:P,13,FALSE),"")</f>
        <v/>
      </c>
      <c r="Q135" s="43" t="str">
        <f>IFERROR(VLOOKUP(B135,'ECN-ECO_DATA'!B:P,15,FALSE),"")</f>
        <v/>
      </c>
    </row>
    <row r="136" spans="3:17" x14ac:dyDescent="0.25">
      <c r="C136" s="43" t="str">
        <f>IFERROR(VLOOKUP(B136,'ECN-ECO_DATA'!B:C,2,FALSE),"")</f>
        <v/>
      </c>
      <c r="D136" s="43" t="str">
        <f>IFERROR(VLOOKUP(B136,'ECN-ECO_DATA'!B:X,23,FALSE),"")</f>
        <v/>
      </c>
      <c r="E136" s="44" t="str">
        <f>IFERROR(VLOOKUP(B136,'ECN-ECO_DATA'!B:G,5,FALSE),"")</f>
        <v/>
      </c>
      <c r="F136" s="44" t="str">
        <f>IFERROR((IF(VLOOKUP(B136,'ECN-ECO_DATA'!B:G,6,FALSE)="","",VLOOKUP(B136,'ECN-ECO_DATA'!B:G,6,FALSE))),"")</f>
        <v/>
      </c>
      <c r="H136" s="45" t="str">
        <f>IFERROR(VLOOKUP(B136,'ECN-ECO_DATA'!B:G,4,FALSE),"")</f>
        <v/>
      </c>
      <c r="I136" s="46" t="str">
        <f>IFERROR(IF(VLOOKUP(B136,'ECN-ECO_DATA'!B:G,6,FALSE)="","Not started",IF(VLOOKUP(B136,'ECN-ECO_DATA'!B:J,7,FALSE)="","Awaiting First Approval",IF(VLOOKUP(B136,'ECN-ECO_DATA'!B:J,8,FALSE)="","Awaiting Quality Check Approval",IF(VLOOKUP(B136,'ECN-ECO_DATA'!B:J,9,FALSE)="","Awaiting Last Approval",IF(VLOOKUP(B136,'ECN-ECO_DATA'!B:J,9,FALSE)&lt;&gt;"","Approved","Unknown"))))),"")</f>
        <v/>
      </c>
      <c r="K136" s="47" t="str">
        <f>IFERROR(VLOOKUP(B136,'ECN-ECO_DATA'!B:W,22,FALSE),"")</f>
        <v/>
      </c>
      <c r="L136" s="43" t="str">
        <f>IFERROR(IF(VLOOKUP(B136,'ECN-ECO_DATA'!B:AB,27,FALSE)=0,"",VLOOKUP(B136,'ECN-ECO_DATA'!B:AB,27,FALSE)),"")</f>
        <v/>
      </c>
      <c r="M136" s="43" t="str">
        <f>IFERROR(VLOOKUP(B136,'ECN-ECO_DATA'!B:AE,30,FALSE),"")</f>
        <v/>
      </c>
      <c r="N136" s="59" t="str">
        <f>IFERROR(IF((VLOOKUP(B136,'ECN-ECO_DATA'!B:AD,20,FALSE)-VLOOKUP(B136,'ECN-ECO_DATA'!B:AD,18,FALSE))&gt;0,(VLOOKUP(B136,'ECN-ECO_DATA'!B:AD,20,FALSE)-VLOOKUP(B136,'ECN-ECO_DATA'!B:AD,18,FALSE)),""),"")</f>
        <v/>
      </c>
      <c r="O136" s="59"/>
      <c r="P136" s="59" t="str">
        <f>IFERROR(VLOOKUP(B136,'ECN-ECO_DATA'!B:P,13,FALSE),"")</f>
        <v/>
      </c>
      <c r="Q136" s="43" t="str">
        <f>IFERROR(VLOOKUP(B136,'ECN-ECO_DATA'!B:P,15,FALSE),"")</f>
        <v/>
      </c>
    </row>
    <row r="137" spans="3:17" x14ac:dyDescent="0.25">
      <c r="C137" s="43" t="str">
        <f>IFERROR(VLOOKUP(B137,'ECN-ECO_DATA'!B:C,2,FALSE),"")</f>
        <v/>
      </c>
      <c r="D137" s="43" t="str">
        <f>IFERROR(VLOOKUP(B137,'ECN-ECO_DATA'!B:X,23,FALSE),"")</f>
        <v/>
      </c>
      <c r="E137" s="44" t="str">
        <f>IFERROR(VLOOKUP(B137,'ECN-ECO_DATA'!B:G,5,FALSE),"")</f>
        <v/>
      </c>
      <c r="F137" s="44" t="str">
        <f>IFERROR((IF(VLOOKUP(B137,'ECN-ECO_DATA'!B:G,6,FALSE)="","",VLOOKUP(B137,'ECN-ECO_DATA'!B:G,6,FALSE))),"")</f>
        <v/>
      </c>
      <c r="H137" s="45" t="str">
        <f>IFERROR(VLOOKUP(B137,'ECN-ECO_DATA'!B:G,4,FALSE),"")</f>
        <v/>
      </c>
      <c r="I137" s="46" t="str">
        <f>IFERROR(IF(VLOOKUP(B137,'ECN-ECO_DATA'!B:G,6,FALSE)="","Not started",IF(VLOOKUP(B137,'ECN-ECO_DATA'!B:J,7,FALSE)="","Awaiting First Approval",IF(VLOOKUP(B137,'ECN-ECO_DATA'!B:J,8,FALSE)="","Awaiting Quality Check Approval",IF(VLOOKUP(B137,'ECN-ECO_DATA'!B:J,9,FALSE)="","Awaiting Last Approval",IF(VLOOKUP(B137,'ECN-ECO_DATA'!B:J,9,FALSE)&lt;&gt;"","Approved","Unknown"))))),"")</f>
        <v/>
      </c>
      <c r="K137" s="47" t="str">
        <f>IFERROR(VLOOKUP(B137,'ECN-ECO_DATA'!B:W,22,FALSE),"")</f>
        <v/>
      </c>
      <c r="L137" s="43" t="str">
        <f>IFERROR(IF(VLOOKUP(B137,'ECN-ECO_DATA'!B:AB,27,FALSE)=0,"",VLOOKUP(B137,'ECN-ECO_DATA'!B:AB,27,FALSE)),"")</f>
        <v/>
      </c>
      <c r="M137" s="43" t="str">
        <f>IFERROR(VLOOKUP(B137,'ECN-ECO_DATA'!B:AE,30,FALSE),"")</f>
        <v/>
      </c>
      <c r="N137" s="59" t="str">
        <f>IFERROR(IF((VLOOKUP(B137,'ECN-ECO_DATA'!B:AD,20,FALSE)-VLOOKUP(B137,'ECN-ECO_DATA'!B:AD,18,FALSE))&gt;0,(VLOOKUP(B137,'ECN-ECO_DATA'!B:AD,20,FALSE)-VLOOKUP(B137,'ECN-ECO_DATA'!B:AD,18,FALSE)),""),"")</f>
        <v/>
      </c>
      <c r="O137" s="59"/>
      <c r="P137" s="59" t="str">
        <f>IFERROR(VLOOKUP(B137,'ECN-ECO_DATA'!B:P,13,FALSE),"")</f>
        <v/>
      </c>
      <c r="Q137" s="43" t="str">
        <f>IFERROR(VLOOKUP(B137,'ECN-ECO_DATA'!B:P,15,FALSE),"")</f>
        <v/>
      </c>
    </row>
    <row r="138" spans="3:17" x14ac:dyDescent="0.25">
      <c r="C138" s="43" t="str">
        <f>IFERROR(VLOOKUP(B138,'ECN-ECO_DATA'!B:C,2,FALSE),"")</f>
        <v/>
      </c>
      <c r="D138" s="43" t="str">
        <f>IFERROR(VLOOKUP(B138,'ECN-ECO_DATA'!B:X,23,FALSE),"")</f>
        <v/>
      </c>
      <c r="E138" s="44" t="str">
        <f>IFERROR(VLOOKUP(B138,'ECN-ECO_DATA'!B:G,5,FALSE),"")</f>
        <v/>
      </c>
      <c r="F138" s="44" t="str">
        <f>IFERROR((IF(VLOOKUP(B138,'ECN-ECO_DATA'!B:G,6,FALSE)="","",VLOOKUP(B138,'ECN-ECO_DATA'!B:G,6,FALSE))),"")</f>
        <v/>
      </c>
      <c r="H138" s="45" t="str">
        <f>IFERROR(VLOOKUP(B138,'ECN-ECO_DATA'!B:G,4,FALSE),"")</f>
        <v/>
      </c>
      <c r="I138" s="46" t="str">
        <f>IFERROR(IF(VLOOKUP(B138,'ECN-ECO_DATA'!B:G,6,FALSE)="","Not started",IF(VLOOKUP(B138,'ECN-ECO_DATA'!B:J,7,FALSE)="","Awaiting First Approval",IF(VLOOKUP(B138,'ECN-ECO_DATA'!B:J,8,FALSE)="","Awaiting Quality Check Approval",IF(VLOOKUP(B138,'ECN-ECO_DATA'!B:J,9,FALSE)="","Awaiting Last Approval",IF(VLOOKUP(B138,'ECN-ECO_DATA'!B:J,9,FALSE)&lt;&gt;"","Approved","Unknown"))))),"")</f>
        <v/>
      </c>
      <c r="K138" s="47" t="str">
        <f>IFERROR(VLOOKUP(B138,'ECN-ECO_DATA'!B:W,22,FALSE),"")</f>
        <v/>
      </c>
      <c r="L138" s="43" t="str">
        <f>IFERROR(IF(VLOOKUP(B138,'ECN-ECO_DATA'!B:AB,27,FALSE)=0,"",VLOOKUP(B138,'ECN-ECO_DATA'!B:AB,27,FALSE)),"")</f>
        <v/>
      </c>
      <c r="M138" s="43" t="str">
        <f>IFERROR(VLOOKUP(B138,'ECN-ECO_DATA'!B:AE,30,FALSE),"")</f>
        <v/>
      </c>
      <c r="N138" s="59" t="str">
        <f>IFERROR(IF((VLOOKUP(B138,'ECN-ECO_DATA'!B:AD,20,FALSE)-VLOOKUP(B138,'ECN-ECO_DATA'!B:AD,18,FALSE))&gt;0,(VLOOKUP(B138,'ECN-ECO_DATA'!B:AD,20,FALSE)-VLOOKUP(B138,'ECN-ECO_DATA'!B:AD,18,FALSE)),""),"")</f>
        <v/>
      </c>
      <c r="O138" s="59"/>
      <c r="P138" s="59" t="str">
        <f>IFERROR(VLOOKUP(B138,'ECN-ECO_DATA'!B:P,13,FALSE),"")</f>
        <v/>
      </c>
      <c r="Q138" s="43" t="str">
        <f>IFERROR(VLOOKUP(B138,'ECN-ECO_DATA'!B:P,15,FALSE),"")</f>
        <v/>
      </c>
    </row>
    <row r="139" spans="3:17" x14ac:dyDescent="0.25">
      <c r="C139" s="43" t="str">
        <f>IFERROR(VLOOKUP(B139,'ECN-ECO_DATA'!B:C,2,FALSE),"")</f>
        <v/>
      </c>
      <c r="D139" s="43" t="str">
        <f>IFERROR(VLOOKUP(B139,'ECN-ECO_DATA'!B:X,23,FALSE),"")</f>
        <v/>
      </c>
      <c r="E139" s="44" t="str">
        <f>IFERROR(VLOOKUP(B139,'ECN-ECO_DATA'!B:G,5,FALSE),"")</f>
        <v/>
      </c>
      <c r="F139" s="44" t="str">
        <f>IFERROR((IF(VLOOKUP(B139,'ECN-ECO_DATA'!B:G,6,FALSE)="","",VLOOKUP(B139,'ECN-ECO_DATA'!B:G,6,FALSE))),"")</f>
        <v/>
      </c>
      <c r="H139" s="45" t="str">
        <f>IFERROR(VLOOKUP(B139,'ECN-ECO_DATA'!B:G,4,FALSE),"")</f>
        <v/>
      </c>
      <c r="I139" s="46" t="str">
        <f>IFERROR(IF(VLOOKUP(B139,'ECN-ECO_DATA'!B:G,6,FALSE)="","Not started",IF(VLOOKUP(B139,'ECN-ECO_DATA'!B:J,7,FALSE)="","Awaiting First Approval",IF(VLOOKUP(B139,'ECN-ECO_DATA'!B:J,8,FALSE)="","Awaiting Quality Check Approval",IF(VLOOKUP(B139,'ECN-ECO_DATA'!B:J,9,FALSE)="","Awaiting Last Approval",IF(VLOOKUP(B139,'ECN-ECO_DATA'!B:J,9,FALSE)&lt;&gt;"","Approved","Unknown"))))),"")</f>
        <v/>
      </c>
      <c r="K139" s="47" t="str">
        <f>IFERROR(VLOOKUP(B139,'ECN-ECO_DATA'!B:W,22,FALSE),"")</f>
        <v/>
      </c>
      <c r="L139" s="43" t="str">
        <f>IFERROR(IF(VLOOKUP(B139,'ECN-ECO_DATA'!B:AB,27,FALSE)=0,"",VLOOKUP(B139,'ECN-ECO_DATA'!B:AB,27,FALSE)),"")</f>
        <v/>
      </c>
      <c r="M139" s="43" t="str">
        <f>IFERROR(VLOOKUP(B139,'ECN-ECO_DATA'!B:AE,30,FALSE),"")</f>
        <v/>
      </c>
      <c r="N139" s="59" t="str">
        <f>IFERROR(IF((VLOOKUP(B139,'ECN-ECO_DATA'!B:AD,20,FALSE)-VLOOKUP(B139,'ECN-ECO_DATA'!B:AD,18,FALSE))&gt;0,(VLOOKUP(B139,'ECN-ECO_DATA'!B:AD,20,FALSE)-VLOOKUP(B139,'ECN-ECO_DATA'!B:AD,18,FALSE)),""),"")</f>
        <v/>
      </c>
      <c r="O139" s="59"/>
      <c r="P139" s="59" t="str">
        <f>IFERROR(VLOOKUP(B139,'ECN-ECO_DATA'!B:P,13,FALSE),"")</f>
        <v/>
      </c>
      <c r="Q139" s="43" t="str">
        <f>IFERROR(VLOOKUP(B139,'ECN-ECO_DATA'!B:P,15,FALSE),"")</f>
        <v/>
      </c>
    </row>
    <row r="140" spans="3:17" x14ac:dyDescent="0.25">
      <c r="C140" s="43" t="str">
        <f>IFERROR(VLOOKUP(B140,'ECN-ECO_DATA'!B:C,2,FALSE),"")</f>
        <v/>
      </c>
      <c r="D140" s="43" t="str">
        <f>IFERROR(VLOOKUP(B140,'ECN-ECO_DATA'!B:X,23,FALSE),"")</f>
        <v/>
      </c>
      <c r="E140" s="44" t="str">
        <f>IFERROR(VLOOKUP(B140,'ECN-ECO_DATA'!B:G,5,FALSE),"")</f>
        <v/>
      </c>
      <c r="F140" s="44" t="str">
        <f>IFERROR((IF(VLOOKUP(B140,'ECN-ECO_DATA'!B:G,6,FALSE)="","",VLOOKUP(B140,'ECN-ECO_DATA'!B:G,6,FALSE))),"")</f>
        <v/>
      </c>
      <c r="H140" s="45" t="str">
        <f>IFERROR(VLOOKUP(B140,'ECN-ECO_DATA'!B:G,4,FALSE),"")</f>
        <v/>
      </c>
      <c r="I140" s="46" t="str">
        <f>IFERROR(IF(VLOOKUP(B140,'ECN-ECO_DATA'!B:G,6,FALSE)="","Not started",IF(VLOOKUP(B140,'ECN-ECO_DATA'!B:J,7,FALSE)="","Awaiting First Approval",IF(VLOOKUP(B140,'ECN-ECO_DATA'!B:J,8,FALSE)="","Awaiting Quality Check Approval",IF(VLOOKUP(B140,'ECN-ECO_DATA'!B:J,9,FALSE)="","Awaiting Last Approval",IF(VLOOKUP(B140,'ECN-ECO_DATA'!B:J,9,FALSE)&lt;&gt;"","Approved","Unknown"))))),"")</f>
        <v/>
      </c>
      <c r="K140" s="47" t="str">
        <f>IFERROR(VLOOKUP(B140,'ECN-ECO_DATA'!B:W,22,FALSE),"")</f>
        <v/>
      </c>
      <c r="L140" s="43" t="str">
        <f>IFERROR(IF(VLOOKUP(B140,'ECN-ECO_DATA'!B:AB,27,FALSE)=0,"",VLOOKUP(B140,'ECN-ECO_DATA'!B:AB,27,FALSE)),"")</f>
        <v/>
      </c>
      <c r="M140" s="43" t="str">
        <f>IFERROR(VLOOKUP(B140,'ECN-ECO_DATA'!B:AE,30,FALSE),"")</f>
        <v/>
      </c>
      <c r="N140" s="59" t="str">
        <f>IFERROR(IF((VLOOKUP(B140,'ECN-ECO_DATA'!B:AD,20,FALSE)-VLOOKUP(B140,'ECN-ECO_DATA'!B:AD,18,FALSE))&gt;0,(VLOOKUP(B140,'ECN-ECO_DATA'!B:AD,20,FALSE)-VLOOKUP(B140,'ECN-ECO_DATA'!B:AD,18,FALSE)),""),"")</f>
        <v/>
      </c>
      <c r="O140" s="59"/>
      <c r="P140" s="59" t="str">
        <f>IFERROR(VLOOKUP(B140,'ECN-ECO_DATA'!B:P,13,FALSE),"")</f>
        <v/>
      </c>
      <c r="Q140" s="43" t="str">
        <f>IFERROR(VLOOKUP(B140,'ECN-ECO_DATA'!B:P,15,FALSE),"")</f>
        <v/>
      </c>
    </row>
    <row r="141" spans="3:17" x14ac:dyDescent="0.25">
      <c r="C141" s="43" t="str">
        <f>IFERROR(VLOOKUP(B141,'ECN-ECO_DATA'!B:C,2,FALSE),"")</f>
        <v/>
      </c>
      <c r="D141" s="43" t="str">
        <f>IFERROR(VLOOKUP(B141,'ECN-ECO_DATA'!B:X,23,FALSE),"")</f>
        <v/>
      </c>
      <c r="E141" s="44" t="str">
        <f>IFERROR(VLOOKUP(B141,'ECN-ECO_DATA'!B:G,5,FALSE),"")</f>
        <v/>
      </c>
      <c r="F141" s="44" t="str">
        <f>IFERROR((IF(VLOOKUP(B141,'ECN-ECO_DATA'!B:G,6,FALSE)="","",VLOOKUP(B141,'ECN-ECO_DATA'!B:G,6,FALSE))),"")</f>
        <v/>
      </c>
      <c r="H141" s="45" t="str">
        <f>IFERROR(VLOOKUP(B141,'ECN-ECO_DATA'!B:G,4,FALSE),"")</f>
        <v/>
      </c>
      <c r="I141" s="46" t="str">
        <f>IFERROR(IF(VLOOKUP(B141,'ECN-ECO_DATA'!B:G,6,FALSE)="","Not started",IF(VLOOKUP(B141,'ECN-ECO_DATA'!B:J,7,FALSE)="","Awaiting First Approval",IF(VLOOKUP(B141,'ECN-ECO_DATA'!B:J,8,FALSE)="","Awaiting Quality Check Approval",IF(VLOOKUP(B141,'ECN-ECO_DATA'!B:J,9,FALSE)="","Awaiting Last Approval",IF(VLOOKUP(B141,'ECN-ECO_DATA'!B:J,9,FALSE)&lt;&gt;"","Approved","Unknown"))))),"")</f>
        <v/>
      </c>
      <c r="K141" s="47" t="str">
        <f>IFERROR(VLOOKUP(B141,'ECN-ECO_DATA'!B:W,22,FALSE),"")</f>
        <v/>
      </c>
      <c r="L141" s="43" t="str">
        <f>IFERROR(IF(VLOOKUP(B141,'ECN-ECO_DATA'!B:AB,27,FALSE)=0,"",VLOOKUP(B141,'ECN-ECO_DATA'!B:AB,27,FALSE)),"")</f>
        <v/>
      </c>
      <c r="M141" s="43" t="str">
        <f>IFERROR(VLOOKUP(B141,'ECN-ECO_DATA'!B:AE,30,FALSE),"")</f>
        <v/>
      </c>
      <c r="N141" s="59" t="str">
        <f>IFERROR(IF((VLOOKUP(B141,'ECN-ECO_DATA'!B:AD,20,FALSE)-VLOOKUP(B141,'ECN-ECO_DATA'!B:AD,18,FALSE))&gt;0,(VLOOKUP(B141,'ECN-ECO_DATA'!B:AD,20,FALSE)-VLOOKUP(B141,'ECN-ECO_DATA'!B:AD,18,FALSE)),""),"")</f>
        <v/>
      </c>
      <c r="O141" s="59"/>
      <c r="P141" s="59" t="str">
        <f>IFERROR(VLOOKUP(B141,'ECN-ECO_DATA'!B:P,13,FALSE),"")</f>
        <v/>
      </c>
      <c r="Q141" s="43" t="str">
        <f>IFERROR(VLOOKUP(B141,'ECN-ECO_DATA'!B:P,15,FALSE),"")</f>
        <v/>
      </c>
    </row>
    <row r="142" spans="3:17" x14ac:dyDescent="0.25">
      <c r="C142" s="43" t="str">
        <f>IFERROR(VLOOKUP(B142,'ECN-ECO_DATA'!B:C,2,FALSE),"")</f>
        <v/>
      </c>
      <c r="D142" s="43" t="str">
        <f>IFERROR(VLOOKUP(B142,'ECN-ECO_DATA'!B:X,23,FALSE),"")</f>
        <v/>
      </c>
      <c r="E142" s="44" t="str">
        <f>IFERROR(VLOOKUP(B142,'ECN-ECO_DATA'!B:G,5,FALSE),"")</f>
        <v/>
      </c>
      <c r="F142" s="44" t="str">
        <f>IFERROR((IF(VLOOKUP(B142,'ECN-ECO_DATA'!B:G,6,FALSE)="","",VLOOKUP(B142,'ECN-ECO_DATA'!B:G,6,FALSE))),"")</f>
        <v/>
      </c>
      <c r="H142" s="45" t="str">
        <f>IFERROR(VLOOKUP(B142,'ECN-ECO_DATA'!B:G,4,FALSE),"")</f>
        <v/>
      </c>
      <c r="I142" s="46" t="str">
        <f>IFERROR(IF(VLOOKUP(B142,'ECN-ECO_DATA'!B:G,6,FALSE)="","Not started",IF(VLOOKUP(B142,'ECN-ECO_DATA'!B:J,7,FALSE)="","Awaiting First Approval",IF(VLOOKUP(B142,'ECN-ECO_DATA'!B:J,8,FALSE)="","Awaiting Quality Check Approval",IF(VLOOKUP(B142,'ECN-ECO_DATA'!B:J,9,FALSE)="","Awaiting Last Approval",IF(VLOOKUP(B142,'ECN-ECO_DATA'!B:J,9,FALSE)&lt;&gt;"","Approved","Unknown"))))),"")</f>
        <v/>
      </c>
      <c r="K142" s="47" t="str">
        <f>IFERROR(VLOOKUP(B142,'ECN-ECO_DATA'!B:W,22,FALSE),"")</f>
        <v/>
      </c>
      <c r="L142" s="43" t="str">
        <f>IFERROR(IF(VLOOKUP(B142,'ECN-ECO_DATA'!B:AB,27,FALSE)=0,"",VLOOKUP(B142,'ECN-ECO_DATA'!B:AB,27,FALSE)),"")</f>
        <v/>
      </c>
      <c r="M142" s="43" t="str">
        <f>IFERROR(VLOOKUP(B142,'ECN-ECO_DATA'!B:AE,30,FALSE),"")</f>
        <v/>
      </c>
      <c r="N142" s="59" t="str">
        <f>IFERROR(IF((VLOOKUP(B142,'ECN-ECO_DATA'!B:AD,20,FALSE)-VLOOKUP(B142,'ECN-ECO_DATA'!B:AD,18,FALSE))&gt;0,(VLOOKUP(B142,'ECN-ECO_DATA'!B:AD,20,FALSE)-VLOOKUP(B142,'ECN-ECO_DATA'!B:AD,18,FALSE)),""),"")</f>
        <v/>
      </c>
      <c r="O142" s="59"/>
      <c r="P142" s="59" t="str">
        <f>IFERROR(VLOOKUP(B142,'ECN-ECO_DATA'!B:P,13,FALSE),"")</f>
        <v/>
      </c>
      <c r="Q142" s="43" t="str">
        <f>IFERROR(VLOOKUP(B142,'ECN-ECO_DATA'!B:P,15,FALSE),"")</f>
        <v/>
      </c>
    </row>
    <row r="143" spans="3:17" x14ac:dyDescent="0.25">
      <c r="C143" s="43" t="str">
        <f>IFERROR(VLOOKUP(B143,'ECN-ECO_DATA'!B:C,2,FALSE),"")</f>
        <v/>
      </c>
      <c r="D143" s="43" t="str">
        <f>IFERROR(VLOOKUP(B143,'ECN-ECO_DATA'!B:X,23,FALSE),"")</f>
        <v/>
      </c>
      <c r="E143" s="44" t="str">
        <f>IFERROR(VLOOKUP(B143,'ECN-ECO_DATA'!B:G,5,FALSE),"")</f>
        <v/>
      </c>
      <c r="F143" s="44" t="str">
        <f>IFERROR((IF(VLOOKUP(B143,'ECN-ECO_DATA'!B:G,6,FALSE)="","",VLOOKUP(B143,'ECN-ECO_DATA'!B:G,6,FALSE))),"")</f>
        <v/>
      </c>
      <c r="H143" s="45" t="str">
        <f>IFERROR(VLOOKUP(B143,'ECN-ECO_DATA'!B:G,4,FALSE),"")</f>
        <v/>
      </c>
      <c r="I143" s="46" t="str">
        <f>IFERROR(IF(VLOOKUP(B143,'ECN-ECO_DATA'!B:G,6,FALSE)="","Not started",IF(VLOOKUP(B143,'ECN-ECO_DATA'!B:J,7,FALSE)="","Awaiting First Approval",IF(VLOOKUP(B143,'ECN-ECO_DATA'!B:J,8,FALSE)="","Awaiting Quality Check Approval",IF(VLOOKUP(B143,'ECN-ECO_DATA'!B:J,9,FALSE)="","Awaiting Last Approval",IF(VLOOKUP(B143,'ECN-ECO_DATA'!B:J,9,FALSE)&lt;&gt;"","Approved","Unknown"))))),"")</f>
        <v/>
      </c>
      <c r="K143" s="47" t="str">
        <f>IFERROR(VLOOKUP(B143,'ECN-ECO_DATA'!B:W,22,FALSE),"")</f>
        <v/>
      </c>
      <c r="L143" s="43" t="str">
        <f>IFERROR(IF(VLOOKUP(B143,'ECN-ECO_DATA'!B:AB,27,FALSE)=0,"",VLOOKUP(B143,'ECN-ECO_DATA'!B:AB,27,FALSE)),"")</f>
        <v/>
      </c>
      <c r="M143" s="43" t="str">
        <f>IFERROR(VLOOKUP(B143,'ECN-ECO_DATA'!B:AE,30,FALSE),"")</f>
        <v/>
      </c>
      <c r="N143" s="59" t="str">
        <f>IFERROR(IF((VLOOKUP(B143,'ECN-ECO_DATA'!B:AD,20,FALSE)-VLOOKUP(B143,'ECN-ECO_DATA'!B:AD,18,FALSE))&gt;0,(VLOOKUP(B143,'ECN-ECO_DATA'!B:AD,20,FALSE)-VLOOKUP(B143,'ECN-ECO_DATA'!B:AD,18,FALSE)),""),"")</f>
        <v/>
      </c>
      <c r="O143" s="59"/>
      <c r="P143" s="59" t="str">
        <f>IFERROR(VLOOKUP(B143,'ECN-ECO_DATA'!B:P,13,FALSE),"")</f>
        <v/>
      </c>
      <c r="Q143" s="43" t="str">
        <f>IFERROR(VLOOKUP(B143,'ECN-ECO_DATA'!B:P,15,FALSE),"")</f>
        <v/>
      </c>
    </row>
    <row r="144" spans="3:17" x14ac:dyDescent="0.25">
      <c r="C144" s="43" t="str">
        <f>IFERROR(VLOOKUP(B144,'ECN-ECO_DATA'!B:C,2,FALSE),"")</f>
        <v/>
      </c>
      <c r="D144" s="43" t="str">
        <f>IFERROR(VLOOKUP(B144,'ECN-ECO_DATA'!B:X,23,FALSE),"")</f>
        <v/>
      </c>
      <c r="E144" s="44" t="str">
        <f>IFERROR(VLOOKUP(B144,'ECN-ECO_DATA'!B:G,5,FALSE),"")</f>
        <v/>
      </c>
      <c r="F144" s="44" t="str">
        <f>IFERROR((IF(VLOOKUP(B144,'ECN-ECO_DATA'!B:G,6,FALSE)="","",VLOOKUP(B144,'ECN-ECO_DATA'!B:G,6,FALSE))),"")</f>
        <v/>
      </c>
      <c r="H144" s="45" t="str">
        <f>IFERROR(VLOOKUP(B144,'ECN-ECO_DATA'!B:G,4,FALSE),"")</f>
        <v/>
      </c>
      <c r="I144" s="46" t="str">
        <f>IFERROR(IF(VLOOKUP(B144,'ECN-ECO_DATA'!B:G,6,FALSE)="","Not started",IF(VLOOKUP(B144,'ECN-ECO_DATA'!B:J,7,FALSE)="","Awaiting First Approval",IF(VLOOKUP(B144,'ECN-ECO_DATA'!B:J,8,FALSE)="","Awaiting Quality Check Approval",IF(VLOOKUP(B144,'ECN-ECO_DATA'!B:J,9,FALSE)="","Awaiting Last Approval",IF(VLOOKUP(B144,'ECN-ECO_DATA'!B:J,9,FALSE)&lt;&gt;"","Approved","Unknown"))))),"")</f>
        <v/>
      </c>
      <c r="K144" s="47" t="str">
        <f>IFERROR(VLOOKUP(B144,'ECN-ECO_DATA'!B:W,22,FALSE),"")</f>
        <v/>
      </c>
      <c r="L144" s="43" t="str">
        <f>IFERROR(IF(VLOOKUP(B144,'ECN-ECO_DATA'!B:AB,27,FALSE)=0,"",VLOOKUP(B144,'ECN-ECO_DATA'!B:AB,27,FALSE)),"")</f>
        <v/>
      </c>
      <c r="M144" s="43" t="str">
        <f>IFERROR(VLOOKUP(B144,'ECN-ECO_DATA'!B:AE,30,FALSE),"")</f>
        <v/>
      </c>
      <c r="N144" s="59" t="str">
        <f>IFERROR(IF((VLOOKUP(B144,'ECN-ECO_DATA'!B:AD,20,FALSE)-VLOOKUP(B144,'ECN-ECO_DATA'!B:AD,18,FALSE))&gt;0,(VLOOKUP(B144,'ECN-ECO_DATA'!B:AD,20,FALSE)-VLOOKUP(B144,'ECN-ECO_DATA'!B:AD,18,FALSE)),""),"")</f>
        <v/>
      </c>
      <c r="O144" s="59"/>
      <c r="P144" s="59" t="str">
        <f>IFERROR(VLOOKUP(B144,'ECN-ECO_DATA'!B:P,13,FALSE),"")</f>
        <v/>
      </c>
      <c r="Q144" s="43" t="str">
        <f>IFERROR(VLOOKUP(B144,'ECN-ECO_DATA'!B:P,15,FALSE),"")</f>
        <v/>
      </c>
    </row>
    <row r="145" spans="3:17" x14ac:dyDescent="0.25">
      <c r="C145" s="43" t="str">
        <f>IFERROR(VLOOKUP(B145,'ECN-ECO_DATA'!B:C,2,FALSE),"")</f>
        <v/>
      </c>
      <c r="D145" s="43" t="str">
        <f>IFERROR(VLOOKUP(B145,'ECN-ECO_DATA'!B:X,23,FALSE),"")</f>
        <v/>
      </c>
      <c r="E145" s="44" t="str">
        <f>IFERROR(VLOOKUP(B145,'ECN-ECO_DATA'!B:G,5,FALSE),"")</f>
        <v/>
      </c>
      <c r="F145" s="44" t="str">
        <f>IFERROR((IF(VLOOKUP(B145,'ECN-ECO_DATA'!B:G,6,FALSE)="","",VLOOKUP(B145,'ECN-ECO_DATA'!B:G,6,FALSE))),"")</f>
        <v/>
      </c>
      <c r="H145" s="45" t="str">
        <f>IFERROR(VLOOKUP(B145,'ECN-ECO_DATA'!B:G,4,FALSE),"")</f>
        <v/>
      </c>
      <c r="I145" s="46" t="str">
        <f>IFERROR(IF(VLOOKUP(B145,'ECN-ECO_DATA'!B:G,6,FALSE)="","Not started",IF(VLOOKUP(B145,'ECN-ECO_DATA'!B:J,7,FALSE)="","Awaiting First Approval",IF(VLOOKUP(B145,'ECN-ECO_DATA'!B:J,8,FALSE)="","Awaiting Quality Check Approval",IF(VLOOKUP(B145,'ECN-ECO_DATA'!B:J,9,FALSE)="","Awaiting Last Approval",IF(VLOOKUP(B145,'ECN-ECO_DATA'!B:J,9,FALSE)&lt;&gt;"","Approved","Unknown"))))),"")</f>
        <v/>
      </c>
      <c r="K145" s="47" t="str">
        <f>IFERROR(VLOOKUP(B145,'ECN-ECO_DATA'!B:W,22,FALSE),"")</f>
        <v/>
      </c>
      <c r="L145" s="43" t="str">
        <f>IFERROR(IF(VLOOKUP(B145,'ECN-ECO_DATA'!B:AB,27,FALSE)=0,"",VLOOKUP(B145,'ECN-ECO_DATA'!B:AB,27,FALSE)),"")</f>
        <v/>
      </c>
      <c r="M145" s="43" t="str">
        <f>IFERROR(VLOOKUP(B145,'ECN-ECO_DATA'!B:AE,30,FALSE),"")</f>
        <v/>
      </c>
      <c r="N145" s="59" t="str">
        <f>IFERROR(IF((VLOOKUP(B145,'ECN-ECO_DATA'!B:AD,20,FALSE)-VLOOKUP(B145,'ECN-ECO_DATA'!B:AD,18,FALSE))&gt;0,(VLOOKUP(B145,'ECN-ECO_DATA'!B:AD,20,FALSE)-VLOOKUP(B145,'ECN-ECO_DATA'!B:AD,18,FALSE)),""),"")</f>
        <v/>
      </c>
      <c r="O145" s="59"/>
      <c r="P145" s="59" t="str">
        <f>IFERROR(VLOOKUP(B145,'ECN-ECO_DATA'!B:P,13,FALSE),"")</f>
        <v/>
      </c>
      <c r="Q145" s="43" t="str">
        <f>IFERROR(VLOOKUP(B145,'ECN-ECO_DATA'!B:P,15,FALSE),"")</f>
        <v/>
      </c>
    </row>
    <row r="146" spans="3:17" x14ac:dyDescent="0.25">
      <c r="C146" s="43" t="str">
        <f>IFERROR(VLOOKUP(B146,'ECN-ECO_DATA'!B:C,2,FALSE),"")</f>
        <v/>
      </c>
      <c r="D146" s="43" t="str">
        <f>IFERROR(VLOOKUP(B146,'ECN-ECO_DATA'!B:X,23,FALSE),"")</f>
        <v/>
      </c>
      <c r="E146" s="44" t="str">
        <f>IFERROR(VLOOKUP(B146,'ECN-ECO_DATA'!B:G,5,FALSE),"")</f>
        <v/>
      </c>
      <c r="F146" s="44" t="str">
        <f>IFERROR((IF(VLOOKUP(B146,'ECN-ECO_DATA'!B:G,6,FALSE)="","",VLOOKUP(B146,'ECN-ECO_DATA'!B:G,6,FALSE))),"")</f>
        <v/>
      </c>
      <c r="H146" s="45" t="str">
        <f>IFERROR(VLOOKUP(B146,'ECN-ECO_DATA'!B:G,4,FALSE),"")</f>
        <v/>
      </c>
      <c r="I146" s="46" t="str">
        <f>IFERROR(IF(VLOOKUP(B146,'ECN-ECO_DATA'!B:G,6,FALSE)="","Not started",IF(VLOOKUP(B146,'ECN-ECO_DATA'!B:J,7,FALSE)="","Awaiting First Approval",IF(VLOOKUP(B146,'ECN-ECO_DATA'!B:J,8,FALSE)="","Awaiting Quality Check Approval",IF(VLOOKUP(B146,'ECN-ECO_DATA'!B:J,9,FALSE)="","Awaiting Last Approval",IF(VLOOKUP(B146,'ECN-ECO_DATA'!B:J,9,FALSE)&lt;&gt;"","Approved","Unknown"))))),"")</f>
        <v/>
      </c>
      <c r="K146" s="47" t="str">
        <f>IFERROR(VLOOKUP(B146,'ECN-ECO_DATA'!B:W,22,FALSE),"")</f>
        <v/>
      </c>
      <c r="L146" s="43" t="str">
        <f>IFERROR(IF(VLOOKUP(B146,'ECN-ECO_DATA'!B:AB,27,FALSE)=0,"",VLOOKUP(B146,'ECN-ECO_DATA'!B:AB,27,FALSE)),"")</f>
        <v/>
      </c>
      <c r="M146" s="43" t="str">
        <f>IFERROR(VLOOKUP(B146,'ECN-ECO_DATA'!B:AE,30,FALSE),"")</f>
        <v/>
      </c>
      <c r="N146" s="59" t="str">
        <f>IFERROR(IF((VLOOKUP(B146,'ECN-ECO_DATA'!B:AD,20,FALSE)-VLOOKUP(B146,'ECN-ECO_DATA'!B:AD,18,FALSE))&gt;0,(VLOOKUP(B146,'ECN-ECO_DATA'!B:AD,20,FALSE)-VLOOKUP(B146,'ECN-ECO_DATA'!B:AD,18,FALSE)),""),"")</f>
        <v/>
      </c>
      <c r="O146" s="59"/>
      <c r="P146" s="59" t="str">
        <f>IFERROR(VLOOKUP(B146,'ECN-ECO_DATA'!B:P,13,FALSE),"")</f>
        <v/>
      </c>
      <c r="Q146" s="43" t="str">
        <f>IFERROR(VLOOKUP(B146,'ECN-ECO_DATA'!B:P,15,FALSE),"")</f>
        <v/>
      </c>
    </row>
    <row r="147" spans="3:17" x14ac:dyDescent="0.25">
      <c r="C147" s="43" t="str">
        <f>IFERROR(VLOOKUP(B147,'ECN-ECO_DATA'!B:C,2,FALSE),"")</f>
        <v/>
      </c>
      <c r="D147" s="43" t="str">
        <f>IFERROR(VLOOKUP(B147,'ECN-ECO_DATA'!B:X,23,FALSE),"")</f>
        <v/>
      </c>
      <c r="E147" s="44" t="str">
        <f>IFERROR(VLOOKUP(B147,'ECN-ECO_DATA'!B:G,5,FALSE),"")</f>
        <v/>
      </c>
      <c r="F147" s="44" t="str">
        <f>IFERROR((IF(VLOOKUP(B147,'ECN-ECO_DATA'!B:G,6,FALSE)="","",VLOOKUP(B147,'ECN-ECO_DATA'!B:G,6,FALSE))),"")</f>
        <v/>
      </c>
      <c r="H147" s="45" t="str">
        <f>IFERROR(VLOOKUP(B147,'ECN-ECO_DATA'!B:G,4,FALSE),"")</f>
        <v/>
      </c>
      <c r="I147" s="46" t="str">
        <f>IFERROR(IF(VLOOKUP(B147,'ECN-ECO_DATA'!B:G,6,FALSE)="","Not started",IF(VLOOKUP(B147,'ECN-ECO_DATA'!B:J,7,FALSE)="","Awaiting First Approval",IF(VLOOKUP(B147,'ECN-ECO_DATA'!B:J,8,FALSE)="","Awaiting Quality Check Approval",IF(VLOOKUP(B147,'ECN-ECO_DATA'!B:J,9,FALSE)="","Awaiting Last Approval",IF(VLOOKUP(B147,'ECN-ECO_DATA'!B:J,9,FALSE)&lt;&gt;"","Approved","Unknown"))))),"")</f>
        <v/>
      </c>
      <c r="K147" s="47" t="str">
        <f>IFERROR(VLOOKUP(B147,'ECN-ECO_DATA'!B:W,22,FALSE),"")</f>
        <v/>
      </c>
      <c r="L147" s="43" t="str">
        <f>IFERROR(IF(VLOOKUP(B147,'ECN-ECO_DATA'!B:AB,27,FALSE)=0,"",VLOOKUP(B147,'ECN-ECO_DATA'!B:AB,27,FALSE)),"")</f>
        <v/>
      </c>
      <c r="M147" s="43" t="str">
        <f>IFERROR(VLOOKUP(B147,'ECN-ECO_DATA'!B:AE,30,FALSE),"")</f>
        <v/>
      </c>
      <c r="N147" s="59" t="str">
        <f>IFERROR(IF((VLOOKUP(B147,'ECN-ECO_DATA'!B:AD,20,FALSE)-VLOOKUP(B147,'ECN-ECO_DATA'!B:AD,18,FALSE))&gt;0,(VLOOKUP(B147,'ECN-ECO_DATA'!B:AD,20,FALSE)-VLOOKUP(B147,'ECN-ECO_DATA'!B:AD,18,FALSE)),""),"")</f>
        <v/>
      </c>
      <c r="O147" s="59"/>
      <c r="P147" s="59" t="str">
        <f>IFERROR(VLOOKUP(B147,'ECN-ECO_DATA'!B:P,13,FALSE),"")</f>
        <v/>
      </c>
      <c r="Q147" s="43" t="str">
        <f>IFERROR(VLOOKUP(B147,'ECN-ECO_DATA'!B:P,15,FALSE),"")</f>
        <v/>
      </c>
    </row>
    <row r="148" spans="3:17" x14ac:dyDescent="0.25">
      <c r="C148" s="43" t="str">
        <f>IFERROR(VLOOKUP(B148,'ECN-ECO_DATA'!B:C,2,FALSE),"")</f>
        <v/>
      </c>
      <c r="D148" s="43" t="str">
        <f>IFERROR(VLOOKUP(B148,'ECN-ECO_DATA'!B:X,23,FALSE),"")</f>
        <v/>
      </c>
      <c r="E148" s="44" t="str">
        <f>IFERROR(VLOOKUP(B148,'ECN-ECO_DATA'!B:G,5,FALSE),"")</f>
        <v/>
      </c>
      <c r="F148" s="44" t="str">
        <f>IFERROR((IF(VLOOKUP(B148,'ECN-ECO_DATA'!B:G,6,FALSE)="","",VLOOKUP(B148,'ECN-ECO_DATA'!B:G,6,FALSE))),"")</f>
        <v/>
      </c>
      <c r="H148" s="45" t="str">
        <f>IFERROR(VLOOKUP(B148,'ECN-ECO_DATA'!B:G,4,FALSE),"")</f>
        <v/>
      </c>
      <c r="I148" s="46" t="str">
        <f>IFERROR(IF(VLOOKUP(B148,'ECN-ECO_DATA'!B:G,6,FALSE)="","Not started",IF(VLOOKUP(B148,'ECN-ECO_DATA'!B:J,7,FALSE)="","Awaiting First Approval",IF(VLOOKUP(B148,'ECN-ECO_DATA'!B:J,8,FALSE)="","Awaiting Quality Check Approval",IF(VLOOKUP(B148,'ECN-ECO_DATA'!B:J,9,FALSE)="","Awaiting Last Approval",IF(VLOOKUP(B148,'ECN-ECO_DATA'!B:J,9,FALSE)&lt;&gt;"","Approved","Unknown"))))),"")</f>
        <v/>
      </c>
      <c r="K148" s="47" t="str">
        <f>IFERROR(VLOOKUP(B148,'ECN-ECO_DATA'!B:W,22,FALSE),"")</f>
        <v/>
      </c>
      <c r="L148" s="43" t="str">
        <f>IFERROR(IF(VLOOKUP(B148,'ECN-ECO_DATA'!B:AB,27,FALSE)=0,"",VLOOKUP(B148,'ECN-ECO_DATA'!B:AB,27,FALSE)),"")</f>
        <v/>
      </c>
      <c r="M148" s="43" t="str">
        <f>IFERROR(VLOOKUP(B148,'ECN-ECO_DATA'!B:AE,30,FALSE),"")</f>
        <v/>
      </c>
      <c r="N148" s="59" t="str">
        <f>IFERROR(IF((VLOOKUP(B148,'ECN-ECO_DATA'!B:AD,20,FALSE)-VLOOKUP(B148,'ECN-ECO_DATA'!B:AD,18,FALSE))&gt;0,(VLOOKUP(B148,'ECN-ECO_DATA'!B:AD,20,FALSE)-VLOOKUP(B148,'ECN-ECO_DATA'!B:AD,18,FALSE)),""),"")</f>
        <v/>
      </c>
      <c r="O148" s="59"/>
      <c r="P148" s="59" t="str">
        <f>IFERROR(VLOOKUP(B148,'ECN-ECO_DATA'!B:P,13,FALSE),"")</f>
        <v/>
      </c>
      <c r="Q148" s="43" t="str">
        <f>IFERROR(VLOOKUP(B148,'ECN-ECO_DATA'!B:P,15,FALSE),"")</f>
        <v/>
      </c>
    </row>
    <row r="149" spans="3:17" x14ac:dyDescent="0.25">
      <c r="C149" s="43" t="str">
        <f>IFERROR(VLOOKUP(B149,'ECN-ECO_DATA'!B:C,2,FALSE),"")</f>
        <v/>
      </c>
      <c r="D149" s="43" t="str">
        <f>IFERROR(VLOOKUP(B149,'ECN-ECO_DATA'!B:X,23,FALSE),"")</f>
        <v/>
      </c>
      <c r="E149" s="44" t="str">
        <f>IFERROR(VLOOKUP(B149,'ECN-ECO_DATA'!B:G,5,FALSE),"")</f>
        <v/>
      </c>
      <c r="F149" s="44" t="str">
        <f>IFERROR((IF(VLOOKUP(B149,'ECN-ECO_DATA'!B:G,6,FALSE)="","",VLOOKUP(B149,'ECN-ECO_DATA'!B:G,6,FALSE))),"")</f>
        <v/>
      </c>
      <c r="H149" s="45" t="str">
        <f>IFERROR(VLOOKUP(B149,'ECN-ECO_DATA'!B:G,4,FALSE),"")</f>
        <v/>
      </c>
      <c r="I149" s="46" t="str">
        <f>IFERROR(IF(VLOOKUP(B149,'ECN-ECO_DATA'!B:G,6,FALSE)="","Not started",IF(VLOOKUP(B149,'ECN-ECO_DATA'!B:J,7,FALSE)="","Awaiting First Approval",IF(VLOOKUP(B149,'ECN-ECO_DATA'!B:J,8,FALSE)="","Awaiting Quality Check Approval",IF(VLOOKUP(B149,'ECN-ECO_DATA'!B:J,9,FALSE)="","Awaiting Last Approval",IF(VLOOKUP(B149,'ECN-ECO_DATA'!B:J,9,FALSE)&lt;&gt;"","Approved","Unknown"))))),"")</f>
        <v/>
      </c>
      <c r="K149" s="47" t="str">
        <f>IFERROR(VLOOKUP(B149,'ECN-ECO_DATA'!B:W,22,FALSE),"")</f>
        <v/>
      </c>
      <c r="L149" s="43" t="str">
        <f>IFERROR(IF(VLOOKUP(B149,'ECN-ECO_DATA'!B:AB,27,FALSE)=0,"",VLOOKUP(B149,'ECN-ECO_DATA'!B:AB,27,FALSE)),"")</f>
        <v/>
      </c>
      <c r="M149" s="43" t="str">
        <f>IFERROR(VLOOKUP(B149,'ECN-ECO_DATA'!B:AE,30,FALSE),"")</f>
        <v/>
      </c>
      <c r="N149" s="59" t="str">
        <f>IFERROR(IF((VLOOKUP(B149,'ECN-ECO_DATA'!B:AD,20,FALSE)-VLOOKUP(B149,'ECN-ECO_DATA'!B:AD,18,FALSE))&gt;0,(VLOOKUP(B149,'ECN-ECO_DATA'!B:AD,20,FALSE)-VLOOKUP(B149,'ECN-ECO_DATA'!B:AD,18,FALSE)),""),"")</f>
        <v/>
      </c>
      <c r="O149" s="59"/>
      <c r="P149" s="59" t="str">
        <f>IFERROR(VLOOKUP(B149,'ECN-ECO_DATA'!B:P,13,FALSE),"")</f>
        <v/>
      </c>
      <c r="Q149" s="43" t="str">
        <f>IFERROR(VLOOKUP(B149,'ECN-ECO_DATA'!B:P,15,FALSE),"")</f>
        <v/>
      </c>
    </row>
    <row r="150" spans="3:17" x14ac:dyDescent="0.25">
      <c r="C150" s="43" t="str">
        <f>IFERROR(VLOOKUP(B150,'ECN-ECO_DATA'!B:C,2,FALSE),"")</f>
        <v/>
      </c>
      <c r="D150" s="43" t="str">
        <f>IFERROR(VLOOKUP(B150,'ECN-ECO_DATA'!B:X,23,FALSE),"")</f>
        <v/>
      </c>
      <c r="E150" s="44" t="str">
        <f>IFERROR(VLOOKUP(B150,'ECN-ECO_DATA'!B:G,5,FALSE),"")</f>
        <v/>
      </c>
      <c r="F150" s="44" t="str">
        <f>IFERROR((IF(VLOOKUP(B150,'ECN-ECO_DATA'!B:G,6,FALSE)="","",VLOOKUP(B150,'ECN-ECO_DATA'!B:G,6,FALSE))),"")</f>
        <v/>
      </c>
      <c r="H150" s="45" t="str">
        <f>IFERROR(VLOOKUP(B150,'ECN-ECO_DATA'!B:G,4,FALSE),"")</f>
        <v/>
      </c>
      <c r="I150" s="46" t="str">
        <f>IFERROR(IF(VLOOKUP(B150,'ECN-ECO_DATA'!B:G,6,FALSE)="","Not started",IF(VLOOKUP(B150,'ECN-ECO_DATA'!B:J,7,FALSE)="","Awaiting First Approval",IF(VLOOKUP(B150,'ECN-ECO_DATA'!B:J,8,FALSE)="","Awaiting Quality Check Approval",IF(VLOOKUP(B150,'ECN-ECO_DATA'!B:J,9,FALSE)="","Awaiting Last Approval",IF(VLOOKUP(B150,'ECN-ECO_DATA'!B:J,9,FALSE)&lt;&gt;"","Approved","Unknown"))))),"")</f>
        <v/>
      </c>
      <c r="K150" s="47" t="str">
        <f>IFERROR(VLOOKUP(B150,'ECN-ECO_DATA'!B:W,22,FALSE),"")</f>
        <v/>
      </c>
      <c r="L150" s="43" t="str">
        <f>IFERROR(IF(VLOOKUP(B150,'ECN-ECO_DATA'!B:AB,27,FALSE)=0,"",VLOOKUP(B150,'ECN-ECO_DATA'!B:AB,27,FALSE)),"")</f>
        <v/>
      </c>
      <c r="M150" s="43" t="str">
        <f>IFERROR(VLOOKUP(B150,'ECN-ECO_DATA'!B:AE,30,FALSE),"")</f>
        <v/>
      </c>
      <c r="N150" s="59" t="str">
        <f>IFERROR(IF((VLOOKUP(B150,'ECN-ECO_DATA'!B:AD,20,FALSE)-VLOOKUP(B150,'ECN-ECO_DATA'!B:AD,18,FALSE))&gt;0,(VLOOKUP(B150,'ECN-ECO_DATA'!B:AD,20,FALSE)-VLOOKUP(B150,'ECN-ECO_DATA'!B:AD,18,FALSE)),""),"")</f>
        <v/>
      </c>
      <c r="O150" s="59"/>
      <c r="P150" s="59" t="str">
        <f>IFERROR(VLOOKUP(B150,'ECN-ECO_DATA'!B:P,13,FALSE),"")</f>
        <v/>
      </c>
      <c r="Q150" s="43" t="str">
        <f>IFERROR(VLOOKUP(B150,'ECN-ECO_DATA'!B:P,15,FALSE),"")</f>
        <v/>
      </c>
    </row>
    <row r="151" spans="3:17" x14ac:dyDescent="0.25">
      <c r="C151" s="43" t="str">
        <f>IFERROR(VLOOKUP(B151,'ECN-ECO_DATA'!B:C,2,FALSE),"")</f>
        <v/>
      </c>
      <c r="D151" s="43" t="str">
        <f>IFERROR(VLOOKUP(B151,'ECN-ECO_DATA'!B:X,23,FALSE),"")</f>
        <v/>
      </c>
      <c r="E151" s="44" t="str">
        <f>IFERROR(VLOOKUP(B151,'ECN-ECO_DATA'!B:G,5,FALSE),"")</f>
        <v/>
      </c>
      <c r="F151" s="44" t="str">
        <f>IFERROR((IF(VLOOKUP(B151,'ECN-ECO_DATA'!B:G,6,FALSE)="","",VLOOKUP(B151,'ECN-ECO_DATA'!B:G,6,FALSE))),"")</f>
        <v/>
      </c>
      <c r="H151" s="45" t="str">
        <f>IFERROR(VLOOKUP(B151,'ECN-ECO_DATA'!B:G,4,FALSE),"")</f>
        <v/>
      </c>
      <c r="I151" s="46" t="str">
        <f>IFERROR(IF(VLOOKUP(B151,'ECN-ECO_DATA'!B:G,6,FALSE)="","Not started",IF(VLOOKUP(B151,'ECN-ECO_DATA'!B:J,7,FALSE)="","Awaiting First Approval",IF(VLOOKUP(B151,'ECN-ECO_DATA'!B:J,8,FALSE)="","Awaiting Quality Check Approval",IF(VLOOKUP(B151,'ECN-ECO_DATA'!B:J,9,FALSE)="","Awaiting Last Approval",IF(VLOOKUP(B151,'ECN-ECO_DATA'!B:J,9,FALSE)&lt;&gt;"","Approved","Unknown"))))),"")</f>
        <v/>
      </c>
      <c r="K151" s="47" t="str">
        <f>IFERROR(VLOOKUP(B151,'ECN-ECO_DATA'!B:W,22,FALSE),"")</f>
        <v/>
      </c>
      <c r="L151" s="43" t="str">
        <f>IFERROR(IF(VLOOKUP(B151,'ECN-ECO_DATA'!B:AB,27,FALSE)=0,"",VLOOKUP(B151,'ECN-ECO_DATA'!B:AB,27,FALSE)),"")</f>
        <v/>
      </c>
      <c r="M151" s="43" t="str">
        <f>IFERROR(VLOOKUP(B151,'ECN-ECO_DATA'!B:AE,30,FALSE),"")</f>
        <v/>
      </c>
      <c r="N151" s="59" t="str">
        <f>IFERROR(IF((VLOOKUP(B151,'ECN-ECO_DATA'!B:AD,20,FALSE)-VLOOKUP(B151,'ECN-ECO_DATA'!B:AD,18,FALSE))&gt;0,(VLOOKUP(B151,'ECN-ECO_DATA'!B:AD,20,FALSE)-VLOOKUP(B151,'ECN-ECO_DATA'!B:AD,18,FALSE)),""),"")</f>
        <v/>
      </c>
      <c r="O151" s="59"/>
      <c r="P151" s="59" t="str">
        <f>IFERROR(VLOOKUP(B151,'ECN-ECO_DATA'!B:P,13,FALSE),"")</f>
        <v/>
      </c>
      <c r="Q151" s="43" t="str">
        <f>IFERROR(VLOOKUP(B151,'ECN-ECO_DATA'!B:P,15,FALSE),"")</f>
        <v/>
      </c>
    </row>
    <row r="152" spans="3:17" x14ac:dyDescent="0.25">
      <c r="C152" s="43" t="str">
        <f>IFERROR(VLOOKUP(B152,'ECN-ECO_DATA'!B:C,2,FALSE),"")</f>
        <v/>
      </c>
      <c r="D152" s="43" t="str">
        <f>IFERROR(VLOOKUP(B152,'ECN-ECO_DATA'!B:X,23,FALSE),"")</f>
        <v/>
      </c>
      <c r="E152" s="44" t="str">
        <f>IFERROR(VLOOKUP(B152,'ECN-ECO_DATA'!B:G,5,FALSE),"")</f>
        <v/>
      </c>
      <c r="F152" s="44" t="str">
        <f>IFERROR((IF(VLOOKUP(B152,'ECN-ECO_DATA'!B:G,6,FALSE)="","",VLOOKUP(B152,'ECN-ECO_DATA'!B:G,6,FALSE))),"")</f>
        <v/>
      </c>
      <c r="H152" s="45" t="str">
        <f>IFERROR(VLOOKUP(B152,'ECN-ECO_DATA'!B:G,4,FALSE),"")</f>
        <v/>
      </c>
      <c r="I152" s="46" t="str">
        <f>IFERROR(IF(VLOOKUP(B152,'ECN-ECO_DATA'!B:G,6,FALSE)="","Not started",IF(VLOOKUP(B152,'ECN-ECO_DATA'!B:J,7,FALSE)="","Awaiting First Approval",IF(VLOOKUP(B152,'ECN-ECO_DATA'!B:J,8,FALSE)="","Awaiting Quality Check Approval",IF(VLOOKUP(B152,'ECN-ECO_DATA'!B:J,9,FALSE)="","Awaiting Last Approval",IF(VLOOKUP(B152,'ECN-ECO_DATA'!B:J,9,FALSE)&lt;&gt;"","Approved","Unknown"))))),"")</f>
        <v/>
      </c>
      <c r="K152" s="47" t="str">
        <f>IFERROR(VLOOKUP(B152,'ECN-ECO_DATA'!B:W,22,FALSE),"")</f>
        <v/>
      </c>
      <c r="L152" s="43" t="str">
        <f>IFERROR(IF(VLOOKUP(B152,'ECN-ECO_DATA'!B:AB,27,FALSE)=0,"",VLOOKUP(B152,'ECN-ECO_DATA'!B:AB,27,FALSE)),"")</f>
        <v/>
      </c>
      <c r="M152" s="43" t="str">
        <f>IFERROR(VLOOKUP(B152,'ECN-ECO_DATA'!B:AE,30,FALSE),"")</f>
        <v/>
      </c>
      <c r="N152" s="59" t="str">
        <f>IFERROR(IF((VLOOKUP(B152,'ECN-ECO_DATA'!B:AD,20,FALSE)-VLOOKUP(B152,'ECN-ECO_DATA'!B:AD,18,FALSE))&gt;0,(VLOOKUP(B152,'ECN-ECO_DATA'!B:AD,20,FALSE)-VLOOKUP(B152,'ECN-ECO_DATA'!B:AD,18,FALSE)),""),"")</f>
        <v/>
      </c>
      <c r="O152" s="59"/>
      <c r="P152" s="59" t="str">
        <f>IFERROR(VLOOKUP(B152,'ECN-ECO_DATA'!B:P,13,FALSE),"")</f>
        <v/>
      </c>
      <c r="Q152" s="43" t="str">
        <f>IFERROR(VLOOKUP(B152,'ECN-ECO_DATA'!B:P,15,FALSE),"")</f>
        <v/>
      </c>
    </row>
    <row r="153" spans="3:17" x14ac:dyDescent="0.25">
      <c r="C153" s="43" t="str">
        <f>IFERROR(VLOOKUP(B153,'ECN-ECO_DATA'!B:C,2,FALSE),"")</f>
        <v/>
      </c>
      <c r="D153" s="43" t="str">
        <f>IFERROR(VLOOKUP(B153,'ECN-ECO_DATA'!B:X,23,FALSE),"")</f>
        <v/>
      </c>
      <c r="E153" s="44" t="str">
        <f>IFERROR(VLOOKUP(B153,'ECN-ECO_DATA'!B:G,5,FALSE),"")</f>
        <v/>
      </c>
      <c r="F153" s="44" t="str">
        <f>IFERROR((IF(VLOOKUP(B153,'ECN-ECO_DATA'!B:G,6,FALSE)="","",VLOOKUP(B153,'ECN-ECO_DATA'!B:G,6,FALSE))),"")</f>
        <v/>
      </c>
      <c r="H153" s="45" t="str">
        <f>IFERROR(VLOOKUP(B153,'ECN-ECO_DATA'!B:G,4,FALSE),"")</f>
        <v/>
      </c>
      <c r="I153" s="46" t="str">
        <f>IFERROR(IF(VLOOKUP(B153,'ECN-ECO_DATA'!B:G,6,FALSE)="","Not started",IF(VLOOKUP(B153,'ECN-ECO_DATA'!B:J,7,FALSE)="","Awaiting First Approval",IF(VLOOKUP(B153,'ECN-ECO_DATA'!B:J,8,FALSE)="","Awaiting Quality Check Approval",IF(VLOOKUP(B153,'ECN-ECO_DATA'!B:J,9,FALSE)="","Awaiting Last Approval",IF(VLOOKUP(B153,'ECN-ECO_DATA'!B:J,9,FALSE)&lt;&gt;"","Approved","Unknown"))))),"")</f>
        <v/>
      </c>
      <c r="K153" s="47" t="str">
        <f>IFERROR(VLOOKUP(B153,'ECN-ECO_DATA'!B:W,22,FALSE),"")</f>
        <v/>
      </c>
      <c r="L153" s="43" t="str">
        <f>IFERROR(IF(VLOOKUP(B153,'ECN-ECO_DATA'!B:AB,27,FALSE)=0,"",VLOOKUP(B153,'ECN-ECO_DATA'!B:AB,27,FALSE)),"")</f>
        <v/>
      </c>
      <c r="M153" s="43" t="str">
        <f>IFERROR(VLOOKUP(B153,'ECN-ECO_DATA'!B:AE,30,FALSE),"")</f>
        <v/>
      </c>
      <c r="N153" s="59" t="str">
        <f>IFERROR(IF((VLOOKUP(B153,'ECN-ECO_DATA'!B:AD,20,FALSE)-VLOOKUP(B153,'ECN-ECO_DATA'!B:AD,18,FALSE))&gt;0,(VLOOKUP(B153,'ECN-ECO_DATA'!B:AD,20,FALSE)-VLOOKUP(B153,'ECN-ECO_DATA'!B:AD,18,FALSE)),""),"")</f>
        <v/>
      </c>
      <c r="O153" s="59"/>
      <c r="P153" s="59" t="str">
        <f>IFERROR(VLOOKUP(B153,'ECN-ECO_DATA'!B:P,13,FALSE),"")</f>
        <v/>
      </c>
      <c r="Q153" s="43" t="str">
        <f>IFERROR(VLOOKUP(B153,'ECN-ECO_DATA'!B:P,15,FALSE),"")</f>
        <v/>
      </c>
    </row>
    <row r="154" spans="3:17" x14ac:dyDescent="0.25">
      <c r="C154" s="43" t="str">
        <f>IFERROR(VLOOKUP(B154,'ECN-ECO_DATA'!B:C,2,FALSE),"")</f>
        <v/>
      </c>
      <c r="D154" s="43" t="str">
        <f>IFERROR(VLOOKUP(B154,'ECN-ECO_DATA'!B:X,23,FALSE),"")</f>
        <v/>
      </c>
      <c r="E154" s="44" t="str">
        <f>IFERROR(VLOOKUP(B154,'ECN-ECO_DATA'!B:G,5,FALSE),"")</f>
        <v/>
      </c>
      <c r="F154" s="44" t="str">
        <f>IFERROR((IF(VLOOKUP(B154,'ECN-ECO_DATA'!B:G,6,FALSE)="","",VLOOKUP(B154,'ECN-ECO_DATA'!B:G,6,FALSE))),"")</f>
        <v/>
      </c>
      <c r="H154" s="45" t="str">
        <f>IFERROR(VLOOKUP(B154,'ECN-ECO_DATA'!B:G,4,FALSE),"")</f>
        <v/>
      </c>
      <c r="I154" s="46" t="str">
        <f>IFERROR(IF(VLOOKUP(B154,'ECN-ECO_DATA'!B:G,6,FALSE)="","Not started",IF(VLOOKUP(B154,'ECN-ECO_DATA'!B:J,7,FALSE)="","Awaiting First Approval",IF(VLOOKUP(B154,'ECN-ECO_DATA'!B:J,8,FALSE)="","Awaiting Quality Check Approval",IF(VLOOKUP(B154,'ECN-ECO_DATA'!B:J,9,FALSE)="","Awaiting Last Approval",IF(VLOOKUP(B154,'ECN-ECO_DATA'!B:J,9,FALSE)&lt;&gt;"","Approved","Unknown"))))),"")</f>
        <v/>
      </c>
      <c r="K154" s="47" t="str">
        <f>IFERROR(VLOOKUP(B154,'ECN-ECO_DATA'!B:W,22,FALSE),"")</f>
        <v/>
      </c>
      <c r="L154" s="43" t="str">
        <f>IFERROR(IF(VLOOKUP(B154,'ECN-ECO_DATA'!B:AB,27,FALSE)=0,"",VLOOKUP(B154,'ECN-ECO_DATA'!B:AB,27,FALSE)),"")</f>
        <v/>
      </c>
      <c r="M154" s="43" t="str">
        <f>IFERROR(VLOOKUP(B154,'ECN-ECO_DATA'!B:AE,30,FALSE),"")</f>
        <v/>
      </c>
      <c r="N154" s="59" t="str">
        <f>IFERROR(IF((VLOOKUP(B154,'ECN-ECO_DATA'!B:AD,20,FALSE)-VLOOKUP(B154,'ECN-ECO_DATA'!B:AD,18,FALSE))&gt;0,(VLOOKUP(B154,'ECN-ECO_DATA'!B:AD,20,FALSE)-VLOOKUP(B154,'ECN-ECO_DATA'!B:AD,18,FALSE)),""),"")</f>
        <v/>
      </c>
      <c r="O154" s="59"/>
      <c r="P154" s="59" t="str">
        <f>IFERROR(VLOOKUP(B154,'ECN-ECO_DATA'!B:P,13,FALSE),"")</f>
        <v/>
      </c>
      <c r="Q154" s="43" t="str">
        <f>IFERROR(VLOOKUP(B154,'ECN-ECO_DATA'!B:P,15,FALSE),"")</f>
        <v/>
      </c>
    </row>
    <row r="155" spans="3:17" x14ac:dyDescent="0.25">
      <c r="C155" s="43" t="str">
        <f>IFERROR(VLOOKUP(B155,'ECN-ECO_DATA'!B:C,2,FALSE),"")</f>
        <v/>
      </c>
      <c r="D155" s="43" t="str">
        <f>IFERROR(VLOOKUP(B155,'ECN-ECO_DATA'!B:X,23,FALSE),"")</f>
        <v/>
      </c>
      <c r="E155" s="44" t="str">
        <f>IFERROR(VLOOKUP(B155,'ECN-ECO_DATA'!B:G,5,FALSE),"")</f>
        <v/>
      </c>
      <c r="F155" s="44" t="str">
        <f>IFERROR((IF(VLOOKUP(B155,'ECN-ECO_DATA'!B:G,6,FALSE)="","",VLOOKUP(B155,'ECN-ECO_DATA'!B:G,6,FALSE))),"")</f>
        <v/>
      </c>
      <c r="H155" s="45" t="str">
        <f>IFERROR(VLOOKUP(B155,'ECN-ECO_DATA'!B:G,4,FALSE),"")</f>
        <v/>
      </c>
      <c r="I155" s="46" t="str">
        <f>IFERROR(IF(VLOOKUP(B155,'ECN-ECO_DATA'!B:G,6,FALSE)="","Not started",IF(VLOOKUP(B155,'ECN-ECO_DATA'!B:J,7,FALSE)="","Awaiting First Approval",IF(VLOOKUP(B155,'ECN-ECO_DATA'!B:J,8,FALSE)="","Awaiting Quality Check Approval",IF(VLOOKUP(B155,'ECN-ECO_DATA'!B:J,9,FALSE)="","Awaiting Last Approval",IF(VLOOKUP(B155,'ECN-ECO_DATA'!B:J,9,FALSE)&lt;&gt;"","Approved","Unknown"))))),"")</f>
        <v/>
      </c>
      <c r="K155" s="47" t="str">
        <f>IFERROR(VLOOKUP(B155,'ECN-ECO_DATA'!B:W,22,FALSE),"")</f>
        <v/>
      </c>
      <c r="L155" s="43" t="str">
        <f>IFERROR(IF(VLOOKUP(B155,'ECN-ECO_DATA'!B:AB,27,FALSE)=0,"",VLOOKUP(B155,'ECN-ECO_DATA'!B:AB,27,FALSE)),"")</f>
        <v/>
      </c>
      <c r="M155" s="43" t="str">
        <f>IFERROR(VLOOKUP(B155,'ECN-ECO_DATA'!B:AE,30,FALSE),"")</f>
        <v/>
      </c>
      <c r="N155" s="59" t="str">
        <f>IFERROR(IF((VLOOKUP(B155,'ECN-ECO_DATA'!B:AD,20,FALSE)-VLOOKUP(B155,'ECN-ECO_DATA'!B:AD,18,FALSE))&gt;0,(VLOOKUP(B155,'ECN-ECO_DATA'!B:AD,20,FALSE)-VLOOKUP(B155,'ECN-ECO_DATA'!B:AD,18,FALSE)),""),"")</f>
        <v/>
      </c>
      <c r="O155" s="59"/>
      <c r="P155" s="59" t="str">
        <f>IFERROR(VLOOKUP(B155,'ECN-ECO_DATA'!B:P,13,FALSE),"")</f>
        <v/>
      </c>
      <c r="Q155" s="43" t="str">
        <f>IFERROR(VLOOKUP(B155,'ECN-ECO_DATA'!B:P,15,FALSE),"")</f>
        <v/>
      </c>
    </row>
    <row r="156" spans="3:17" x14ac:dyDescent="0.25">
      <c r="C156" s="43" t="str">
        <f>IFERROR(VLOOKUP(B156,'ECN-ECO_DATA'!B:C,2,FALSE),"")</f>
        <v/>
      </c>
      <c r="D156" s="43" t="str">
        <f>IFERROR(VLOOKUP(B156,'ECN-ECO_DATA'!B:X,23,FALSE),"")</f>
        <v/>
      </c>
      <c r="E156" s="44" t="str">
        <f>IFERROR(VLOOKUP(B156,'ECN-ECO_DATA'!B:G,5,FALSE),"")</f>
        <v/>
      </c>
      <c r="F156" s="44" t="str">
        <f>IFERROR((IF(VLOOKUP(B156,'ECN-ECO_DATA'!B:G,6,FALSE)="","",VLOOKUP(B156,'ECN-ECO_DATA'!B:G,6,FALSE))),"")</f>
        <v/>
      </c>
      <c r="H156" s="45" t="str">
        <f>IFERROR(VLOOKUP(B156,'ECN-ECO_DATA'!B:G,4,FALSE),"")</f>
        <v/>
      </c>
      <c r="I156" s="46" t="str">
        <f>IFERROR(IF(VLOOKUP(B156,'ECN-ECO_DATA'!B:G,6,FALSE)="","Not started",IF(VLOOKUP(B156,'ECN-ECO_DATA'!B:J,7,FALSE)="","Awaiting First Approval",IF(VLOOKUP(B156,'ECN-ECO_DATA'!B:J,8,FALSE)="","Awaiting Quality Check Approval",IF(VLOOKUP(B156,'ECN-ECO_DATA'!B:J,9,FALSE)="","Awaiting Last Approval",IF(VLOOKUP(B156,'ECN-ECO_DATA'!B:J,9,FALSE)&lt;&gt;"","Approved","Unknown"))))),"")</f>
        <v/>
      </c>
      <c r="K156" s="47" t="str">
        <f>IFERROR(VLOOKUP(B156,'ECN-ECO_DATA'!B:W,22,FALSE),"")</f>
        <v/>
      </c>
      <c r="L156" s="43" t="str">
        <f>IFERROR(IF(VLOOKUP(B156,'ECN-ECO_DATA'!B:AB,27,FALSE)=0,"",VLOOKUP(B156,'ECN-ECO_DATA'!B:AB,27,FALSE)),"")</f>
        <v/>
      </c>
      <c r="M156" s="43" t="str">
        <f>IFERROR(VLOOKUP(B156,'ECN-ECO_DATA'!B:AE,30,FALSE),"")</f>
        <v/>
      </c>
      <c r="N156" s="59" t="str">
        <f>IFERROR(IF((VLOOKUP(B156,'ECN-ECO_DATA'!B:AD,20,FALSE)-VLOOKUP(B156,'ECN-ECO_DATA'!B:AD,18,FALSE))&gt;0,(VLOOKUP(B156,'ECN-ECO_DATA'!B:AD,20,FALSE)-VLOOKUP(B156,'ECN-ECO_DATA'!B:AD,18,FALSE)),""),"")</f>
        <v/>
      </c>
      <c r="O156" s="59"/>
      <c r="P156" s="59" t="str">
        <f>IFERROR(VLOOKUP(B156,'ECN-ECO_DATA'!B:P,13,FALSE),"")</f>
        <v/>
      </c>
      <c r="Q156" s="43" t="str">
        <f>IFERROR(VLOOKUP(B156,'ECN-ECO_DATA'!B:P,15,FALSE),"")</f>
        <v/>
      </c>
    </row>
    <row r="157" spans="3:17" x14ac:dyDescent="0.25">
      <c r="C157" s="43" t="str">
        <f>IFERROR(VLOOKUP(B157,'ECN-ECO_DATA'!B:C,2,FALSE),"")</f>
        <v/>
      </c>
      <c r="D157" s="43" t="str">
        <f>IFERROR(VLOOKUP(B157,'ECN-ECO_DATA'!B:X,23,FALSE),"")</f>
        <v/>
      </c>
      <c r="E157" s="44" t="str">
        <f>IFERROR(VLOOKUP(B157,'ECN-ECO_DATA'!B:G,5,FALSE),"")</f>
        <v/>
      </c>
      <c r="F157" s="44" t="str">
        <f>IFERROR((IF(VLOOKUP(B157,'ECN-ECO_DATA'!B:G,6,FALSE)="","",VLOOKUP(B157,'ECN-ECO_DATA'!B:G,6,FALSE))),"")</f>
        <v/>
      </c>
      <c r="H157" s="45" t="str">
        <f>IFERROR(VLOOKUP(B157,'ECN-ECO_DATA'!B:G,4,FALSE),"")</f>
        <v/>
      </c>
      <c r="I157" s="46" t="str">
        <f>IFERROR(IF(VLOOKUP(B157,'ECN-ECO_DATA'!B:G,6,FALSE)="","Not started",IF(VLOOKUP(B157,'ECN-ECO_DATA'!B:J,7,FALSE)="","Awaiting First Approval",IF(VLOOKUP(B157,'ECN-ECO_DATA'!B:J,8,FALSE)="","Awaiting Quality Check Approval",IF(VLOOKUP(B157,'ECN-ECO_DATA'!B:J,9,FALSE)="","Awaiting Last Approval",IF(VLOOKUP(B157,'ECN-ECO_DATA'!B:J,9,FALSE)&lt;&gt;"","Approved","Unknown"))))),"")</f>
        <v/>
      </c>
      <c r="K157" s="47" t="str">
        <f>IFERROR(VLOOKUP(B157,'ECN-ECO_DATA'!B:W,22,FALSE),"")</f>
        <v/>
      </c>
      <c r="L157" s="43" t="str">
        <f>IFERROR(IF(VLOOKUP(B157,'ECN-ECO_DATA'!B:AB,27,FALSE)=0,"",VLOOKUP(B157,'ECN-ECO_DATA'!B:AB,27,FALSE)),"")</f>
        <v/>
      </c>
      <c r="M157" s="43" t="str">
        <f>IFERROR(VLOOKUP(B157,'ECN-ECO_DATA'!B:AE,30,FALSE),"")</f>
        <v/>
      </c>
      <c r="N157" s="59" t="str">
        <f>IFERROR(IF((VLOOKUP(B157,'ECN-ECO_DATA'!B:AD,20,FALSE)-VLOOKUP(B157,'ECN-ECO_DATA'!B:AD,18,FALSE))&gt;0,(VLOOKUP(B157,'ECN-ECO_DATA'!B:AD,20,FALSE)-VLOOKUP(B157,'ECN-ECO_DATA'!B:AD,18,FALSE)),""),"")</f>
        <v/>
      </c>
      <c r="O157" s="59"/>
      <c r="P157" s="59" t="str">
        <f>IFERROR(VLOOKUP(B157,'ECN-ECO_DATA'!B:P,13,FALSE),"")</f>
        <v/>
      </c>
      <c r="Q157" s="43" t="str">
        <f>IFERROR(VLOOKUP(B157,'ECN-ECO_DATA'!B:P,15,FALSE),"")</f>
        <v/>
      </c>
    </row>
    <row r="158" spans="3:17" x14ac:dyDescent="0.25">
      <c r="C158" s="43" t="str">
        <f>IFERROR(VLOOKUP(B158,'ECN-ECO_DATA'!B:C,2,FALSE),"")</f>
        <v/>
      </c>
      <c r="D158" s="43" t="str">
        <f>IFERROR(VLOOKUP(B158,'ECN-ECO_DATA'!B:X,23,FALSE),"")</f>
        <v/>
      </c>
      <c r="E158" s="44" t="str">
        <f>IFERROR(VLOOKUP(B158,'ECN-ECO_DATA'!B:G,5,FALSE),"")</f>
        <v/>
      </c>
      <c r="F158" s="44" t="str">
        <f>IFERROR((IF(VLOOKUP(B158,'ECN-ECO_DATA'!B:G,6,FALSE)="","",VLOOKUP(B158,'ECN-ECO_DATA'!B:G,6,FALSE))),"")</f>
        <v/>
      </c>
      <c r="H158" s="45" t="str">
        <f>IFERROR(VLOOKUP(B158,'ECN-ECO_DATA'!B:G,4,FALSE),"")</f>
        <v/>
      </c>
      <c r="I158" s="46" t="str">
        <f>IFERROR(IF(VLOOKUP(B158,'ECN-ECO_DATA'!B:G,6,FALSE)="","Not started",IF(VLOOKUP(B158,'ECN-ECO_DATA'!B:J,7,FALSE)="","Awaiting First Approval",IF(VLOOKUP(B158,'ECN-ECO_DATA'!B:J,8,FALSE)="","Awaiting Quality Check Approval",IF(VLOOKUP(B158,'ECN-ECO_DATA'!B:J,9,FALSE)="","Awaiting Last Approval",IF(VLOOKUP(B158,'ECN-ECO_DATA'!B:J,9,FALSE)&lt;&gt;"","Approved","Unknown"))))),"")</f>
        <v/>
      </c>
      <c r="K158" s="47" t="str">
        <f>IFERROR(VLOOKUP(B158,'ECN-ECO_DATA'!B:W,22,FALSE),"")</f>
        <v/>
      </c>
      <c r="L158" s="43" t="str">
        <f>IFERROR(IF(VLOOKUP(B158,'ECN-ECO_DATA'!B:AB,27,FALSE)=0,"",VLOOKUP(B158,'ECN-ECO_DATA'!B:AB,27,FALSE)),"")</f>
        <v/>
      </c>
      <c r="M158" s="43" t="str">
        <f>IFERROR(VLOOKUP(B158,'ECN-ECO_DATA'!B:AE,30,FALSE),"")</f>
        <v/>
      </c>
      <c r="N158" s="59" t="str">
        <f>IFERROR(IF((VLOOKUP(B158,'ECN-ECO_DATA'!B:AD,20,FALSE)-VLOOKUP(B158,'ECN-ECO_DATA'!B:AD,18,FALSE))&gt;0,(VLOOKUP(B158,'ECN-ECO_DATA'!B:AD,20,FALSE)-VLOOKUP(B158,'ECN-ECO_DATA'!B:AD,18,FALSE)),""),"")</f>
        <v/>
      </c>
      <c r="O158" s="59"/>
      <c r="P158" s="59" t="str">
        <f>IFERROR(VLOOKUP(B158,'ECN-ECO_DATA'!B:P,13,FALSE),"")</f>
        <v/>
      </c>
      <c r="Q158" s="43" t="str">
        <f>IFERROR(VLOOKUP(B158,'ECN-ECO_DATA'!B:P,15,FALSE),"")</f>
        <v/>
      </c>
    </row>
    <row r="159" spans="3:17" x14ac:dyDescent="0.25">
      <c r="C159" s="43" t="str">
        <f>IFERROR(VLOOKUP(B159,'ECN-ECO_DATA'!B:C,2,FALSE),"")</f>
        <v/>
      </c>
      <c r="D159" s="43" t="str">
        <f>IFERROR(VLOOKUP(B159,'ECN-ECO_DATA'!B:X,23,FALSE),"")</f>
        <v/>
      </c>
      <c r="E159" s="44" t="str">
        <f>IFERROR(VLOOKUP(B159,'ECN-ECO_DATA'!B:G,5,FALSE),"")</f>
        <v/>
      </c>
      <c r="F159" s="44" t="str">
        <f>IFERROR((IF(VLOOKUP(B159,'ECN-ECO_DATA'!B:G,6,FALSE)="","",VLOOKUP(B159,'ECN-ECO_DATA'!B:G,6,FALSE))),"")</f>
        <v/>
      </c>
      <c r="H159" s="45" t="str">
        <f>IFERROR(VLOOKUP(B159,'ECN-ECO_DATA'!B:G,4,FALSE),"")</f>
        <v/>
      </c>
      <c r="I159" s="46" t="str">
        <f>IFERROR(IF(VLOOKUP(B159,'ECN-ECO_DATA'!B:G,6,FALSE)="","Not started",IF(VLOOKUP(B159,'ECN-ECO_DATA'!B:J,7,FALSE)="","Awaiting First Approval",IF(VLOOKUP(B159,'ECN-ECO_DATA'!B:J,8,FALSE)="","Awaiting Quality Check Approval",IF(VLOOKUP(B159,'ECN-ECO_DATA'!B:J,9,FALSE)="","Awaiting Last Approval",IF(VLOOKUP(B159,'ECN-ECO_DATA'!B:J,9,FALSE)&lt;&gt;"","Approved","Unknown"))))),"")</f>
        <v/>
      </c>
      <c r="K159" s="47" t="str">
        <f>IFERROR(VLOOKUP(B159,'ECN-ECO_DATA'!B:W,22,FALSE),"")</f>
        <v/>
      </c>
      <c r="L159" s="43" t="str">
        <f>IFERROR(IF(VLOOKUP(B159,'ECN-ECO_DATA'!B:AB,27,FALSE)=0,"",VLOOKUP(B159,'ECN-ECO_DATA'!B:AB,27,FALSE)),"")</f>
        <v/>
      </c>
      <c r="M159" s="43" t="str">
        <f>IFERROR(VLOOKUP(B159,'ECN-ECO_DATA'!B:AE,30,FALSE),"")</f>
        <v/>
      </c>
      <c r="N159" s="59" t="str">
        <f>IFERROR(IF((VLOOKUP(B159,'ECN-ECO_DATA'!B:AD,20,FALSE)-VLOOKUP(B159,'ECN-ECO_DATA'!B:AD,18,FALSE))&gt;0,(VLOOKUP(B159,'ECN-ECO_DATA'!B:AD,20,FALSE)-VLOOKUP(B159,'ECN-ECO_DATA'!B:AD,18,FALSE)),""),"")</f>
        <v/>
      </c>
      <c r="O159" s="59"/>
      <c r="P159" s="59" t="str">
        <f>IFERROR(VLOOKUP(B159,'ECN-ECO_DATA'!B:P,13,FALSE),"")</f>
        <v/>
      </c>
      <c r="Q159" s="43" t="str">
        <f>IFERROR(VLOOKUP(B159,'ECN-ECO_DATA'!B:P,15,FALSE),"")</f>
        <v/>
      </c>
    </row>
    <row r="160" spans="3:17" x14ac:dyDescent="0.25">
      <c r="C160" s="43" t="str">
        <f>IFERROR(VLOOKUP(B160,'ECN-ECO_DATA'!B:C,2,FALSE),"")</f>
        <v/>
      </c>
      <c r="D160" s="43" t="str">
        <f>IFERROR(VLOOKUP(B160,'ECN-ECO_DATA'!B:X,23,FALSE),"")</f>
        <v/>
      </c>
      <c r="E160" s="44" t="str">
        <f>IFERROR(VLOOKUP(B160,'ECN-ECO_DATA'!B:G,5,FALSE),"")</f>
        <v/>
      </c>
      <c r="F160" s="44" t="str">
        <f>IFERROR((IF(VLOOKUP(B160,'ECN-ECO_DATA'!B:G,6,FALSE)="","",VLOOKUP(B160,'ECN-ECO_DATA'!B:G,6,FALSE))),"")</f>
        <v/>
      </c>
      <c r="H160" s="45" t="str">
        <f>IFERROR(VLOOKUP(B160,'ECN-ECO_DATA'!B:G,4,FALSE),"")</f>
        <v/>
      </c>
      <c r="I160" s="46" t="str">
        <f>IFERROR(IF(VLOOKUP(B160,'ECN-ECO_DATA'!B:G,6,FALSE)="","Not started",IF(VLOOKUP(B160,'ECN-ECO_DATA'!B:J,7,FALSE)="","Awaiting First Approval",IF(VLOOKUP(B160,'ECN-ECO_DATA'!B:J,8,FALSE)="","Awaiting Quality Check Approval",IF(VLOOKUP(B160,'ECN-ECO_DATA'!B:J,9,FALSE)="","Awaiting Last Approval",IF(VLOOKUP(B160,'ECN-ECO_DATA'!B:J,9,FALSE)&lt;&gt;"","Approved","Unknown"))))),"")</f>
        <v/>
      </c>
      <c r="K160" s="47" t="str">
        <f>IFERROR(VLOOKUP(B160,'ECN-ECO_DATA'!B:W,22,FALSE),"")</f>
        <v/>
      </c>
      <c r="L160" s="43" t="str">
        <f>IFERROR(IF(VLOOKUP(B160,'ECN-ECO_DATA'!B:AB,27,FALSE)=0,"",VLOOKUP(B160,'ECN-ECO_DATA'!B:AB,27,FALSE)),"")</f>
        <v/>
      </c>
      <c r="M160" s="43" t="str">
        <f>IFERROR(VLOOKUP(B160,'ECN-ECO_DATA'!B:AE,30,FALSE),"")</f>
        <v/>
      </c>
      <c r="N160" s="59" t="str">
        <f>IFERROR(IF((VLOOKUP(B160,'ECN-ECO_DATA'!B:AD,20,FALSE)-VLOOKUP(B160,'ECN-ECO_DATA'!B:AD,18,FALSE))&gt;0,(VLOOKUP(B160,'ECN-ECO_DATA'!B:AD,20,FALSE)-VLOOKUP(B160,'ECN-ECO_DATA'!B:AD,18,FALSE)),""),"")</f>
        <v/>
      </c>
      <c r="O160" s="59"/>
      <c r="P160" s="59" t="str">
        <f>IFERROR(VLOOKUP(B160,'ECN-ECO_DATA'!B:P,13,FALSE),"")</f>
        <v/>
      </c>
      <c r="Q160" s="43" t="str">
        <f>IFERROR(VLOOKUP(B160,'ECN-ECO_DATA'!B:P,15,FALSE),"")</f>
        <v/>
      </c>
    </row>
    <row r="161" spans="3:17" x14ac:dyDescent="0.25">
      <c r="C161" s="43" t="str">
        <f>IFERROR(VLOOKUP(B161,'ECN-ECO_DATA'!B:C,2,FALSE),"")</f>
        <v/>
      </c>
      <c r="D161" s="43" t="str">
        <f>IFERROR(VLOOKUP(B161,'ECN-ECO_DATA'!B:X,23,FALSE),"")</f>
        <v/>
      </c>
      <c r="E161" s="44" t="str">
        <f>IFERROR(VLOOKUP(B161,'ECN-ECO_DATA'!B:G,5,FALSE),"")</f>
        <v/>
      </c>
      <c r="F161" s="44" t="str">
        <f>IFERROR((IF(VLOOKUP(B161,'ECN-ECO_DATA'!B:G,6,FALSE)="","",VLOOKUP(B161,'ECN-ECO_DATA'!B:G,6,FALSE))),"")</f>
        <v/>
      </c>
      <c r="H161" s="45" t="str">
        <f>IFERROR(VLOOKUP(B161,'ECN-ECO_DATA'!B:G,4,FALSE),"")</f>
        <v/>
      </c>
      <c r="I161" s="46" t="str">
        <f>IFERROR(IF(VLOOKUP(B161,'ECN-ECO_DATA'!B:G,6,FALSE)="","Not started",IF(VLOOKUP(B161,'ECN-ECO_DATA'!B:J,7,FALSE)="","Awaiting First Approval",IF(VLOOKUP(B161,'ECN-ECO_DATA'!B:J,8,FALSE)="","Awaiting Quality Check Approval",IF(VLOOKUP(B161,'ECN-ECO_DATA'!B:J,9,FALSE)="","Awaiting Last Approval",IF(VLOOKUP(B161,'ECN-ECO_DATA'!B:J,9,FALSE)&lt;&gt;"","Approved","Unknown"))))),"")</f>
        <v/>
      </c>
      <c r="K161" s="47" t="str">
        <f>IFERROR(VLOOKUP(B161,'ECN-ECO_DATA'!B:W,22,FALSE),"")</f>
        <v/>
      </c>
      <c r="L161" s="43" t="str">
        <f>IFERROR(IF(VLOOKUP(B161,'ECN-ECO_DATA'!B:AB,27,FALSE)=0,"",VLOOKUP(B161,'ECN-ECO_DATA'!B:AB,27,FALSE)),"")</f>
        <v/>
      </c>
      <c r="M161" s="43" t="str">
        <f>IFERROR(VLOOKUP(B161,'ECN-ECO_DATA'!B:AE,30,FALSE),"")</f>
        <v/>
      </c>
      <c r="N161" s="59" t="str">
        <f>IFERROR(IF((VLOOKUP(B161,'ECN-ECO_DATA'!B:AD,20,FALSE)-VLOOKUP(B161,'ECN-ECO_DATA'!B:AD,18,FALSE))&gt;0,(VLOOKUP(B161,'ECN-ECO_DATA'!B:AD,20,FALSE)-VLOOKUP(B161,'ECN-ECO_DATA'!B:AD,18,FALSE)),""),"")</f>
        <v/>
      </c>
      <c r="O161" s="59"/>
      <c r="P161" s="59" t="str">
        <f>IFERROR(VLOOKUP(B161,'ECN-ECO_DATA'!B:P,13,FALSE),"")</f>
        <v/>
      </c>
      <c r="Q161" s="43" t="str">
        <f>IFERROR(VLOOKUP(B161,'ECN-ECO_DATA'!B:P,15,FALSE),"")</f>
        <v/>
      </c>
    </row>
    <row r="162" spans="3:17" x14ac:dyDescent="0.25">
      <c r="C162" s="43" t="str">
        <f>IFERROR(VLOOKUP(B162,'ECN-ECO_DATA'!B:C,2,FALSE),"")</f>
        <v/>
      </c>
      <c r="D162" s="43" t="str">
        <f>IFERROR(VLOOKUP(B162,'ECN-ECO_DATA'!B:X,23,FALSE),"")</f>
        <v/>
      </c>
      <c r="E162" s="44" t="str">
        <f>IFERROR(VLOOKUP(B162,'ECN-ECO_DATA'!B:G,5,FALSE),"")</f>
        <v/>
      </c>
      <c r="F162" s="44" t="str">
        <f>IFERROR((IF(VLOOKUP(B162,'ECN-ECO_DATA'!B:G,6,FALSE)="","",VLOOKUP(B162,'ECN-ECO_DATA'!B:G,6,FALSE))),"")</f>
        <v/>
      </c>
      <c r="H162" s="45" t="str">
        <f>IFERROR(VLOOKUP(B162,'ECN-ECO_DATA'!B:G,4,FALSE),"")</f>
        <v/>
      </c>
      <c r="I162" s="46" t="str">
        <f>IFERROR(IF(VLOOKUP(B162,'ECN-ECO_DATA'!B:G,6,FALSE)="","Not started",IF(VLOOKUP(B162,'ECN-ECO_DATA'!B:J,7,FALSE)="","Awaiting First Approval",IF(VLOOKUP(B162,'ECN-ECO_DATA'!B:J,8,FALSE)="","Awaiting Quality Check Approval",IF(VLOOKUP(B162,'ECN-ECO_DATA'!B:J,9,FALSE)="","Awaiting Last Approval",IF(VLOOKUP(B162,'ECN-ECO_DATA'!B:J,9,FALSE)&lt;&gt;"","Approved","Unknown"))))),"")</f>
        <v/>
      </c>
      <c r="K162" s="47" t="str">
        <f>IFERROR(VLOOKUP(B162,'ECN-ECO_DATA'!B:W,22,FALSE),"")</f>
        <v/>
      </c>
      <c r="L162" s="43" t="str">
        <f>IFERROR(IF(VLOOKUP(B162,'ECN-ECO_DATA'!B:AB,27,FALSE)=0,"",VLOOKUP(B162,'ECN-ECO_DATA'!B:AB,27,FALSE)),"")</f>
        <v/>
      </c>
      <c r="M162" s="43" t="str">
        <f>IFERROR(VLOOKUP(B162,'ECN-ECO_DATA'!B:AE,30,FALSE),"")</f>
        <v/>
      </c>
      <c r="N162" s="59" t="str">
        <f>IFERROR(IF((VLOOKUP(B162,'ECN-ECO_DATA'!B:AD,20,FALSE)-VLOOKUP(B162,'ECN-ECO_DATA'!B:AD,18,FALSE))&gt;0,(VLOOKUP(B162,'ECN-ECO_DATA'!B:AD,20,FALSE)-VLOOKUP(B162,'ECN-ECO_DATA'!B:AD,18,FALSE)),""),"")</f>
        <v/>
      </c>
      <c r="O162" s="59"/>
      <c r="P162" s="59" t="str">
        <f>IFERROR(VLOOKUP(B162,'ECN-ECO_DATA'!B:P,13,FALSE),"")</f>
        <v/>
      </c>
      <c r="Q162" s="43" t="str">
        <f>IFERROR(VLOOKUP(B162,'ECN-ECO_DATA'!B:P,15,FALSE),"")</f>
        <v/>
      </c>
    </row>
    <row r="163" spans="3:17" x14ac:dyDescent="0.25">
      <c r="C163" s="43" t="str">
        <f>IFERROR(VLOOKUP(B163,'ECN-ECO_DATA'!B:C,2,FALSE),"")</f>
        <v/>
      </c>
      <c r="D163" s="43" t="str">
        <f>IFERROR(VLOOKUP(B163,'ECN-ECO_DATA'!B:X,23,FALSE),"")</f>
        <v/>
      </c>
      <c r="E163" s="44" t="str">
        <f>IFERROR(VLOOKUP(B163,'ECN-ECO_DATA'!B:G,5,FALSE),"")</f>
        <v/>
      </c>
      <c r="F163" s="44" t="str">
        <f>IFERROR((IF(VLOOKUP(B163,'ECN-ECO_DATA'!B:G,6,FALSE)="","",VLOOKUP(B163,'ECN-ECO_DATA'!B:G,6,FALSE))),"")</f>
        <v/>
      </c>
      <c r="H163" s="45" t="str">
        <f>IFERROR(VLOOKUP(B163,'ECN-ECO_DATA'!B:G,4,FALSE),"")</f>
        <v/>
      </c>
      <c r="I163" s="46" t="str">
        <f>IFERROR(IF(VLOOKUP(B163,'ECN-ECO_DATA'!B:G,6,FALSE)="","Not started",IF(VLOOKUP(B163,'ECN-ECO_DATA'!B:J,7,FALSE)="","Awaiting First Approval",IF(VLOOKUP(B163,'ECN-ECO_DATA'!B:J,8,FALSE)="","Awaiting Quality Check Approval",IF(VLOOKUP(B163,'ECN-ECO_DATA'!B:J,9,FALSE)="","Awaiting Last Approval",IF(VLOOKUP(B163,'ECN-ECO_DATA'!B:J,9,FALSE)&lt;&gt;"","Approved","Unknown"))))),"")</f>
        <v/>
      </c>
      <c r="K163" s="47" t="str">
        <f>IFERROR(VLOOKUP(B163,'ECN-ECO_DATA'!B:W,22,FALSE),"")</f>
        <v/>
      </c>
      <c r="L163" s="43" t="str">
        <f>IFERROR(IF(VLOOKUP(B163,'ECN-ECO_DATA'!B:AB,27,FALSE)=0,"",VLOOKUP(B163,'ECN-ECO_DATA'!B:AB,27,FALSE)),"")</f>
        <v/>
      </c>
      <c r="M163" s="43" t="str">
        <f>IFERROR(VLOOKUP(B163,'ECN-ECO_DATA'!B:AE,30,FALSE),"")</f>
        <v/>
      </c>
      <c r="N163" s="59" t="str">
        <f>IFERROR(IF((VLOOKUP(B163,'ECN-ECO_DATA'!B:AD,20,FALSE)-VLOOKUP(B163,'ECN-ECO_DATA'!B:AD,18,FALSE))&gt;0,(VLOOKUP(B163,'ECN-ECO_DATA'!B:AD,20,FALSE)-VLOOKUP(B163,'ECN-ECO_DATA'!B:AD,18,FALSE)),""),"")</f>
        <v/>
      </c>
      <c r="O163" s="59"/>
      <c r="P163" s="59" t="str">
        <f>IFERROR(VLOOKUP(B163,'ECN-ECO_DATA'!B:P,13,FALSE),"")</f>
        <v/>
      </c>
      <c r="Q163" s="43" t="str">
        <f>IFERROR(VLOOKUP(B163,'ECN-ECO_DATA'!B:P,15,FALSE),"")</f>
        <v/>
      </c>
    </row>
    <row r="164" spans="3:17" x14ac:dyDescent="0.25">
      <c r="C164" s="43" t="str">
        <f>IFERROR(VLOOKUP(B164,'ECN-ECO_DATA'!B:C,2,FALSE),"")</f>
        <v/>
      </c>
      <c r="D164" s="43" t="str">
        <f>IFERROR(VLOOKUP(B164,'ECN-ECO_DATA'!B:X,23,FALSE),"")</f>
        <v/>
      </c>
      <c r="E164" s="44" t="str">
        <f>IFERROR(VLOOKUP(B164,'ECN-ECO_DATA'!B:G,5,FALSE),"")</f>
        <v/>
      </c>
      <c r="F164" s="44" t="str">
        <f>IFERROR((IF(VLOOKUP(B164,'ECN-ECO_DATA'!B:G,6,FALSE)="","",VLOOKUP(B164,'ECN-ECO_DATA'!B:G,6,FALSE))),"")</f>
        <v/>
      </c>
      <c r="H164" s="45" t="str">
        <f>IFERROR(VLOOKUP(B164,'ECN-ECO_DATA'!B:G,4,FALSE),"")</f>
        <v/>
      </c>
      <c r="I164" s="46" t="str">
        <f>IFERROR(IF(VLOOKUP(B164,'ECN-ECO_DATA'!B:G,6,FALSE)="","Not started",IF(VLOOKUP(B164,'ECN-ECO_DATA'!B:J,7,FALSE)="","Awaiting First Approval",IF(VLOOKUP(B164,'ECN-ECO_DATA'!B:J,8,FALSE)="","Awaiting Quality Check Approval",IF(VLOOKUP(B164,'ECN-ECO_DATA'!B:J,9,FALSE)="","Awaiting Last Approval",IF(VLOOKUP(B164,'ECN-ECO_DATA'!B:J,9,FALSE)&lt;&gt;"","Approved","Unknown"))))),"")</f>
        <v/>
      </c>
      <c r="K164" s="47" t="str">
        <f>IFERROR(VLOOKUP(B164,'ECN-ECO_DATA'!B:W,22,FALSE),"")</f>
        <v/>
      </c>
      <c r="L164" s="43" t="str">
        <f>IFERROR(IF(VLOOKUP(B164,'ECN-ECO_DATA'!B:AB,27,FALSE)=0,"",VLOOKUP(B164,'ECN-ECO_DATA'!B:AB,27,FALSE)),"")</f>
        <v/>
      </c>
      <c r="M164" s="43" t="str">
        <f>IFERROR(VLOOKUP(B164,'ECN-ECO_DATA'!B:AE,30,FALSE),"")</f>
        <v/>
      </c>
      <c r="N164" s="59" t="str">
        <f>IFERROR(IF((VLOOKUP(B164,'ECN-ECO_DATA'!B:AD,20,FALSE)-VLOOKUP(B164,'ECN-ECO_DATA'!B:AD,18,FALSE))&gt;0,(VLOOKUP(B164,'ECN-ECO_DATA'!B:AD,20,FALSE)-VLOOKUP(B164,'ECN-ECO_DATA'!B:AD,18,FALSE)),""),"")</f>
        <v/>
      </c>
      <c r="O164" s="59"/>
      <c r="P164" s="59" t="str">
        <f>IFERROR(VLOOKUP(B164,'ECN-ECO_DATA'!B:P,13,FALSE),"")</f>
        <v/>
      </c>
      <c r="Q164" s="43" t="str">
        <f>IFERROR(VLOOKUP(B164,'ECN-ECO_DATA'!B:P,15,FALSE),"")</f>
        <v/>
      </c>
    </row>
    <row r="165" spans="3:17" x14ac:dyDescent="0.25">
      <c r="C165" s="43" t="str">
        <f>IFERROR(VLOOKUP(B165,'ECN-ECO_DATA'!B:C,2,FALSE),"")</f>
        <v/>
      </c>
      <c r="D165" s="43" t="str">
        <f>IFERROR(VLOOKUP(B165,'ECN-ECO_DATA'!B:X,23,FALSE),"")</f>
        <v/>
      </c>
      <c r="E165" s="44" t="str">
        <f>IFERROR(VLOOKUP(B165,'ECN-ECO_DATA'!B:G,5,FALSE),"")</f>
        <v/>
      </c>
      <c r="F165" s="44" t="str">
        <f>IFERROR((IF(VLOOKUP(B165,'ECN-ECO_DATA'!B:G,6,FALSE)="","",VLOOKUP(B165,'ECN-ECO_DATA'!B:G,6,FALSE))),"")</f>
        <v/>
      </c>
      <c r="H165" s="45" t="str">
        <f>IFERROR(VLOOKUP(B165,'ECN-ECO_DATA'!B:G,4,FALSE),"")</f>
        <v/>
      </c>
      <c r="I165" s="46" t="str">
        <f>IFERROR(IF(VLOOKUP(B165,'ECN-ECO_DATA'!B:G,6,FALSE)="","Not started",IF(VLOOKUP(B165,'ECN-ECO_DATA'!B:J,7,FALSE)="","Awaiting First Approval",IF(VLOOKUP(B165,'ECN-ECO_DATA'!B:J,8,FALSE)="","Awaiting Quality Check Approval",IF(VLOOKUP(B165,'ECN-ECO_DATA'!B:J,9,FALSE)="","Awaiting Last Approval",IF(VLOOKUP(B165,'ECN-ECO_DATA'!B:J,9,FALSE)&lt;&gt;"","Approved","Unknown"))))),"")</f>
        <v/>
      </c>
      <c r="K165" s="47" t="str">
        <f>IFERROR(VLOOKUP(B165,'ECN-ECO_DATA'!B:W,22,FALSE),"")</f>
        <v/>
      </c>
      <c r="L165" s="43" t="str">
        <f>IFERROR(IF(VLOOKUP(B165,'ECN-ECO_DATA'!B:AB,27,FALSE)=0,"",VLOOKUP(B165,'ECN-ECO_DATA'!B:AB,27,FALSE)),"")</f>
        <v/>
      </c>
      <c r="M165" s="43" t="str">
        <f>IFERROR(VLOOKUP(B165,'ECN-ECO_DATA'!B:AE,30,FALSE),"")</f>
        <v/>
      </c>
      <c r="N165" s="59" t="str">
        <f>IFERROR(IF((VLOOKUP(B165,'ECN-ECO_DATA'!B:AD,20,FALSE)-VLOOKUP(B165,'ECN-ECO_DATA'!B:AD,18,FALSE))&gt;0,(VLOOKUP(B165,'ECN-ECO_DATA'!B:AD,20,FALSE)-VLOOKUP(B165,'ECN-ECO_DATA'!B:AD,18,FALSE)),""),"")</f>
        <v/>
      </c>
      <c r="O165" s="59"/>
      <c r="P165" s="59" t="str">
        <f>IFERROR(VLOOKUP(B165,'ECN-ECO_DATA'!B:P,13,FALSE),"")</f>
        <v/>
      </c>
      <c r="Q165" s="43" t="str">
        <f>IFERROR(VLOOKUP(B165,'ECN-ECO_DATA'!B:P,15,FALSE),"")</f>
        <v/>
      </c>
    </row>
    <row r="166" spans="3:17" x14ac:dyDescent="0.25">
      <c r="C166" s="43" t="str">
        <f>IFERROR(VLOOKUP(B166,'ECN-ECO_DATA'!B:C,2,FALSE),"")</f>
        <v/>
      </c>
      <c r="D166" s="43" t="str">
        <f>IFERROR(VLOOKUP(B166,'ECN-ECO_DATA'!B:X,23,FALSE),"")</f>
        <v/>
      </c>
      <c r="E166" s="44" t="str">
        <f>IFERROR(VLOOKUP(B166,'ECN-ECO_DATA'!B:G,5,FALSE),"")</f>
        <v/>
      </c>
      <c r="F166" s="44" t="str">
        <f>IFERROR((IF(VLOOKUP(B166,'ECN-ECO_DATA'!B:G,6,FALSE)="","",VLOOKUP(B166,'ECN-ECO_DATA'!B:G,6,FALSE))),"")</f>
        <v/>
      </c>
      <c r="H166" s="45" t="str">
        <f>IFERROR(VLOOKUP(B166,'ECN-ECO_DATA'!B:G,4,FALSE),"")</f>
        <v/>
      </c>
      <c r="I166" s="46" t="str">
        <f>IFERROR(IF(VLOOKUP(B166,'ECN-ECO_DATA'!B:G,6,FALSE)="","Not started",IF(VLOOKUP(B166,'ECN-ECO_DATA'!B:J,7,FALSE)="","Awaiting First Approval",IF(VLOOKUP(B166,'ECN-ECO_DATA'!B:J,8,FALSE)="","Awaiting Quality Check Approval",IF(VLOOKUP(B166,'ECN-ECO_DATA'!B:J,9,FALSE)="","Awaiting Last Approval",IF(VLOOKUP(B166,'ECN-ECO_DATA'!B:J,9,FALSE)&lt;&gt;"","Approved","Unknown"))))),"")</f>
        <v/>
      </c>
      <c r="K166" s="47" t="str">
        <f>IFERROR(VLOOKUP(B166,'ECN-ECO_DATA'!B:W,22,FALSE),"")</f>
        <v/>
      </c>
      <c r="L166" s="43" t="str">
        <f>IFERROR(IF(VLOOKUP(B166,'ECN-ECO_DATA'!B:AB,27,FALSE)=0,"",VLOOKUP(B166,'ECN-ECO_DATA'!B:AB,27,FALSE)),"")</f>
        <v/>
      </c>
      <c r="M166" s="43" t="str">
        <f>IFERROR(VLOOKUP(B166,'ECN-ECO_DATA'!B:AE,30,FALSE),"")</f>
        <v/>
      </c>
      <c r="N166" s="59" t="str">
        <f>IFERROR(IF((VLOOKUP(B166,'ECN-ECO_DATA'!B:AD,20,FALSE)-VLOOKUP(B166,'ECN-ECO_DATA'!B:AD,18,FALSE))&gt;0,(VLOOKUP(B166,'ECN-ECO_DATA'!B:AD,20,FALSE)-VLOOKUP(B166,'ECN-ECO_DATA'!B:AD,18,FALSE)),""),"")</f>
        <v/>
      </c>
      <c r="O166" s="59"/>
      <c r="P166" s="59" t="str">
        <f>IFERROR(VLOOKUP(B166,'ECN-ECO_DATA'!B:P,13,FALSE),"")</f>
        <v/>
      </c>
      <c r="Q166" s="43" t="str">
        <f>IFERROR(VLOOKUP(B166,'ECN-ECO_DATA'!B:P,15,FALSE),"")</f>
        <v/>
      </c>
    </row>
    <row r="167" spans="3:17" x14ac:dyDescent="0.25">
      <c r="C167" s="43" t="str">
        <f>IFERROR(VLOOKUP(B167,'ECN-ECO_DATA'!B:C,2,FALSE),"")</f>
        <v/>
      </c>
      <c r="D167" s="43" t="str">
        <f>IFERROR(VLOOKUP(B167,'ECN-ECO_DATA'!B:X,23,FALSE),"")</f>
        <v/>
      </c>
      <c r="E167" s="44" t="str">
        <f>IFERROR(VLOOKUP(B167,'ECN-ECO_DATA'!B:G,5,FALSE),"")</f>
        <v/>
      </c>
      <c r="F167" s="44" t="str">
        <f>IFERROR((IF(VLOOKUP(B167,'ECN-ECO_DATA'!B:G,6,FALSE)="","",VLOOKUP(B167,'ECN-ECO_DATA'!B:G,6,FALSE))),"")</f>
        <v/>
      </c>
      <c r="H167" s="45" t="str">
        <f>IFERROR(VLOOKUP(B167,'ECN-ECO_DATA'!B:G,4,FALSE),"")</f>
        <v/>
      </c>
      <c r="I167" s="46" t="str">
        <f>IFERROR(IF(VLOOKUP(B167,'ECN-ECO_DATA'!B:G,6,FALSE)="","Not started",IF(VLOOKUP(B167,'ECN-ECO_DATA'!B:J,7,FALSE)="","Awaiting First Approval",IF(VLOOKUP(B167,'ECN-ECO_DATA'!B:J,8,FALSE)="","Awaiting Quality Check Approval",IF(VLOOKUP(B167,'ECN-ECO_DATA'!B:J,9,FALSE)="","Awaiting Last Approval",IF(VLOOKUP(B167,'ECN-ECO_DATA'!B:J,9,FALSE)&lt;&gt;"","Approved","Unknown"))))),"")</f>
        <v/>
      </c>
      <c r="K167" s="47" t="str">
        <f>IFERROR(VLOOKUP(B167,'ECN-ECO_DATA'!B:W,22,FALSE),"")</f>
        <v/>
      </c>
      <c r="L167" s="43" t="str">
        <f>IFERROR(IF(VLOOKUP(B167,'ECN-ECO_DATA'!B:AB,27,FALSE)=0,"",VLOOKUP(B167,'ECN-ECO_DATA'!B:AB,27,FALSE)),"")</f>
        <v/>
      </c>
      <c r="M167" s="43" t="str">
        <f>IFERROR(VLOOKUP(B167,'ECN-ECO_DATA'!B:AE,30,FALSE),"")</f>
        <v/>
      </c>
      <c r="N167" s="59" t="str">
        <f>IFERROR(IF((VLOOKUP(B167,'ECN-ECO_DATA'!B:AD,20,FALSE)-VLOOKUP(B167,'ECN-ECO_DATA'!B:AD,18,FALSE))&gt;0,(VLOOKUP(B167,'ECN-ECO_DATA'!B:AD,20,FALSE)-VLOOKUP(B167,'ECN-ECO_DATA'!B:AD,18,FALSE)),""),"")</f>
        <v/>
      </c>
      <c r="O167" s="59"/>
      <c r="P167" s="59" t="str">
        <f>IFERROR(VLOOKUP(B167,'ECN-ECO_DATA'!B:P,13,FALSE),"")</f>
        <v/>
      </c>
      <c r="Q167" s="43" t="str">
        <f>IFERROR(VLOOKUP(B167,'ECN-ECO_DATA'!B:P,15,FALSE),"")</f>
        <v/>
      </c>
    </row>
    <row r="168" spans="3:17" x14ac:dyDescent="0.25">
      <c r="C168" s="43" t="str">
        <f>IFERROR(VLOOKUP(B168,'ECN-ECO_DATA'!B:C,2,FALSE),"")</f>
        <v/>
      </c>
      <c r="D168" s="43" t="str">
        <f>IFERROR(VLOOKUP(B168,'ECN-ECO_DATA'!B:X,23,FALSE),"")</f>
        <v/>
      </c>
      <c r="E168" s="44" t="str">
        <f>IFERROR(VLOOKUP(B168,'ECN-ECO_DATA'!B:G,5,FALSE),"")</f>
        <v/>
      </c>
      <c r="F168" s="44" t="str">
        <f>IFERROR((IF(VLOOKUP(B168,'ECN-ECO_DATA'!B:G,6,FALSE)="","",VLOOKUP(B168,'ECN-ECO_DATA'!B:G,6,FALSE))),"")</f>
        <v/>
      </c>
      <c r="H168" s="45" t="str">
        <f>IFERROR(VLOOKUP(B168,'ECN-ECO_DATA'!B:G,4,FALSE),"")</f>
        <v/>
      </c>
      <c r="I168" s="46" t="str">
        <f>IFERROR(IF(VLOOKUP(B168,'ECN-ECO_DATA'!B:G,6,FALSE)="","Not started",IF(VLOOKUP(B168,'ECN-ECO_DATA'!B:J,7,FALSE)="","Awaiting First Approval",IF(VLOOKUP(B168,'ECN-ECO_DATA'!B:J,8,FALSE)="","Awaiting Quality Check Approval",IF(VLOOKUP(B168,'ECN-ECO_DATA'!B:J,9,FALSE)="","Awaiting Last Approval",IF(VLOOKUP(B168,'ECN-ECO_DATA'!B:J,9,FALSE)&lt;&gt;"","Approved","Unknown"))))),"")</f>
        <v/>
      </c>
      <c r="K168" s="47" t="str">
        <f>IFERROR(VLOOKUP(B168,'ECN-ECO_DATA'!B:W,22,FALSE),"")</f>
        <v/>
      </c>
      <c r="L168" s="43" t="str">
        <f>IFERROR(IF(VLOOKUP(B168,'ECN-ECO_DATA'!B:AB,27,FALSE)=0,"",VLOOKUP(B168,'ECN-ECO_DATA'!B:AB,27,FALSE)),"")</f>
        <v/>
      </c>
      <c r="M168" s="43" t="str">
        <f>IFERROR(VLOOKUP(B168,'ECN-ECO_DATA'!B:AE,30,FALSE),"")</f>
        <v/>
      </c>
      <c r="N168" s="59" t="str">
        <f>IFERROR(IF((VLOOKUP(B168,'ECN-ECO_DATA'!B:AD,20,FALSE)-VLOOKUP(B168,'ECN-ECO_DATA'!B:AD,18,FALSE))&gt;0,(VLOOKUP(B168,'ECN-ECO_DATA'!B:AD,20,FALSE)-VLOOKUP(B168,'ECN-ECO_DATA'!B:AD,18,FALSE)),""),"")</f>
        <v/>
      </c>
      <c r="O168" s="59"/>
      <c r="P168" s="59" t="str">
        <f>IFERROR(VLOOKUP(B168,'ECN-ECO_DATA'!B:P,13,FALSE),"")</f>
        <v/>
      </c>
      <c r="Q168" s="43" t="str">
        <f>IFERROR(VLOOKUP(B168,'ECN-ECO_DATA'!B:P,15,FALSE),"")</f>
        <v/>
      </c>
    </row>
    <row r="169" spans="3:17" x14ac:dyDescent="0.25">
      <c r="C169" s="43" t="str">
        <f>IFERROR(VLOOKUP(B169,'ECN-ECO_DATA'!B:C,2,FALSE),"")</f>
        <v/>
      </c>
      <c r="D169" s="43" t="str">
        <f>IFERROR(VLOOKUP(B169,'ECN-ECO_DATA'!B:X,23,FALSE),"")</f>
        <v/>
      </c>
      <c r="E169" s="44" t="str">
        <f>IFERROR(VLOOKUP(B169,'ECN-ECO_DATA'!B:G,5,FALSE),"")</f>
        <v/>
      </c>
      <c r="F169" s="44" t="str">
        <f>IFERROR((IF(VLOOKUP(B169,'ECN-ECO_DATA'!B:G,6,FALSE)="","",VLOOKUP(B169,'ECN-ECO_DATA'!B:G,6,FALSE))),"")</f>
        <v/>
      </c>
      <c r="H169" s="45" t="str">
        <f>IFERROR(VLOOKUP(B169,'ECN-ECO_DATA'!B:G,4,FALSE),"")</f>
        <v/>
      </c>
      <c r="I169" s="46" t="str">
        <f>IFERROR(IF(VLOOKUP(B169,'ECN-ECO_DATA'!B:G,6,FALSE)="","Not started",IF(VLOOKUP(B169,'ECN-ECO_DATA'!B:J,7,FALSE)="","Awaiting First Approval",IF(VLOOKUP(B169,'ECN-ECO_DATA'!B:J,8,FALSE)="","Awaiting Quality Check Approval",IF(VLOOKUP(B169,'ECN-ECO_DATA'!B:J,9,FALSE)="","Awaiting Last Approval",IF(VLOOKUP(B169,'ECN-ECO_DATA'!B:J,9,FALSE)&lt;&gt;"","Approved","Unknown"))))),"")</f>
        <v/>
      </c>
      <c r="K169" s="47" t="str">
        <f>IFERROR(VLOOKUP(B169,'ECN-ECO_DATA'!B:W,22,FALSE),"")</f>
        <v/>
      </c>
      <c r="L169" s="43" t="str">
        <f>IFERROR(IF(VLOOKUP(B169,'ECN-ECO_DATA'!B:AB,27,FALSE)=0,"",VLOOKUP(B169,'ECN-ECO_DATA'!B:AB,27,FALSE)),"")</f>
        <v/>
      </c>
      <c r="M169" s="43" t="str">
        <f>IFERROR(VLOOKUP(B169,'ECN-ECO_DATA'!B:AE,30,FALSE),"")</f>
        <v/>
      </c>
      <c r="N169" s="59" t="str">
        <f>IFERROR(IF((VLOOKUP(B169,'ECN-ECO_DATA'!B:AD,20,FALSE)-VLOOKUP(B169,'ECN-ECO_DATA'!B:AD,18,FALSE))&gt;0,(VLOOKUP(B169,'ECN-ECO_DATA'!B:AD,20,FALSE)-VLOOKUP(B169,'ECN-ECO_DATA'!B:AD,18,FALSE)),""),"")</f>
        <v/>
      </c>
      <c r="O169" s="59"/>
      <c r="P169" s="59" t="str">
        <f>IFERROR(VLOOKUP(B169,'ECN-ECO_DATA'!B:P,13,FALSE),"")</f>
        <v/>
      </c>
      <c r="Q169" s="43" t="str">
        <f>IFERROR(VLOOKUP(B169,'ECN-ECO_DATA'!B:P,15,FALSE),"")</f>
        <v/>
      </c>
    </row>
    <row r="170" spans="3:17" x14ac:dyDescent="0.25">
      <c r="C170" s="43" t="str">
        <f>IFERROR(VLOOKUP(B170,'ECN-ECO_DATA'!B:C,2,FALSE),"")</f>
        <v/>
      </c>
      <c r="D170" s="43" t="str">
        <f>IFERROR(VLOOKUP(B170,'ECN-ECO_DATA'!B:X,23,FALSE),"")</f>
        <v/>
      </c>
      <c r="E170" s="44" t="str">
        <f>IFERROR(VLOOKUP(B170,'ECN-ECO_DATA'!B:G,5,FALSE),"")</f>
        <v/>
      </c>
      <c r="F170" s="44" t="str">
        <f>IFERROR((IF(VLOOKUP(B170,'ECN-ECO_DATA'!B:G,6,FALSE)="","",VLOOKUP(B170,'ECN-ECO_DATA'!B:G,6,FALSE))),"")</f>
        <v/>
      </c>
      <c r="H170" s="45" t="str">
        <f>IFERROR(VLOOKUP(B170,'ECN-ECO_DATA'!B:G,4,FALSE),"")</f>
        <v/>
      </c>
      <c r="I170" s="46" t="str">
        <f>IFERROR(IF(VLOOKUP(B170,'ECN-ECO_DATA'!B:G,6,FALSE)="","Not started",IF(VLOOKUP(B170,'ECN-ECO_DATA'!B:J,7,FALSE)="","Awaiting First Approval",IF(VLOOKUP(B170,'ECN-ECO_DATA'!B:J,8,FALSE)="","Awaiting Quality Check Approval",IF(VLOOKUP(B170,'ECN-ECO_DATA'!B:J,9,FALSE)="","Awaiting Last Approval",IF(VLOOKUP(B170,'ECN-ECO_DATA'!B:J,9,FALSE)&lt;&gt;"","Approved","Unknown"))))),"")</f>
        <v/>
      </c>
      <c r="K170" s="47" t="str">
        <f>IFERROR(VLOOKUP(B170,'ECN-ECO_DATA'!B:W,22,FALSE),"")</f>
        <v/>
      </c>
      <c r="L170" s="43" t="str">
        <f>IFERROR(IF(VLOOKUP(B170,'ECN-ECO_DATA'!B:AB,27,FALSE)=0,"",VLOOKUP(B170,'ECN-ECO_DATA'!B:AB,27,FALSE)),"")</f>
        <v/>
      </c>
      <c r="M170" s="43" t="str">
        <f>IFERROR(VLOOKUP(B170,'ECN-ECO_DATA'!B:AE,30,FALSE),"")</f>
        <v/>
      </c>
      <c r="N170" s="59" t="str">
        <f>IFERROR(IF((VLOOKUP(B170,'ECN-ECO_DATA'!B:AD,20,FALSE)-VLOOKUP(B170,'ECN-ECO_DATA'!B:AD,18,FALSE))&gt;0,(VLOOKUP(B170,'ECN-ECO_DATA'!B:AD,20,FALSE)-VLOOKUP(B170,'ECN-ECO_DATA'!B:AD,18,FALSE)),""),"")</f>
        <v/>
      </c>
      <c r="O170" s="59"/>
      <c r="P170" s="59" t="str">
        <f>IFERROR(VLOOKUP(B170,'ECN-ECO_DATA'!B:P,13,FALSE),"")</f>
        <v/>
      </c>
      <c r="Q170" s="43" t="str">
        <f>IFERROR(VLOOKUP(B170,'ECN-ECO_DATA'!B:P,15,FALSE),"")</f>
        <v/>
      </c>
    </row>
    <row r="171" spans="3:17" x14ac:dyDescent="0.25">
      <c r="C171" s="43" t="str">
        <f>IFERROR(VLOOKUP(B171,'ECN-ECO_DATA'!B:C,2,FALSE),"")</f>
        <v/>
      </c>
      <c r="D171" s="43" t="str">
        <f>IFERROR(VLOOKUP(B171,'ECN-ECO_DATA'!B:X,23,FALSE),"")</f>
        <v/>
      </c>
      <c r="E171" s="44" t="str">
        <f>IFERROR(VLOOKUP(B171,'ECN-ECO_DATA'!B:G,5,FALSE),"")</f>
        <v/>
      </c>
      <c r="F171" s="44" t="str">
        <f>IFERROR((IF(VLOOKUP(B171,'ECN-ECO_DATA'!B:G,6,FALSE)="","",VLOOKUP(B171,'ECN-ECO_DATA'!B:G,6,FALSE))),"")</f>
        <v/>
      </c>
      <c r="H171" s="45" t="str">
        <f>IFERROR(VLOOKUP(B171,'ECN-ECO_DATA'!B:G,4,FALSE),"")</f>
        <v/>
      </c>
      <c r="I171" s="46" t="str">
        <f>IFERROR(IF(VLOOKUP(B171,'ECN-ECO_DATA'!B:G,6,FALSE)="","Not started",IF(VLOOKUP(B171,'ECN-ECO_DATA'!B:J,7,FALSE)="","Awaiting First Approval",IF(VLOOKUP(B171,'ECN-ECO_DATA'!B:J,8,FALSE)="","Awaiting Quality Check Approval",IF(VLOOKUP(B171,'ECN-ECO_DATA'!B:J,9,FALSE)="","Awaiting Last Approval",IF(VLOOKUP(B171,'ECN-ECO_DATA'!B:J,9,FALSE)&lt;&gt;"","Approved","Unknown"))))),"")</f>
        <v/>
      </c>
      <c r="K171" s="47" t="str">
        <f>IFERROR(VLOOKUP(B171,'ECN-ECO_DATA'!B:W,22,FALSE),"")</f>
        <v/>
      </c>
      <c r="L171" s="43" t="str">
        <f>IFERROR(IF(VLOOKUP(B171,'ECN-ECO_DATA'!B:AB,27,FALSE)=0,"",VLOOKUP(B171,'ECN-ECO_DATA'!B:AB,27,FALSE)),"")</f>
        <v/>
      </c>
      <c r="M171" s="43" t="str">
        <f>IFERROR(VLOOKUP(B171,'ECN-ECO_DATA'!B:AE,30,FALSE),"")</f>
        <v/>
      </c>
      <c r="N171" s="59" t="str">
        <f>IFERROR(IF((VLOOKUP(B171,'ECN-ECO_DATA'!B:AD,20,FALSE)-VLOOKUP(B171,'ECN-ECO_DATA'!B:AD,18,FALSE))&gt;0,(VLOOKUP(B171,'ECN-ECO_DATA'!B:AD,20,FALSE)-VLOOKUP(B171,'ECN-ECO_DATA'!B:AD,18,FALSE)),""),"")</f>
        <v/>
      </c>
      <c r="O171" s="59"/>
      <c r="P171" s="59" t="str">
        <f>IFERROR(VLOOKUP(B171,'ECN-ECO_DATA'!B:P,13,FALSE),"")</f>
        <v/>
      </c>
      <c r="Q171" s="43" t="str">
        <f>IFERROR(VLOOKUP(B171,'ECN-ECO_DATA'!B:P,15,FALSE),"")</f>
        <v/>
      </c>
    </row>
    <row r="172" spans="3:17" x14ac:dyDescent="0.25">
      <c r="C172" s="43" t="str">
        <f>IFERROR(VLOOKUP(B172,'ECN-ECO_DATA'!B:C,2,FALSE),"")</f>
        <v/>
      </c>
      <c r="D172" s="43" t="str">
        <f>IFERROR(VLOOKUP(B172,'ECN-ECO_DATA'!B:X,23,FALSE),"")</f>
        <v/>
      </c>
      <c r="E172" s="44" t="str">
        <f>IFERROR(VLOOKUP(B172,'ECN-ECO_DATA'!B:G,5,FALSE),"")</f>
        <v/>
      </c>
      <c r="F172" s="44" t="str">
        <f>IFERROR((IF(VLOOKUP(B172,'ECN-ECO_DATA'!B:G,6,FALSE)="","",VLOOKUP(B172,'ECN-ECO_DATA'!B:G,6,FALSE))),"")</f>
        <v/>
      </c>
      <c r="H172" s="45" t="str">
        <f>IFERROR(VLOOKUP(B172,'ECN-ECO_DATA'!B:G,4,FALSE),"")</f>
        <v/>
      </c>
      <c r="I172" s="46" t="str">
        <f>IFERROR(IF(VLOOKUP(B172,'ECN-ECO_DATA'!B:G,6,FALSE)="","Not started",IF(VLOOKUP(B172,'ECN-ECO_DATA'!B:J,7,FALSE)="","Awaiting First Approval",IF(VLOOKUP(B172,'ECN-ECO_DATA'!B:J,8,FALSE)="","Awaiting Quality Check Approval",IF(VLOOKUP(B172,'ECN-ECO_DATA'!B:J,9,FALSE)="","Awaiting Last Approval",IF(VLOOKUP(B172,'ECN-ECO_DATA'!B:J,9,FALSE)&lt;&gt;"","Approved","Unknown"))))),"")</f>
        <v/>
      </c>
      <c r="K172" s="47" t="str">
        <f>IFERROR(VLOOKUP(B172,'ECN-ECO_DATA'!B:W,22,FALSE),"")</f>
        <v/>
      </c>
      <c r="L172" s="43" t="str">
        <f>IFERROR(IF(VLOOKUP(B172,'ECN-ECO_DATA'!B:AB,27,FALSE)=0,"",VLOOKUP(B172,'ECN-ECO_DATA'!B:AB,27,FALSE)),"")</f>
        <v/>
      </c>
      <c r="M172" s="43" t="str">
        <f>IFERROR(VLOOKUP(B172,'ECN-ECO_DATA'!B:AE,30,FALSE),"")</f>
        <v/>
      </c>
      <c r="N172" s="59" t="str">
        <f>IFERROR(IF((VLOOKUP(B172,'ECN-ECO_DATA'!B:AD,20,FALSE)-VLOOKUP(B172,'ECN-ECO_DATA'!B:AD,18,FALSE))&gt;0,(VLOOKUP(B172,'ECN-ECO_DATA'!B:AD,20,FALSE)-VLOOKUP(B172,'ECN-ECO_DATA'!B:AD,18,FALSE)),""),"")</f>
        <v/>
      </c>
      <c r="O172" s="59"/>
      <c r="P172" s="59" t="str">
        <f>IFERROR(VLOOKUP(B172,'ECN-ECO_DATA'!B:P,13,FALSE),"")</f>
        <v/>
      </c>
      <c r="Q172" s="43" t="str">
        <f>IFERROR(VLOOKUP(B172,'ECN-ECO_DATA'!B:P,15,FALSE),"")</f>
        <v/>
      </c>
    </row>
    <row r="173" spans="3:17" x14ac:dyDescent="0.25">
      <c r="C173" s="43" t="str">
        <f>IFERROR(VLOOKUP(B173,'ECN-ECO_DATA'!B:C,2,FALSE),"")</f>
        <v/>
      </c>
      <c r="D173" s="43" t="str">
        <f>IFERROR(VLOOKUP(B173,'ECN-ECO_DATA'!B:X,23,FALSE),"")</f>
        <v/>
      </c>
      <c r="E173" s="44" t="str">
        <f>IFERROR(VLOOKUP(B173,'ECN-ECO_DATA'!B:G,5,FALSE),"")</f>
        <v/>
      </c>
      <c r="F173" s="44" t="str">
        <f>IFERROR((IF(VLOOKUP(B173,'ECN-ECO_DATA'!B:G,6,FALSE)="","",VLOOKUP(B173,'ECN-ECO_DATA'!B:G,6,FALSE))),"")</f>
        <v/>
      </c>
      <c r="H173" s="45" t="str">
        <f>IFERROR(VLOOKUP(B173,'ECN-ECO_DATA'!B:G,4,FALSE),"")</f>
        <v/>
      </c>
      <c r="I173" s="46" t="str">
        <f>IFERROR(IF(VLOOKUP(B173,'ECN-ECO_DATA'!B:G,6,FALSE)="","Not started",IF(VLOOKUP(B173,'ECN-ECO_DATA'!B:J,7,FALSE)="","Awaiting First Approval",IF(VLOOKUP(B173,'ECN-ECO_DATA'!B:J,8,FALSE)="","Awaiting Quality Check Approval",IF(VLOOKUP(B173,'ECN-ECO_DATA'!B:J,9,FALSE)="","Awaiting Last Approval",IF(VLOOKUP(B173,'ECN-ECO_DATA'!B:J,9,FALSE)&lt;&gt;"","Approved","Unknown"))))),"")</f>
        <v/>
      </c>
      <c r="K173" s="47" t="str">
        <f>IFERROR(VLOOKUP(B173,'ECN-ECO_DATA'!B:W,22,FALSE),"")</f>
        <v/>
      </c>
      <c r="L173" s="43" t="str">
        <f>IFERROR(IF(VLOOKUP(B173,'ECN-ECO_DATA'!B:AB,27,FALSE)=0,"",VLOOKUP(B173,'ECN-ECO_DATA'!B:AB,27,FALSE)),"")</f>
        <v/>
      </c>
      <c r="M173" s="43" t="str">
        <f>IFERROR(VLOOKUP(B173,'ECN-ECO_DATA'!B:AE,30,FALSE),"")</f>
        <v/>
      </c>
      <c r="N173" s="59" t="str">
        <f>IFERROR(IF((VLOOKUP(B173,'ECN-ECO_DATA'!B:AD,20,FALSE)-VLOOKUP(B173,'ECN-ECO_DATA'!B:AD,18,FALSE))&gt;0,(VLOOKUP(B173,'ECN-ECO_DATA'!B:AD,20,FALSE)-VLOOKUP(B173,'ECN-ECO_DATA'!B:AD,18,FALSE)),""),"")</f>
        <v/>
      </c>
      <c r="O173" s="59"/>
      <c r="P173" s="59" t="str">
        <f>IFERROR(VLOOKUP(B173,'ECN-ECO_DATA'!B:P,13,FALSE),"")</f>
        <v/>
      </c>
      <c r="Q173" s="43" t="str">
        <f>IFERROR(VLOOKUP(B173,'ECN-ECO_DATA'!B:P,15,FALSE),"")</f>
        <v/>
      </c>
    </row>
    <row r="174" spans="3:17" x14ac:dyDescent="0.25">
      <c r="C174" s="43" t="str">
        <f>IFERROR(VLOOKUP(B174,'ECN-ECO_DATA'!B:C,2,FALSE),"")</f>
        <v/>
      </c>
      <c r="D174" s="43" t="str">
        <f>IFERROR(VLOOKUP(B174,'ECN-ECO_DATA'!B:X,23,FALSE),"")</f>
        <v/>
      </c>
      <c r="E174" s="44" t="str">
        <f>IFERROR(VLOOKUP(B174,'ECN-ECO_DATA'!B:G,5,FALSE),"")</f>
        <v/>
      </c>
      <c r="F174" s="44" t="str">
        <f>IFERROR((IF(VLOOKUP(B174,'ECN-ECO_DATA'!B:G,6,FALSE)="","",VLOOKUP(B174,'ECN-ECO_DATA'!B:G,6,FALSE))),"")</f>
        <v/>
      </c>
      <c r="H174" s="45" t="str">
        <f>IFERROR(VLOOKUP(B174,'ECN-ECO_DATA'!B:G,4,FALSE),"")</f>
        <v/>
      </c>
      <c r="I174" s="46" t="str">
        <f>IFERROR(IF(VLOOKUP(B174,'ECN-ECO_DATA'!B:G,6,FALSE)="","Not started",IF(VLOOKUP(B174,'ECN-ECO_DATA'!B:J,7,FALSE)="","Awaiting First Approval",IF(VLOOKUP(B174,'ECN-ECO_DATA'!B:J,8,FALSE)="","Awaiting Quality Check Approval",IF(VLOOKUP(B174,'ECN-ECO_DATA'!B:J,9,FALSE)="","Awaiting Last Approval",IF(VLOOKUP(B174,'ECN-ECO_DATA'!B:J,9,FALSE)&lt;&gt;"","Approved","Unknown"))))),"")</f>
        <v/>
      </c>
      <c r="K174" s="47" t="str">
        <f>IFERROR(VLOOKUP(B174,'ECN-ECO_DATA'!B:W,22,FALSE),"")</f>
        <v/>
      </c>
      <c r="L174" s="43" t="str">
        <f>IFERROR(IF(VLOOKUP(B174,'ECN-ECO_DATA'!B:AB,27,FALSE)=0,"",VLOOKUP(B174,'ECN-ECO_DATA'!B:AB,27,FALSE)),"")</f>
        <v/>
      </c>
      <c r="M174" s="43" t="str">
        <f>IFERROR(VLOOKUP(B174,'ECN-ECO_DATA'!B:AE,30,FALSE),"")</f>
        <v/>
      </c>
      <c r="N174" s="59" t="str">
        <f>IFERROR(IF((VLOOKUP(B174,'ECN-ECO_DATA'!B:AD,20,FALSE)-VLOOKUP(B174,'ECN-ECO_DATA'!B:AD,18,FALSE))&gt;0,(VLOOKUP(B174,'ECN-ECO_DATA'!B:AD,20,FALSE)-VLOOKUP(B174,'ECN-ECO_DATA'!B:AD,18,FALSE)),""),"")</f>
        <v/>
      </c>
      <c r="O174" s="59"/>
      <c r="P174" s="59" t="str">
        <f>IFERROR(VLOOKUP(B174,'ECN-ECO_DATA'!B:P,13,FALSE),"")</f>
        <v/>
      </c>
      <c r="Q174" s="43" t="str">
        <f>IFERROR(VLOOKUP(B174,'ECN-ECO_DATA'!B:P,15,FALSE),"")</f>
        <v/>
      </c>
    </row>
    <row r="175" spans="3:17" x14ac:dyDescent="0.25">
      <c r="C175" s="43" t="str">
        <f>IFERROR(VLOOKUP(B175,'ECN-ECO_DATA'!B:C,2,FALSE),"")</f>
        <v/>
      </c>
      <c r="D175" s="43" t="str">
        <f>IFERROR(VLOOKUP(B175,'ECN-ECO_DATA'!B:X,23,FALSE),"")</f>
        <v/>
      </c>
      <c r="E175" s="44" t="str">
        <f>IFERROR(VLOOKUP(B175,'ECN-ECO_DATA'!B:G,5,FALSE),"")</f>
        <v/>
      </c>
      <c r="F175" s="44" t="str">
        <f>IFERROR((IF(VLOOKUP(B175,'ECN-ECO_DATA'!B:G,6,FALSE)="","",VLOOKUP(B175,'ECN-ECO_DATA'!B:G,6,FALSE))),"")</f>
        <v/>
      </c>
      <c r="H175" s="45" t="str">
        <f>IFERROR(VLOOKUP(B175,'ECN-ECO_DATA'!B:G,4,FALSE),"")</f>
        <v/>
      </c>
      <c r="I175" s="46" t="str">
        <f>IFERROR(IF(VLOOKUP(B175,'ECN-ECO_DATA'!B:G,6,FALSE)="","Not started",IF(VLOOKUP(B175,'ECN-ECO_DATA'!B:J,7,FALSE)="","Awaiting First Approval",IF(VLOOKUP(B175,'ECN-ECO_DATA'!B:J,8,FALSE)="","Awaiting Quality Check Approval",IF(VLOOKUP(B175,'ECN-ECO_DATA'!B:J,9,FALSE)="","Awaiting Last Approval",IF(VLOOKUP(B175,'ECN-ECO_DATA'!B:J,9,FALSE)&lt;&gt;"","Approved","Unknown"))))),"")</f>
        <v/>
      </c>
      <c r="K175" s="47" t="str">
        <f>IFERROR(VLOOKUP(B175,'ECN-ECO_DATA'!B:W,22,FALSE),"")</f>
        <v/>
      </c>
      <c r="L175" s="43" t="str">
        <f>IFERROR(IF(VLOOKUP(B175,'ECN-ECO_DATA'!B:AB,27,FALSE)=0,"",VLOOKUP(B175,'ECN-ECO_DATA'!B:AB,27,FALSE)),"")</f>
        <v/>
      </c>
      <c r="M175" s="43" t="str">
        <f>IFERROR(VLOOKUP(B175,'ECN-ECO_DATA'!B:AE,30,FALSE),"")</f>
        <v/>
      </c>
      <c r="N175" s="59" t="str">
        <f>IFERROR(IF((VLOOKUP(B175,'ECN-ECO_DATA'!B:AD,20,FALSE)-VLOOKUP(B175,'ECN-ECO_DATA'!B:AD,18,FALSE))&gt;0,(VLOOKUP(B175,'ECN-ECO_DATA'!B:AD,20,FALSE)-VLOOKUP(B175,'ECN-ECO_DATA'!B:AD,18,FALSE)),""),"")</f>
        <v/>
      </c>
      <c r="O175" s="59"/>
      <c r="P175" s="59" t="str">
        <f>IFERROR(VLOOKUP(B175,'ECN-ECO_DATA'!B:P,13,FALSE),"")</f>
        <v/>
      </c>
      <c r="Q175" s="43" t="str">
        <f>IFERROR(VLOOKUP(B175,'ECN-ECO_DATA'!B:P,15,FALSE),"")</f>
        <v/>
      </c>
    </row>
    <row r="176" spans="3:17" x14ac:dyDescent="0.25">
      <c r="C176" s="43" t="str">
        <f>IFERROR(VLOOKUP(B176,'ECN-ECO_DATA'!B:C,2,FALSE),"")</f>
        <v/>
      </c>
      <c r="D176" s="43" t="str">
        <f>IFERROR(VLOOKUP(B176,'ECN-ECO_DATA'!B:X,23,FALSE),"")</f>
        <v/>
      </c>
      <c r="E176" s="44" t="str">
        <f>IFERROR(VLOOKUP(B176,'ECN-ECO_DATA'!B:G,5,FALSE),"")</f>
        <v/>
      </c>
      <c r="F176" s="44" t="str">
        <f>IFERROR((IF(VLOOKUP(B176,'ECN-ECO_DATA'!B:G,6,FALSE)="","",VLOOKUP(B176,'ECN-ECO_DATA'!B:G,6,FALSE))),"")</f>
        <v/>
      </c>
      <c r="H176" s="45" t="str">
        <f>IFERROR(VLOOKUP(B176,'ECN-ECO_DATA'!B:G,4,FALSE),"")</f>
        <v/>
      </c>
      <c r="I176" s="46" t="str">
        <f>IFERROR(IF(VLOOKUP(B176,'ECN-ECO_DATA'!B:G,6,FALSE)="","Not started",IF(VLOOKUP(B176,'ECN-ECO_DATA'!B:J,7,FALSE)="","Awaiting First Approval",IF(VLOOKUP(B176,'ECN-ECO_DATA'!B:J,8,FALSE)="","Awaiting Quality Check Approval",IF(VLOOKUP(B176,'ECN-ECO_DATA'!B:J,9,FALSE)="","Awaiting Last Approval",IF(VLOOKUP(B176,'ECN-ECO_DATA'!B:J,9,FALSE)&lt;&gt;"","Approved","Unknown"))))),"")</f>
        <v/>
      </c>
      <c r="K176" s="47" t="str">
        <f>IFERROR(VLOOKUP(B176,'ECN-ECO_DATA'!B:W,22,FALSE),"")</f>
        <v/>
      </c>
      <c r="L176" s="43" t="str">
        <f>IFERROR(IF(VLOOKUP(B176,'ECN-ECO_DATA'!B:AB,27,FALSE)=0,"",VLOOKUP(B176,'ECN-ECO_DATA'!B:AB,27,FALSE)),"")</f>
        <v/>
      </c>
      <c r="M176" s="43" t="str">
        <f>IFERROR(VLOOKUP(B176,'ECN-ECO_DATA'!B:AE,30,FALSE),"")</f>
        <v/>
      </c>
      <c r="N176" s="59" t="str">
        <f>IFERROR(IF((VLOOKUP(B176,'ECN-ECO_DATA'!B:AD,20,FALSE)-VLOOKUP(B176,'ECN-ECO_DATA'!B:AD,18,FALSE))&gt;0,(VLOOKUP(B176,'ECN-ECO_DATA'!B:AD,20,FALSE)-VLOOKUP(B176,'ECN-ECO_DATA'!B:AD,18,FALSE)),""),"")</f>
        <v/>
      </c>
      <c r="O176" s="59"/>
      <c r="P176" s="59" t="str">
        <f>IFERROR(VLOOKUP(B176,'ECN-ECO_DATA'!B:P,13,FALSE),"")</f>
        <v/>
      </c>
      <c r="Q176" s="43" t="str">
        <f>IFERROR(VLOOKUP(B176,'ECN-ECO_DATA'!B:P,15,FALSE),"")</f>
        <v/>
      </c>
    </row>
    <row r="177" spans="3:17" x14ac:dyDescent="0.25">
      <c r="C177" s="43" t="str">
        <f>IFERROR(VLOOKUP(B177,'ECN-ECO_DATA'!B:C,2,FALSE),"")</f>
        <v/>
      </c>
      <c r="D177" s="43" t="str">
        <f>IFERROR(VLOOKUP(B177,'ECN-ECO_DATA'!B:X,23,FALSE),"")</f>
        <v/>
      </c>
      <c r="E177" s="44" t="str">
        <f>IFERROR(VLOOKUP(B177,'ECN-ECO_DATA'!B:G,5,FALSE),"")</f>
        <v/>
      </c>
      <c r="F177" s="44" t="str">
        <f>IFERROR((IF(VLOOKUP(B177,'ECN-ECO_DATA'!B:G,6,FALSE)="","",VLOOKUP(B177,'ECN-ECO_DATA'!B:G,6,FALSE))),"")</f>
        <v/>
      </c>
      <c r="H177" s="45" t="str">
        <f>IFERROR(VLOOKUP(B177,'ECN-ECO_DATA'!B:G,4,FALSE),"")</f>
        <v/>
      </c>
      <c r="I177" s="46" t="str">
        <f>IFERROR(IF(VLOOKUP(B177,'ECN-ECO_DATA'!B:G,6,FALSE)="","Not started",IF(VLOOKUP(B177,'ECN-ECO_DATA'!B:J,7,FALSE)="","Awaiting First Approval",IF(VLOOKUP(B177,'ECN-ECO_DATA'!B:J,8,FALSE)="","Awaiting Quality Check Approval",IF(VLOOKUP(B177,'ECN-ECO_DATA'!B:J,9,FALSE)="","Awaiting Last Approval",IF(VLOOKUP(B177,'ECN-ECO_DATA'!B:J,9,FALSE)&lt;&gt;"","Approved","Unknown"))))),"")</f>
        <v/>
      </c>
      <c r="K177" s="47" t="str">
        <f>IFERROR(VLOOKUP(B177,'ECN-ECO_DATA'!B:W,22,FALSE),"")</f>
        <v/>
      </c>
      <c r="L177" s="43" t="str">
        <f>IFERROR(IF(VLOOKUP(B177,'ECN-ECO_DATA'!B:AB,27,FALSE)=0,"",VLOOKUP(B177,'ECN-ECO_DATA'!B:AB,27,FALSE)),"")</f>
        <v/>
      </c>
      <c r="M177" s="43" t="str">
        <f>IFERROR(VLOOKUP(B177,'ECN-ECO_DATA'!B:AE,30,FALSE),"")</f>
        <v/>
      </c>
      <c r="N177" s="59" t="str">
        <f>IFERROR(IF((VLOOKUP(B177,'ECN-ECO_DATA'!B:AD,20,FALSE)-VLOOKUP(B177,'ECN-ECO_DATA'!B:AD,18,FALSE))&gt;0,(VLOOKUP(B177,'ECN-ECO_DATA'!B:AD,20,FALSE)-VLOOKUP(B177,'ECN-ECO_DATA'!B:AD,18,FALSE)),""),"")</f>
        <v/>
      </c>
      <c r="O177" s="59"/>
      <c r="P177" s="59" t="str">
        <f>IFERROR(VLOOKUP(B177,'ECN-ECO_DATA'!B:P,13,FALSE),"")</f>
        <v/>
      </c>
      <c r="Q177" s="43" t="str">
        <f>IFERROR(VLOOKUP(B177,'ECN-ECO_DATA'!B:P,15,FALSE),"")</f>
        <v/>
      </c>
    </row>
    <row r="178" spans="3:17" x14ac:dyDescent="0.25">
      <c r="C178" s="43" t="str">
        <f>IFERROR(VLOOKUP(B178,'ECN-ECO_DATA'!B:C,2,FALSE),"")</f>
        <v/>
      </c>
      <c r="D178" s="43" t="str">
        <f>IFERROR(VLOOKUP(B178,'ECN-ECO_DATA'!B:X,23,FALSE),"")</f>
        <v/>
      </c>
      <c r="E178" s="44" t="str">
        <f>IFERROR(VLOOKUP(B178,'ECN-ECO_DATA'!B:G,5,FALSE),"")</f>
        <v/>
      </c>
      <c r="F178" s="44" t="str">
        <f>IFERROR((IF(VLOOKUP(B178,'ECN-ECO_DATA'!B:G,6,FALSE)="","",VLOOKUP(B178,'ECN-ECO_DATA'!B:G,6,FALSE))),"")</f>
        <v/>
      </c>
      <c r="H178" s="45" t="str">
        <f>IFERROR(VLOOKUP(B178,'ECN-ECO_DATA'!B:G,4,FALSE),"")</f>
        <v/>
      </c>
      <c r="I178" s="46" t="str">
        <f>IFERROR(IF(VLOOKUP(B178,'ECN-ECO_DATA'!B:G,6,FALSE)="","Not started",IF(VLOOKUP(B178,'ECN-ECO_DATA'!B:J,7,FALSE)="","Awaiting First Approval",IF(VLOOKUP(B178,'ECN-ECO_DATA'!B:J,8,FALSE)="","Awaiting Quality Check Approval",IF(VLOOKUP(B178,'ECN-ECO_DATA'!B:J,9,FALSE)="","Awaiting Last Approval",IF(VLOOKUP(B178,'ECN-ECO_DATA'!B:J,9,FALSE)&lt;&gt;"","Approved","Unknown"))))),"")</f>
        <v/>
      </c>
      <c r="K178" s="47" t="str">
        <f>IFERROR(VLOOKUP(B178,'ECN-ECO_DATA'!B:W,22,FALSE),"")</f>
        <v/>
      </c>
      <c r="L178" s="43" t="str">
        <f>IFERROR(IF(VLOOKUP(B178,'ECN-ECO_DATA'!B:AB,27,FALSE)=0,"",VLOOKUP(B178,'ECN-ECO_DATA'!B:AB,27,FALSE)),"")</f>
        <v/>
      </c>
      <c r="M178" s="43" t="str">
        <f>IFERROR(VLOOKUP(B178,'ECN-ECO_DATA'!B:AE,30,FALSE),"")</f>
        <v/>
      </c>
      <c r="N178" s="59" t="str">
        <f>IFERROR(IF((VLOOKUP(B178,'ECN-ECO_DATA'!B:AD,20,FALSE)-VLOOKUP(B178,'ECN-ECO_DATA'!B:AD,18,FALSE))&gt;0,(VLOOKUP(B178,'ECN-ECO_DATA'!B:AD,20,FALSE)-VLOOKUP(B178,'ECN-ECO_DATA'!B:AD,18,FALSE)),""),"")</f>
        <v/>
      </c>
      <c r="O178" s="59"/>
      <c r="P178" s="59" t="str">
        <f>IFERROR(VLOOKUP(B178,'ECN-ECO_DATA'!B:P,13,FALSE),"")</f>
        <v/>
      </c>
      <c r="Q178" s="43" t="str">
        <f>IFERROR(VLOOKUP(B178,'ECN-ECO_DATA'!B:P,15,FALSE),"")</f>
        <v/>
      </c>
    </row>
    <row r="179" spans="3:17" x14ac:dyDescent="0.25">
      <c r="C179" s="43" t="str">
        <f>IFERROR(VLOOKUP(B179,'ECN-ECO_DATA'!B:C,2,FALSE),"")</f>
        <v/>
      </c>
      <c r="D179" s="43" t="str">
        <f>IFERROR(VLOOKUP(B179,'ECN-ECO_DATA'!B:X,23,FALSE),"")</f>
        <v/>
      </c>
      <c r="E179" s="44" t="str">
        <f>IFERROR(VLOOKUP(B179,'ECN-ECO_DATA'!B:G,5,FALSE),"")</f>
        <v/>
      </c>
      <c r="F179" s="44" t="str">
        <f>IFERROR((IF(VLOOKUP(B179,'ECN-ECO_DATA'!B:G,6,FALSE)="","",VLOOKUP(B179,'ECN-ECO_DATA'!B:G,6,FALSE))),"")</f>
        <v/>
      </c>
      <c r="H179" s="45" t="str">
        <f>IFERROR(VLOOKUP(B179,'ECN-ECO_DATA'!B:G,4,FALSE),"")</f>
        <v/>
      </c>
      <c r="I179" s="46" t="str">
        <f>IFERROR(IF(VLOOKUP(B179,'ECN-ECO_DATA'!B:G,6,FALSE)="","Not started",IF(VLOOKUP(B179,'ECN-ECO_DATA'!B:J,7,FALSE)="","Awaiting First Approval",IF(VLOOKUP(B179,'ECN-ECO_DATA'!B:J,8,FALSE)="","Awaiting Quality Check Approval",IF(VLOOKUP(B179,'ECN-ECO_DATA'!B:J,9,FALSE)="","Awaiting Last Approval",IF(VLOOKUP(B179,'ECN-ECO_DATA'!B:J,9,FALSE)&lt;&gt;"","Approved","Unknown"))))),"")</f>
        <v/>
      </c>
      <c r="K179" s="47" t="str">
        <f>IFERROR(VLOOKUP(B179,'ECN-ECO_DATA'!B:W,22,FALSE),"")</f>
        <v/>
      </c>
      <c r="L179" s="43" t="str">
        <f>IFERROR(IF(VLOOKUP(B179,'ECN-ECO_DATA'!B:AB,27,FALSE)=0,"",VLOOKUP(B179,'ECN-ECO_DATA'!B:AB,27,FALSE)),"")</f>
        <v/>
      </c>
      <c r="M179" s="43" t="str">
        <f>IFERROR(VLOOKUP(B179,'ECN-ECO_DATA'!B:AE,30,FALSE),"")</f>
        <v/>
      </c>
      <c r="N179" s="59" t="str">
        <f>IFERROR(IF((VLOOKUP(B179,'ECN-ECO_DATA'!B:AD,20,FALSE)-VLOOKUP(B179,'ECN-ECO_DATA'!B:AD,18,FALSE))&gt;0,(VLOOKUP(B179,'ECN-ECO_DATA'!B:AD,20,FALSE)-VLOOKUP(B179,'ECN-ECO_DATA'!B:AD,18,FALSE)),""),"")</f>
        <v/>
      </c>
      <c r="O179" s="59"/>
      <c r="P179" s="59" t="str">
        <f>IFERROR(VLOOKUP(B179,'ECN-ECO_DATA'!B:P,13,FALSE),"")</f>
        <v/>
      </c>
      <c r="Q179" s="43" t="str">
        <f>IFERROR(VLOOKUP(B179,'ECN-ECO_DATA'!B:P,15,FALSE),"")</f>
        <v/>
      </c>
    </row>
    <row r="180" spans="3:17" x14ac:dyDescent="0.25">
      <c r="C180" s="43" t="str">
        <f>IFERROR(VLOOKUP(B180,'ECN-ECO_DATA'!B:C,2,FALSE),"")</f>
        <v/>
      </c>
      <c r="D180" s="43" t="str">
        <f>IFERROR(VLOOKUP(B180,'ECN-ECO_DATA'!B:X,23,FALSE),"")</f>
        <v/>
      </c>
      <c r="E180" s="44" t="str">
        <f>IFERROR(VLOOKUP(B180,'ECN-ECO_DATA'!B:G,5,FALSE),"")</f>
        <v/>
      </c>
      <c r="F180" s="44" t="str">
        <f>IFERROR((IF(VLOOKUP(B180,'ECN-ECO_DATA'!B:G,6,FALSE)="","",VLOOKUP(B180,'ECN-ECO_DATA'!B:G,6,FALSE))),"")</f>
        <v/>
      </c>
      <c r="H180" s="45" t="str">
        <f>IFERROR(VLOOKUP(B180,'ECN-ECO_DATA'!B:G,4,FALSE),"")</f>
        <v/>
      </c>
      <c r="I180" s="46" t="str">
        <f>IFERROR(IF(VLOOKUP(B180,'ECN-ECO_DATA'!B:G,6,FALSE)="","Not started",IF(VLOOKUP(B180,'ECN-ECO_DATA'!B:J,7,FALSE)="","Awaiting First Approval",IF(VLOOKUP(B180,'ECN-ECO_DATA'!B:J,8,FALSE)="","Awaiting Quality Check Approval",IF(VLOOKUP(B180,'ECN-ECO_DATA'!B:J,9,FALSE)="","Awaiting Last Approval",IF(VLOOKUP(B180,'ECN-ECO_DATA'!B:J,9,FALSE)&lt;&gt;"","Approved","Unknown"))))),"")</f>
        <v/>
      </c>
      <c r="K180" s="47" t="str">
        <f>IFERROR(VLOOKUP(B180,'ECN-ECO_DATA'!B:W,22,FALSE),"")</f>
        <v/>
      </c>
      <c r="L180" s="43" t="str">
        <f>IFERROR(IF(VLOOKUP(B180,'ECN-ECO_DATA'!B:AB,27,FALSE)=0,"",VLOOKUP(B180,'ECN-ECO_DATA'!B:AB,27,FALSE)),"")</f>
        <v/>
      </c>
      <c r="M180" s="43" t="str">
        <f>IFERROR(VLOOKUP(B180,'ECN-ECO_DATA'!B:AE,30,FALSE),"")</f>
        <v/>
      </c>
      <c r="N180" s="59" t="str">
        <f>IFERROR(IF((VLOOKUP(B180,'ECN-ECO_DATA'!B:AD,20,FALSE)-VLOOKUP(B180,'ECN-ECO_DATA'!B:AD,18,FALSE))&gt;0,(VLOOKUP(B180,'ECN-ECO_DATA'!B:AD,20,FALSE)-VLOOKUP(B180,'ECN-ECO_DATA'!B:AD,18,FALSE)),""),"")</f>
        <v/>
      </c>
      <c r="O180" s="59"/>
      <c r="P180" s="59" t="str">
        <f>IFERROR(VLOOKUP(B180,'ECN-ECO_DATA'!B:P,13,FALSE),"")</f>
        <v/>
      </c>
      <c r="Q180" s="43" t="str">
        <f>IFERROR(VLOOKUP(B180,'ECN-ECO_DATA'!B:P,15,FALSE),"")</f>
        <v/>
      </c>
    </row>
    <row r="181" spans="3:17" x14ac:dyDescent="0.25">
      <c r="C181" s="43" t="str">
        <f>IFERROR(VLOOKUP(B181,'ECN-ECO_DATA'!B:C,2,FALSE),"")</f>
        <v/>
      </c>
      <c r="D181" s="43" t="str">
        <f>IFERROR(VLOOKUP(B181,'ECN-ECO_DATA'!B:X,23,FALSE),"")</f>
        <v/>
      </c>
      <c r="E181" s="44" t="str">
        <f>IFERROR(VLOOKUP(B181,'ECN-ECO_DATA'!B:G,5,FALSE),"")</f>
        <v/>
      </c>
      <c r="F181" s="44" t="str">
        <f>IFERROR((IF(VLOOKUP(B181,'ECN-ECO_DATA'!B:G,6,FALSE)="","",VLOOKUP(B181,'ECN-ECO_DATA'!B:G,6,FALSE))),"")</f>
        <v/>
      </c>
      <c r="H181" s="45" t="str">
        <f>IFERROR(VLOOKUP(B181,'ECN-ECO_DATA'!B:G,4,FALSE),"")</f>
        <v/>
      </c>
      <c r="I181" s="46" t="str">
        <f>IFERROR(IF(VLOOKUP(B181,'ECN-ECO_DATA'!B:G,6,FALSE)="","Not started",IF(VLOOKUP(B181,'ECN-ECO_DATA'!B:J,7,FALSE)="","Awaiting First Approval",IF(VLOOKUP(B181,'ECN-ECO_DATA'!B:J,8,FALSE)="","Awaiting Quality Check Approval",IF(VLOOKUP(B181,'ECN-ECO_DATA'!B:J,9,FALSE)="","Awaiting Last Approval",IF(VLOOKUP(B181,'ECN-ECO_DATA'!B:J,9,FALSE)&lt;&gt;"","Approved","Unknown"))))),"")</f>
        <v/>
      </c>
      <c r="K181" s="47" t="str">
        <f>IFERROR(VLOOKUP(B181,'ECN-ECO_DATA'!B:W,22,FALSE),"")</f>
        <v/>
      </c>
      <c r="L181" s="43" t="str">
        <f>IFERROR(IF(VLOOKUP(B181,'ECN-ECO_DATA'!B:AB,27,FALSE)=0,"",VLOOKUP(B181,'ECN-ECO_DATA'!B:AB,27,FALSE)),"")</f>
        <v/>
      </c>
      <c r="M181" s="43" t="str">
        <f>IFERROR(VLOOKUP(B181,'ECN-ECO_DATA'!B:AE,30,FALSE),"")</f>
        <v/>
      </c>
      <c r="N181" s="59" t="str">
        <f>IFERROR(IF((VLOOKUP(B181,'ECN-ECO_DATA'!B:AD,20,FALSE)-VLOOKUP(B181,'ECN-ECO_DATA'!B:AD,18,FALSE))&gt;0,(VLOOKUP(B181,'ECN-ECO_DATA'!B:AD,20,FALSE)-VLOOKUP(B181,'ECN-ECO_DATA'!B:AD,18,FALSE)),""),"")</f>
        <v/>
      </c>
      <c r="O181" s="59"/>
      <c r="P181" s="59" t="str">
        <f>IFERROR(VLOOKUP(B181,'ECN-ECO_DATA'!B:P,13,FALSE),"")</f>
        <v/>
      </c>
      <c r="Q181" s="43" t="str">
        <f>IFERROR(VLOOKUP(B181,'ECN-ECO_DATA'!B:P,15,FALSE),"")</f>
        <v/>
      </c>
    </row>
    <row r="182" spans="3:17" x14ac:dyDescent="0.25">
      <c r="C182" s="43" t="str">
        <f>IFERROR(VLOOKUP(B182,'ECN-ECO_DATA'!B:C,2,FALSE),"")</f>
        <v/>
      </c>
      <c r="D182" s="43" t="str">
        <f>IFERROR(VLOOKUP(B182,'ECN-ECO_DATA'!B:X,23,FALSE),"")</f>
        <v/>
      </c>
      <c r="E182" s="44" t="str">
        <f>IFERROR(VLOOKUP(B182,'ECN-ECO_DATA'!B:G,5,FALSE),"")</f>
        <v/>
      </c>
      <c r="F182" s="44" t="str">
        <f>IFERROR((IF(VLOOKUP(B182,'ECN-ECO_DATA'!B:G,6,FALSE)="","",VLOOKUP(B182,'ECN-ECO_DATA'!B:G,6,FALSE))),"")</f>
        <v/>
      </c>
      <c r="H182" s="45" t="str">
        <f>IFERROR(VLOOKUP(B182,'ECN-ECO_DATA'!B:G,4,FALSE),"")</f>
        <v/>
      </c>
      <c r="I182" s="46" t="str">
        <f>IFERROR(IF(VLOOKUP(B182,'ECN-ECO_DATA'!B:G,6,FALSE)="","Not started",IF(VLOOKUP(B182,'ECN-ECO_DATA'!B:J,7,FALSE)="","Awaiting First Approval",IF(VLOOKUP(B182,'ECN-ECO_DATA'!B:J,8,FALSE)="","Awaiting Quality Check Approval",IF(VLOOKUP(B182,'ECN-ECO_DATA'!B:J,9,FALSE)="","Awaiting Last Approval",IF(VLOOKUP(B182,'ECN-ECO_DATA'!B:J,9,FALSE)&lt;&gt;"","Approved","Unknown"))))),"")</f>
        <v/>
      </c>
      <c r="K182" s="47" t="str">
        <f>IFERROR(VLOOKUP(B182,'ECN-ECO_DATA'!B:W,22,FALSE),"")</f>
        <v/>
      </c>
      <c r="L182" s="43" t="str">
        <f>IFERROR(IF(VLOOKUP(B182,'ECN-ECO_DATA'!B:AB,27,FALSE)=0,"",VLOOKUP(B182,'ECN-ECO_DATA'!B:AB,27,FALSE)),"")</f>
        <v/>
      </c>
      <c r="M182" s="43" t="str">
        <f>IFERROR(VLOOKUP(B182,'ECN-ECO_DATA'!B:AE,30,FALSE),"")</f>
        <v/>
      </c>
      <c r="N182" s="59" t="str">
        <f>IFERROR(IF((VLOOKUP(B182,'ECN-ECO_DATA'!B:AD,20,FALSE)-VLOOKUP(B182,'ECN-ECO_DATA'!B:AD,18,FALSE))&gt;0,(VLOOKUP(B182,'ECN-ECO_DATA'!B:AD,20,FALSE)-VLOOKUP(B182,'ECN-ECO_DATA'!B:AD,18,FALSE)),""),"")</f>
        <v/>
      </c>
      <c r="O182" s="59"/>
      <c r="P182" s="59" t="str">
        <f>IFERROR(VLOOKUP(B182,'ECN-ECO_DATA'!B:P,13,FALSE),"")</f>
        <v/>
      </c>
      <c r="Q182" s="43" t="str">
        <f>IFERROR(VLOOKUP(B182,'ECN-ECO_DATA'!B:P,15,FALSE),"")</f>
        <v/>
      </c>
    </row>
    <row r="183" spans="3:17" x14ac:dyDescent="0.25">
      <c r="C183" s="43" t="str">
        <f>IFERROR(VLOOKUP(B183,'ECN-ECO_DATA'!B:C,2,FALSE),"")</f>
        <v/>
      </c>
      <c r="D183" s="43" t="str">
        <f>IFERROR(VLOOKUP(B183,'ECN-ECO_DATA'!B:X,23,FALSE),"")</f>
        <v/>
      </c>
      <c r="E183" s="44" t="str">
        <f>IFERROR(VLOOKUP(B183,'ECN-ECO_DATA'!B:G,5,FALSE),"")</f>
        <v/>
      </c>
      <c r="F183" s="44" t="str">
        <f>IFERROR((IF(VLOOKUP(B183,'ECN-ECO_DATA'!B:G,6,FALSE)="","",VLOOKUP(B183,'ECN-ECO_DATA'!B:G,6,FALSE))),"")</f>
        <v/>
      </c>
      <c r="H183" s="45" t="str">
        <f>IFERROR(VLOOKUP(B183,'ECN-ECO_DATA'!B:G,4,FALSE),"")</f>
        <v/>
      </c>
      <c r="I183" s="46" t="str">
        <f>IFERROR(IF(VLOOKUP(B183,'ECN-ECO_DATA'!B:G,6,FALSE)="","Not started",IF(VLOOKUP(B183,'ECN-ECO_DATA'!B:J,7,FALSE)="","Awaiting First Approval",IF(VLOOKUP(B183,'ECN-ECO_DATA'!B:J,8,FALSE)="","Awaiting Quality Check Approval",IF(VLOOKUP(B183,'ECN-ECO_DATA'!B:J,9,FALSE)="","Awaiting Last Approval",IF(VLOOKUP(B183,'ECN-ECO_DATA'!B:J,9,FALSE)&lt;&gt;"","Approved","Unknown"))))),"")</f>
        <v/>
      </c>
      <c r="K183" s="47" t="str">
        <f>IFERROR(VLOOKUP(B183,'ECN-ECO_DATA'!B:W,22,FALSE),"")</f>
        <v/>
      </c>
      <c r="L183" s="43" t="str">
        <f>IFERROR(IF(VLOOKUP(B183,'ECN-ECO_DATA'!B:AB,27,FALSE)=0,"",VLOOKUP(B183,'ECN-ECO_DATA'!B:AB,27,FALSE)),"")</f>
        <v/>
      </c>
      <c r="M183" s="43" t="str">
        <f>IFERROR(VLOOKUP(B183,'ECN-ECO_DATA'!B:AE,30,FALSE),"")</f>
        <v/>
      </c>
      <c r="N183" s="59" t="str">
        <f>IFERROR(IF((VLOOKUP(B183,'ECN-ECO_DATA'!B:AD,20,FALSE)-VLOOKUP(B183,'ECN-ECO_DATA'!B:AD,18,FALSE))&gt;0,(VLOOKUP(B183,'ECN-ECO_DATA'!B:AD,20,FALSE)-VLOOKUP(B183,'ECN-ECO_DATA'!B:AD,18,FALSE)),""),"")</f>
        <v/>
      </c>
      <c r="O183" s="59"/>
      <c r="P183" s="59" t="str">
        <f>IFERROR(VLOOKUP(B183,'ECN-ECO_DATA'!B:P,13,FALSE),"")</f>
        <v/>
      </c>
      <c r="Q183" s="43" t="str">
        <f>IFERROR(VLOOKUP(B183,'ECN-ECO_DATA'!B:P,15,FALSE),"")</f>
        <v/>
      </c>
    </row>
    <row r="184" spans="3:17" x14ac:dyDescent="0.25">
      <c r="C184" s="43" t="str">
        <f>IFERROR(VLOOKUP(B184,'ECN-ECO_DATA'!B:C,2,FALSE),"")</f>
        <v/>
      </c>
      <c r="D184" s="43" t="str">
        <f>IFERROR(VLOOKUP(B184,'ECN-ECO_DATA'!B:X,23,FALSE),"")</f>
        <v/>
      </c>
      <c r="E184" s="44" t="str">
        <f>IFERROR(VLOOKUP(B184,'ECN-ECO_DATA'!B:G,5,FALSE),"")</f>
        <v/>
      </c>
      <c r="F184" s="44" t="str">
        <f>IFERROR((IF(VLOOKUP(B184,'ECN-ECO_DATA'!B:G,6,FALSE)="","",VLOOKUP(B184,'ECN-ECO_DATA'!B:G,6,FALSE))),"")</f>
        <v/>
      </c>
      <c r="H184" s="45" t="str">
        <f>IFERROR(VLOOKUP(B184,'ECN-ECO_DATA'!B:G,4,FALSE),"")</f>
        <v/>
      </c>
      <c r="I184" s="46" t="str">
        <f>IFERROR(IF(VLOOKUP(B184,'ECN-ECO_DATA'!B:G,6,FALSE)="","Not started",IF(VLOOKUP(B184,'ECN-ECO_DATA'!B:J,7,FALSE)="","Awaiting First Approval",IF(VLOOKUP(B184,'ECN-ECO_DATA'!B:J,8,FALSE)="","Awaiting Quality Check Approval",IF(VLOOKUP(B184,'ECN-ECO_DATA'!B:J,9,FALSE)="","Awaiting Last Approval",IF(VLOOKUP(B184,'ECN-ECO_DATA'!B:J,9,FALSE)&lt;&gt;"","Approved","Unknown"))))),"")</f>
        <v/>
      </c>
      <c r="K184" s="47" t="str">
        <f>IFERROR(VLOOKUP(B184,'ECN-ECO_DATA'!B:W,22,FALSE),"")</f>
        <v/>
      </c>
      <c r="L184" s="43" t="str">
        <f>IFERROR(IF(VLOOKUP(B184,'ECN-ECO_DATA'!B:AB,27,FALSE)=0,"",VLOOKUP(B184,'ECN-ECO_DATA'!B:AB,27,FALSE)),"")</f>
        <v/>
      </c>
      <c r="M184" s="43" t="str">
        <f>IFERROR(VLOOKUP(B184,'ECN-ECO_DATA'!B:AE,30,FALSE),"")</f>
        <v/>
      </c>
      <c r="N184" s="59" t="str">
        <f>IFERROR(IF((VLOOKUP(B184,'ECN-ECO_DATA'!B:AD,20,FALSE)-VLOOKUP(B184,'ECN-ECO_DATA'!B:AD,18,FALSE))&gt;0,(VLOOKUP(B184,'ECN-ECO_DATA'!B:AD,20,FALSE)-VLOOKUP(B184,'ECN-ECO_DATA'!B:AD,18,FALSE)),""),"")</f>
        <v/>
      </c>
      <c r="O184" s="59"/>
      <c r="P184" s="59" t="str">
        <f>IFERROR(VLOOKUP(B184,'ECN-ECO_DATA'!B:P,13,FALSE),"")</f>
        <v/>
      </c>
      <c r="Q184" s="43" t="str">
        <f>IFERROR(VLOOKUP(B184,'ECN-ECO_DATA'!B:P,15,FALSE),"")</f>
        <v/>
      </c>
    </row>
    <row r="185" spans="3:17" x14ac:dyDescent="0.25">
      <c r="C185" s="43" t="str">
        <f>IFERROR(VLOOKUP(B185,'ECN-ECO_DATA'!B:C,2,FALSE),"")</f>
        <v/>
      </c>
      <c r="D185" s="43" t="str">
        <f>IFERROR(VLOOKUP(B185,'ECN-ECO_DATA'!B:X,23,FALSE),"")</f>
        <v/>
      </c>
      <c r="E185" s="44" t="str">
        <f>IFERROR(VLOOKUP(B185,'ECN-ECO_DATA'!B:G,5,FALSE),"")</f>
        <v/>
      </c>
      <c r="F185" s="44" t="str">
        <f>IFERROR((IF(VLOOKUP(B185,'ECN-ECO_DATA'!B:G,6,FALSE)="","",VLOOKUP(B185,'ECN-ECO_DATA'!B:G,6,FALSE))),"")</f>
        <v/>
      </c>
      <c r="H185" s="45" t="str">
        <f>IFERROR(VLOOKUP(B185,'ECN-ECO_DATA'!B:G,4,FALSE),"")</f>
        <v/>
      </c>
      <c r="I185" s="46" t="str">
        <f>IFERROR(IF(VLOOKUP(B185,'ECN-ECO_DATA'!B:G,6,FALSE)="","Not started",IF(VLOOKUP(B185,'ECN-ECO_DATA'!B:J,7,FALSE)="","Awaiting First Approval",IF(VLOOKUP(B185,'ECN-ECO_DATA'!B:J,8,FALSE)="","Awaiting Quality Check Approval",IF(VLOOKUP(B185,'ECN-ECO_DATA'!B:J,9,FALSE)="","Awaiting Last Approval",IF(VLOOKUP(B185,'ECN-ECO_DATA'!B:J,9,FALSE)&lt;&gt;"","Approved","Unknown"))))),"")</f>
        <v/>
      </c>
      <c r="K185" s="47" t="str">
        <f>IFERROR(VLOOKUP(B185,'ECN-ECO_DATA'!B:W,22,FALSE),"")</f>
        <v/>
      </c>
      <c r="L185" s="43" t="str">
        <f>IFERROR(IF(VLOOKUP(B185,'ECN-ECO_DATA'!B:AB,27,FALSE)=0,"",VLOOKUP(B185,'ECN-ECO_DATA'!B:AB,27,FALSE)),"")</f>
        <v/>
      </c>
      <c r="M185" s="43" t="str">
        <f>IFERROR(VLOOKUP(B185,'ECN-ECO_DATA'!B:AE,30,FALSE),"")</f>
        <v/>
      </c>
      <c r="N185" s="59" t="str">
        <f>IFERROR(IF((VLOOKUP(B185,'ECN-ECO_DATA'!B:AD,20,FALSE)-VLOOKUP(B185,'ECN-ECO_DATA'!B:AD,18,FALSE))&gt;0,(VLOOKUP(B185,'ECN-ECO_DATA'!B:AD,20,FALSE)-VLOOKUP(B185,'ECN-ECO_DATA'!B:AD,18,FALSE)),""),"")</f>
        <v/>
      </c>
      <c r="O185" s="59"/>
      <c r="P185" s="59" t="str">
        <f>IFERROR(VLOOKUP(B185,'ECN-ECO_DATA'!B:P,13,FALSE),"")</f>
        <v/>
      </c>
      <c r="Q185" s="43" t="str">
        <f>IFERROR(VLOOKUP(B185,'ECN-ECO_DATA'!B:P,15,FALSE),"")</f>
        <v/>
      </c>
    </row>
    <row r="186" spans="3:17" x14ac:dyDescent="0.25">
      <c r="C186" s="43" t="str">
        <f>IFERROR(VLOOKUP(B186,'ECN-ECO_DATA'!B:C,2,FALSE),"")</f>
        <v/>
      </c>
      <c r="D186" s="43" t="str">
        <f>IFERROR(VLOOKUP(B186,'ECN-ECO_DATA'!B:X,23,FALSE),"")</f>
        <v/>
      </c>
      <c r="E186" s="44" t="str">
        <f>IFERROR(VLOOKUP(B186,'ECN-ECO_DATA'!B:G,5,FALSE),"")</f>
        <v/>
      </c>
      <c r="F186" s="44" t="str">
        <f>IFERROR((IF(VLOOKUP(B186,'ECN-ECO_DATA'!B:G,6,FALSE)="","",VLOOKUP(B186,'ECN-ECO_DATA'!B:G,6,FALSE))),"")</f>
        <v/>
      </c>
      <c r="H186" s="45" t="str">
        <f>IFERROR(VLOOKUP(B186,'ECN-ECO_DATA'!B:G,4,FALSE),"")</f>
        <v/>
      </c>
      <c r="I186" s="46" t="str">
        <f>IFERROR(IF(VLOOKUP(B186,'ECN-ECO_DATA'!B:G,6,FALSE)="","Not started",IF(VLOOKUP(B186,'ECN-ECO_DATA'!B:J,7,FALSE)="","Awaiting First Approval",IF(VLOOKUP(B186,'ECN-ECO_DATA'!B:J,8,FALSE)="","Awaiting Quality Check Approval",IF(VLOOKUP(B186,'ECN-ECO_DATA'!B:J,9,FALSE)="","Awaiting Last Approval",IF(VLOOKUP(B186,'ECN-ECO_DATA'!B:J,9,FALSE)&lt;&gt;"","Approved","Unknown"))))),"")</f>
        <v/>
      </c>
      <c r="K186" s="47" t="str">
        <f>IFERROR(VLOOKUP(B186,'ECN-ECO_DATA'!B:W,22,FALSE),"")</f>
        <v/>
      </c>
      <c r="L186" s="43" t="str">
        <f>IFERROR(IF(VLOOKUP(B186,'ECN-ECO_DATA'!B:AB,27,FALSE)=0,"",VLOOKUP(B186,'ECN-ECO_DATA'!B:AB,27,FALSE)),"")</f>
        <v/>
      </c>
      <c r="M186" s="43" t="str">
        <f>IFERROR(VLOOKUP(B186,'ECN-ECO_DATA'!B:AE,30,FALSE),"")</f>
        <v/>
      </c>
      <c r="N186" s="59" t="str">
        <f>IFERROR(IF((VLOOKUP(B186,'ECN-ECO_DATA'!B:AD,20,FALSE)-VLOOKUP(B186,'ECN-ECO_DATA'!B:AD,18,FALSE))&gt;0,(VLOOKUP(B186,'ECN-ECO_DATA'!B:AD,20,FALSE)-VLOOKUP(B186,'ECN-ECO_DATA'!B:AD,18,FALSE)),""),"")</f>
        <v/>
      </c>
      <c r="O186" s="59"/>
      <c r="P186" s="59" t="str">
        <f>IFERROR(VLOOKUP(B186,'ECN-ECO_DATA'!B:P,13,FALSE),"")</f>
        <v/>
      </c>
      <c r="Q186" s="43" t="str">
        <f>IFERROR(VLOOKUP(B186,'ECN-ECO_DATA'!B:P,15,FALSE),"")</f>
        <v/>
      </c>
    </row>
    <row r="187" spans="3:17" x14ac:dyDescent="0.25">
      <c r="C187" s="43" t="str">
        <f>IFERROR(VLOOKUP(B187,'ECN-ECO_DATA'!B:C,2,FALSE),"")</f>
        <v/>
      </c>
      <c r="D187" s="43" t="str">
        <f>IFERROR(VLOOKUP(B187,'ECN-ECO_DATA'!B:X,23,FALSE),"")</f>
        <v/>
      </c>
      <c r="E187" s="44" t="str">
        <f>IFERROR(VLOOKUP(B187,'ECN-ECO_DATA'!B:G,5,FALSE),"")</f>
        <v/>
      </c>
      <c r="F187" s="44" t="str">
        <f>IFERROR((IF(VLOOKUP(B187,'ECN-ECO_DATA'!B:G,6,FALSE)="","",VLOOKUP(B187,'ECN-ECO_DATA'!B:G,6,FALSE))),"")</f>
        <v/>
      </c>
      <c r="H187" s="45" t="str">
        <f>IFERROR(VLOOKUP(B187,'ECN-ECO_DATA'!B:G,4,FALSE),"")</f>
        <v/>
      </c>
      <c r="I187" s="46" t="str">
        <f>IFERROR(IF(VLOOKUP(B187,'ECN-ECO_DATA'!B:G,6,FALSE)="","Not started",IF(VLOOKUP(B187,'ECN-ECO_DATA'!B:J,7,FALSE)="","Awaiting First Approval",IF(VLOOKUP(B187,'ECN-ECO_DATA'!B:J,8,FALSE)="","Awaiting Quality Check Approval",IF(VLOOKUP(B187,'ECN-ECO_DATA'!B:J,9,FALSE)="","Awaiting Last Approval",IF(VLOOKUP(B187,'ECN-ECO_DATA'!B:J,9,FALSE)&lt;&gt;"","Approved","Unknown"))))),"")</f>
        <v/>
      </c>
      <c r="K187" s="47" t="str">
        <f>IFERROR(VLOOKUP(B187,'ECN-ECO_DATA'!B:W,22,FALSE),"")</f>
        <v/>
      </c>
      <c r="L187" s="43" t="str">
        <f>IFERROR(IF(VLOOKUP(B187,'ECN-ECO_DATA'!B:AB,27,FALSE)=0,"",VLOOKUP(B187,'ECN-ECO_DATA'!B:AB,27,FALSE)),"")</f>
        <v/>
      </c>
      <c r="M187" s="43" t="str">
        <f>IFERROR(VLOOKUP(B187,'ECN-ECO_DATA'!B:AE,30,FALSE),"")</f>
        <v/>
      </c>
      <c r="N187" s="59" t="str">
        <f>IFERROR(IF((VLOOKUP(B187,'ECN-ECO_DATA'!B:AD,20,FALSE)-VLOOKUP(B187,'ECN-ECO_DATA'!B:AD,18,FALSE))&gt;0,(VLOOKUP(B187,'ECN-ECO_DATA'!B:AD,20,FALSE)-VLOOKUP(B187,'ECN-ECO_DATA'!B:AD,18,FALSE)),""),"")</f>
        <v/>
      </c>
      <c r="O187" s="59"/>
      <c r="P187" s="59" t="str">
        <f>IFERROR(VLOOKUP(B187,'ECN-ECO_DATA'!B:P,13,FALSE),"")</f>
        <v/>
      </c>
      <c r="Q187" s="43" t="str">
        <f>IFERROR(VLOOKUP(B187,'ECN-ECO_DATA'!B:P,15,FALSE),"")</f>
        <v/>
      </c>
    </row>
    <row r="188" spans="3:17" x14ac:dyDescent="0.25">
      <c r="C188" s="43" t="str">
        <f>IFERROR(VLOOKUP(B188,'ECN-ECO_DATA'!B:C,2,FALSE),"")</f>
        <v/>
      </c>
      <c r="D188" s="43" t="str">
        <f>IFERROR(VLOOKUP(B188,'ECN-ECO_DATA'!B:X,23,FALSE),"")</f>
        <v/>
      </c>
      <c r="E188" s="44" t="str">
        <f>IFERROR(VLOOKUP(B188,'ECN-ECO_DATA'!B:G,5,FALSE),"")</f>
        <v/>
      </c>
      <c r="F188" s="44" t="str">
        <f>IFERROR((IF(VLOOKUP(B188,'ECN-ECO_DATA'!B:G,6,FALSE)="","",VLOOKUP(B188,'ECN-ECO_DATA'!B:G,6,FALSE))),"")</f>
        <v/>
      </c>
      <c r="H188" s="45" t="str">
        <f>IFERROR(VLOOKUP(B188,'ECN-ECO_DATA'!B:G,4,FALSE),"")</f>
        <v/>
      </c>
      <c r="I188" s="46" t="str">
        <f>IFERROR(IF(VLOOKUP(B188,'ECN-ECO_DATA'!B:G,6,FALSE)="","Not started",IF(VLOOKUP(B188,'ECN-ECO_DATA'!B:J,7,FALSE)="","Awaiting First Approval",IF(VLOOKUP(B188,'ECN-ECO_DATA'!B:J,8,FALSE)="","Awaiting Quality Check Approval",IF(VLOOKUP(B188,'ECN-ECO_DATA'!B:J,9,FALSE)="","Awaiting Last Approval",IF(VLOOKUP(B188,'ECN-ECO_DATA'!B:J,9,FALSE)&lt;&gt;"","Approved","Unknown"))))),"")</f>
        <v/>
      </c>
      <c r="K188" s="47" t="str">
        <f>IFERROR(VLOOKUP(B188,'ECN-ECO_DATA'!B:W,22,FALSE),"")</f>
        <v/>
      </c>
      <c r="L188" s="43" t="str">
        <f>IFERROR(IF(VLOOKUP(B188,'ECN-ECO_DATA'!B:AB,27,FALSE)=0,"",VLOOKUP(B188,'ECN-ECO_DATA'!B:AB,27,FALSE)),"")</f>
        <v/>
      </c>
      <c r="M188" s="43" t="str">
        <f>IFERROR(VLOOKUP(B188,'ECN-ECO_DATA'!B:AE,30,FALSE),"")</f>
        <v/>
      </c>
      <c r="N188" s="59" t="str">
        <f>IFERROR(IF((VLOOKUP(B188,'ECN-ECO_DATA'!B:AD,20,FALSE)-VLOOKUP(B188,'ECN-ECO_DATA'!B:AD,18,FALSE))&gt;0,(VLOOKUP(B188,'ECN-ECO_DATA'!B:AD,20,FALSE)-VLOOKUP(B188,'ECN-ECO_DATA'!B:AD,18,FALSE)),""),"")</f>
        <v/>
      </c>
      <c r="O188" s="59"/>
      <c r="P188" s="59" t="str">
        <f>IFERROR(VLOOKUP(B188,'ECN-ECO_DATA'!B:P,13,FALSE),"")</f>
        <v/>
      </c>
      <c r="Q188" s="43" t="str">
        <f>IFERROR(VLOOKUP(B188,'ECN-ECO_DATA'!B:P,15,FALSE),"")</f>
        <v/>
      </c>
    </row>
    <row r="189" spans="3:17" x14ac:dyDescent="0.25">
      <c r="C189" s="43" t="str">
        <f>IFERROR(VLOOKUP(B189,'ECN-ECO_DATA'!B:C,2,FALSE),"")</f>
        <v/>
      </c>
      <c r="D189" s="43" t="str">
        <f>IFERROR(VLOOKUP(B189,'ECN-ECO_DATA'!B:X,23,FALSE),"")</f>
        <v/>
      </c>
      <c r="E189" s="44" t="str">
        <f>IFERROR(VLOOKUP(B189,'ECN-ECO_DATA'!B:G,5,FALSE),"")</f>
        <v/>
      </c>
      <c r="F189" s="44" t="str">
        <f>IFERROR((IF(VLOOKUP(B189,'ECN-ECO_DATA'!B:G,6,FALSE)="","",VLOOKUP(B189,'ECN-ECO_DATA'!B:G,6,FALSE))),"")</f>
        <v/>
      </c>
      <c r="H189" s="45" t="str">
        <f>IFERROR(VLOOKUP(B189,'ECN-ECO_DATA'!B:G,4,FALSE),"")</f>
        <v/>
      </c>
      <c r="I189" s="46" t="str">
        <f>IFERROR(IF(VLOOKUP(B189,'ECN-ECO_DATA'!B:G,6,FALSE)="","Not started",IF(VLOOKUP(B189,'ECN-ECO_DATA'!B:J,7,FALSE)="","Awaiting First Approval",IF(VLOOKUP(B189,'ECN-ECO_DATA'!B:J,8,FALSE)="","Awaiting Quality Check Approval",IF(VLOOKUP(B189,'ECN-ECO_DATA'!B:J,9,FALSE)="","Awaiting Last Approval",IF(VLOOKUP(B189,'ECN-ECO_DATA'!B:J,9,FALSE)&lt;&gt;"","Approved","Unknown"))))),"")</f>
        <v/>
      </c>
      <c r="K189" s="47" t="str">
        <f>IFERROR(VLOOKUP(B189,'ECN-ECO_DATA'!B:W,22,FALSE),"")</f>
        <v/>
      </c>
      <c r="L189" s="43" t="str">
        <f>IFERROR(IF(VLOOKUP(B189,'ECN-ECO_DATA'!B:AB,27,FALSE)=0,"",VLOOKUP(B189,'ECN-ECO_DATA'!B:AB,27,FALSE)),"")</f>
        <v/>
      </c>
      <c r="M189" s="43" t="str">
        <f>IFERROR(VLOOKUP(B189,'ECN-ECO_DATA'!B:AE,30,FALSE),"")</f>
        <v/>
      </c>
      <c r="N189" s="59" t="str">
        <f>IFERROR(IF((VLOOKUP(B189,'ECN-ECO_DATA'!B:AD,20,FALSE)-VLOOKUP(B189,'ECN-ECO_DATA'!B:AD,18,FALSE))&gt;0,(VLOOKUP(B189,'ECN-ECO_DATA'!B:AD,20,FALSE)-VLOOKUP(B189,'ECN-ECO_DATA'!B:AD,18,FALSE)),""),"")</f>
        <v/>
      </c>
      <c r="O189" s="59"/>
      <c r="P189" s="59" t="str">
        <f>IFERROR(VLOOKUP(B189,'ECN-ECO_DATA'!B:P,13,FALSE),"")</f>
        <v/>
      </c>
      <c r="Q189" s="43" t="str">
        <f>IFERROR(VLOOKUP(B189,'ECN-ECO_DATA'!B:P,15,FALSE),"")</f>
        <v/>
      </c>
    </row>
    <row r="190" spans="3:17" x14ac:dyDescent="0.25">
      <c r="C190" s="43" t="str">
        <f>IFERROR(VLOOKUP(B190,'ECN-ECO_DATA'!B:C,2,FALSE),"")</f>
        <v/>
      </c>
      <c r="D190" s="43" t="str">
        <f>IFERROR(VLOOKUP(B190,'ECN-ECO_DATA'!B:X,23,FALSE),"")</f>
        <v/>
      </c>
      <c r="E190" s="44" t="str">
        <f>IFERROR(VLOOKUP(B190,'ECN-ECO_DATA'!B:G,5,FALSE),"")</f>
        <v/>
      </c>
      <c r="F190" s="44" t="str">
        <f>IFERROR((IF(VLOOKUP(B190,'ECN-ECO_DATA'!B:G,6,FALSE)="","",VLOOKUP(B190,'ECN-ECO_DATA'!B:G,6,FALSE))),"")</f>
        <v/>
      </c>
      <c r="H190" s="45" t="str">
        <f>IFERROR(VLOOKUP(B190,'ECN-ECO_DATA'!B:G,4,FALSE),"")</f>
        <v/>
      </c>
      <c r="I190" s="46" t="str">
        <f>IFERROR(IF(VLOOKUP(B190,'ECN-ECO_DATA'!B:G,6,FALSE)="","Not started",IF(VLOOKUP(B190,'ECN-ECO_DATA'!B:J,7,FALSE)="","Awaiting First Approval",IF(VLOOKUP(B190,'ECN-ECO_DATA'!B:J,8,FALSE)="","Awaiting Quality Check Approval",IF(VLOOKUP(B190,'ECN-ECO_DATA'!B:J,9,FALSE)="","Awaiting Last Approval",IF(VLOOKUP(B190,'ECN-ECO_DATA'!B:J,9,FALSE)&lt;&gt;"","Approved","Unknown"))))),"")</f>
        <v/>
      </c>
      <c r="K190" s="47" t="str">
        <f>IFERROR(VLOOKUP(B190,'ECN-ECO_DATA'!B:W,22,FALSE),"")</f>
        <v/>
      </c>
      <c r="L190" s="43" t="str">
        <f>IFERROR(IF(VLOOKUP(B190,'ECN-ECO_DATA'!B:AB,27,FALSE)=0,"",VLOOKUP(B190,'ECN-ECO_DATA'!B:AB,27,FALSE)),"")</f>
        <v/>
      </c>
      <c r="M190" s="43" t="str">
        <f>IFERROR(VLOOKUP(B190,'ECN-ECO_DATA'!B:AE,30,FALSE),"")</f>
        <v/>
      </c>
      <c r="N190" s="59" t="str">
        <f>IFERROR(IF((VLOOKUP(B190,'ECN-ECO_DATA'!B:AD,20,FALSE)-VLOOKUP(B190,'ECN-ECO_DATA'!B:AD,18,FALSE))&gt;0,(VLOOKUP(B190,'ECN-ECO_DATA'!B:AD,20,FALSE)-VLOOKUP(B190,'ECN-ECO_DATA'!B:AD,18,FALSE)),""),"")</f>
        <v/>
      </c>
      <c r="O190" s="59"/>
      <c r="P190" s="59" t="str">
        <f>IFERROR(VLOOKUP(B190,'ECN-ECO_DATA'!B:P,13,FALSE),"")</f>
        <v/>
      </c>
      <c r="Q190" s="43" t="str">
        <f>IFERROR(VLOOKUP(B190,'ECN-ECO_DATA'!B:P,15,FALSE),"")</f>
        <v/>
      </c>
    </row>
    <row r="191" spans="3:17" x14ac:dyDescent="0.25">
      <c r="C191" s="43" t="str">
        <f>IFERROR(VLOOKUP(B191,'ECN-ECO_DATA'!B:C,2,FALSE),"")</f>
        <v/>
      </c>
      <c r="D191" s="43" t="str">
        <f>IFERROR(VLOOKUP(B191,'ECN-ECO_DATA'!B:X,23,FALSE),"")</f>
        <v/>
      </c>
      <c r="E191" s="44" t="str">
        <f>IFERROR(VLOOKUP(B191,'ECN-ECO_DATA'!B:G,5,FALSE),"")</f>
        <v/>
      </c>
      <c r="F191" s="44" t="str">
        <f>IFERROR((IF(VLOOKUP(B191,'ECN-ECO_DATA'!B:G,6,FALSE)="","",VLOOKUP(B191,'ECN-ECO_DATA'!B:G,6,FALSE))),"")</f>
        <v/>
      </c>
      <c r="H191" s="45" t="str">
        <f>IFERROR(VLOOKUP(B191,'ECN-ECO_DATA'!B:G,4,FALSE),"")</f>
        <v/>
      </c>
      <c r="I191" s="46" t="str">
        <f>IFERROR(IF(VLOOKUP(B191,'ECN-ECO_DATA'!B:G,6,FALSE)="","Not started",IF(VLOOKUP(B191,'ECN-ECO_DATA'!B:J,7,FALSE)="","Awaiting First Approval",IF(VLOOKUP(B191,'ECN-ECO_DATA'!B:J,8,FALSE)="","Awaiting Quality Check Approval",IF(VLOOKUP(B191,'ECN-ECO_DATA'!B:J,9,FALSE)="","Awaiting Last Approval",IF(VLOOKUP(B191,'ECN-ECO_DATA'!B:J,9,FALSE)&lt;&gt;"","Approved","Unknown"))))),"")</f>
        <v/>
      </c>
      <c r="K191" s="47" t="str">
        <f>IFERROR(VLOOKUP(B191,'ECN-ECO_DATA'!B:W,22,FALSE),"")</f>
        <v/>
      </c>
      <c r="L191" s="43" t="str">
        <f>IFERROR(IF(VLOOKUP(B191,'ECN-ECO_DATA'!B:AB,27,FALSE)=0,"",VLOOKUP(B191,'ECN-ECO_DATA'!B:AB,27,FALSE)),"")</f>
        <v/>
      </c>
      <c r="M191" s="43" t="str">
        <f>IFERROR(VLOOKUP(B191,'ECN-ECO_DATA'!B:AE,30,FALSE),"")</f>
        <v/>
      </c>
      <c r="N191" s="59" t="str">
        <f>IFERROR(IF((VLOOKUP(B191,'ECN-ECO_DATA'!B:AD,20,FALSE)-VLOOKUP(B191,'ECN-ECO_DATA'!B:AD,18,FALSE))&gt;0,(VLOOKUP(B191,'ECN-ECO_DATA'!B:AD,20,FALSE)-VLOOKUP(B191,'ECN-ECO_DATA'!B:AD,18,FALSE)),""),"")</f>
        <v/>
      </c>
      <c r="O191" s="59"/>
      <c r="P191" s="59" t="str">
        <f>IFERROR(VLOOKUP(B191,'ECN-ECO_DATA'!B:P,13,FALSE),"")</f>
        <v/>
      </c>
      <c r="Q191" s="43" t="str">
        <f>IFERROR(VLOOKUP(B191,'ECN-ECO_DATA'!B:P,15,FALSE),"")</f>
        <v/>
      </c>
    </row>
    <row r="192" spans="3:17" x14ac:dyDescent="0.25">
      <c r="C192" s="43" t="str">
        <f>IFERROR(VLOOKUP(B192,'ECN-ECO_DATA'!B:C,2,FALSE),"")</f>
        <v/>
      </c>
      <c r="D192" s="43" t="str">
        <f>IFERROR(VLOOKUP(B192,'ECN-ECO_DATA'!B:X,23,FALSE),"")</f>
        <v/>
      </c>
      <c r="E192" s="44" t="str">
        <f>IFERROR(VLOOKUP(B192,'ECN-ECO_DATA'!B:G,5,FALSE),"")</f>
        <v/>
      </c>
      <c r="F192" s="44" t="str">
        <f>IFERROR((IF(VLOOKUP(B192,'ECN-ECO_DATA'!B:G,6,FALSE)="","",VLOOKUP(B192,'ECN-ECO_DATA'!B:G,6,FALSE))),"")</f>
        <v/>
      </c>
      <c r="H192" s="45" t="str">
        <f>IFERROR(VLOOKUP(B192,'ECN-ECO_DATA'!B:G,4,FALSE),"")</f>
        <v/>
      </c>
      <c r="I192" s="46" t="str">
        <f>IFERROR(IF(VLOOKUP(B192,'ECN-ECO_DATA'!B:G,6,FALSE)="","Not started",IF(VLOOKUP(B192,'ECN-ECO_DATA'!B:J,7,FALSE)="","Awaiting First Approval",IF(VLOOKUP(B192,'ECN-ECO_DATA'!B:J,8,FALSE)="","Awaiting Quality Check Approval",IF(VLOOKUP(B192,'ECN-ECO_DATA'!B:J,9,FALSE)="","Awaiting Last Approval",IF(VLOOKUP(B192,'ECN-ECO_DATA'!B:J,9,FALSE)&lt;&gt;"","Approved","Unknown"))))),"")</f>
        <v/>
      </c>
      <c r="K192" s="47" t="str">
        <f>IFERROR(VLOOKUP(B192,'ECN-ECO_DATA'!B:W,22,FALSE),"")</f>
        <v/>
      </c>
      <c r="L192" s="43" t="str">
        <f>IFERROR(IF(VLOOKUP(B192,'ECN-ECO_DATA'!B:AB,27,FALSE)=0,"",VLOOKUP(B192,'ECN-ECO_DATA'!B:AB,27,FALSE)),"")</f>
        <v/>
      </c>
      <c r="M192" s="43" t="str">
        <f>IFERROR(VLOOKUP(B192,'ECN-ECO_DATA'!B:AE,30,FALSE),"")</f>
        <v/>
      </c>
      <c r="N192" s="59" t="str">
        <f>IFERROR(IF((VLOOKUP(B192,'ECN-ECO_DATA'!B:AD,20,FALSE)-VLOOKUP(B192,'ECN-ECO_DATA'!B:AD,18,FALSE))&gt;0,(VLOOKUP(B192,'ECN-ECO_DATA'!B:AD,20,FALSE)-VLOOKUP(B192,'ECN-ECO_DATA'!B:AD,18,FALSE)),""),"")</f>
        <v/>
      </c>
      <c r="O192" s="59"/>
      <c r="P192" s="59" t="str">
        <f>IFERROR(VLOOKUP(B192,'ECN-ECO_DATA'!B:P,13,FALSE),"")</f>
        <v/>
      </c>
      <c r="Q192" s="43" t="str">
        <f>IFERROR(VLOOKUP(B192,'ECN-ECO_DATA'!B:P,15,FALSE),"")</f>
        <v/>
      </c>
    </row>
    <row r="193" spans="3:17" x14ac:dyDescent="0.25">
      <c r="C193" s="43" t="str">
        <f>IFERROR(VLOOKUP(B193,'ECN-ECO_DATA'!B:C,2,FALSE),"")</f>
        <v/>
      </c>
      <c r="D193" s="43" t="str">
        <f>IFERROR(VLOOKUP(B193,'ECN-ECO_DATA'!B:X,23,FALSE),"")</f>
        <v/>
      </c>
      <c r="E193" s="44" t="str">
        <f>IFERROR(VLOOKUP(B193,'ECN-ECO_DATA'!B:G,5,FALSE),"")</f>
        <v/>
      </c>
      <c r="F193" s="44" t="str">
        <f>IFERROR((IF(VLOOKUP(B193,'ECN-ECO_DATA'!B:G,6,FALSE)="","",VLOOKUP(B193,'ECN-ECO_DATA'!B:G,6,FALSE))),"")</f>
        <v/>
      </c>
      <c r="H193" s="45" t="str">
        <f>IFERROR(VLOOKUP(B193,'ECN-ECO_DATA'!B:G,4,FALSE),"")</f>
        <v/>
      </c>
      <c r="I193" s="46" t="str">
        <f>IFERROR(IF(VLOOKUP(B193,'ECN-ECO_DATA'!B:G,6,FALSE)="","Not started",IF(VLOOKUP(B193,'ECN-ECO_DATA'!B:J,7,FALSE)="","Awaiting First Approval",IF(VLOOKUP(B193,'ECN-ECO_DATA'!B:J,8,FALSE)="","Awaiting Quality Check Approval",IF(VLOOKUP(B193,'ECN-ECO_DATA'!B:J,9,FALSE)="","Awaiting Last Approval",IF(VLOOKUP(B193,'ECN-ECO_DATA'!B:J,9,FALSE)&lt;&gt;"","Approved","Unknown"))))),"")</f>
        <v/>
      </c>
      <c r="K193" s="47" t="str">
        <f>IFERROR(VLOOKUP(B193,'ECN-ECO_DATA'!B:W,22,FALSE),"")</f>
        <v/>
      </c>
      <c r="L193" s="43" t="str">
        <f>IFERROR(IF(VLOOKUP(B193,'ECN-ECO_DATA'!B:AB,27,FALSE)=0,"",VLOOKUP(B193,'ECN-ECO_DATA'!B:AB,27,FALSE)),"")</f>
        <v/>
      </c>
      <c r="M193" s="43" t="str">
        <f>IFERROR(VLOOKUP(B193,'ECN-ECO_DATA'!B:AE,30,FALSE),"")</f>
        <v/>
      </c>
      <c r="N193" s="59" t="str">
        <f>IFERROR(IF((VLOOKUP(B193,'ECN-ECO_DATA'!B:AD,20,FALSE)-VLOOKUP(B193,'ECN-ECO_DATA'!B:AD,18,FALSE))&gt;0,(VLOOKUP(B193,'ECN-ECO_DATA'!B:AD,20,FALSE)-VLOOKUP(B193,'ECN-ECO_DATA'!B:AD,18,FALSE)),""),"")</f>
        <v/>
      </c>
      <c r="O193" s="59"/>
      <c r="P193" s="59" t="str">
        <f>IFERROR(VLOOKUP(B193,'ECN-ECO_DATA'!B:P,13,FALSE),"")</f>
        <v/>
      </c>
      <c r="Q193" s="43" t="str">
        <f>IFERROR(VLOOKUP(B193,'ECN-ECO_DATA'!B:P,15,FALSE),"")</f>
        <v/>
      </c>
    </row>
    <row r="194" spans="3:17" x14ac:dyDescent="0.25">
      <c r="C194" s="43" t="str">
        <f>IFERROR(VLOOKUP(B194,'ECN-ECO_DATA'!B:C,2,FALSE),"")</f>
        <v/>
      </c>
      <c r="D194" s="43" t="str">
        <f>IFERROR(VLOOKUP(B194,'ECN-ECO_DATA'!B:X,23,FALSE),"")</f>
        <v/>
      </c>
      <c r="E194" s="44" t="str">
        <f>IFERROR(VLOOKUP(B194,'ECN-ECO_DATA'!B:G,5,FALSE),"")</f>
        <v/>
      </c>
      <c r="F194" s="44" t="str">
        <f>IFERROR((IF(VLOOKUP(B194,'ECN-ECO_DATA'!B:G,6,FALSE)="","",VLOOKUP(B194,'ECN-ECO_DATA'!B:G,6,FALSE))),"")</f>
        <v/>
      </c>
      <c r="H194" s="45" t="str">
        <f>IFERROR(VLOOKUP(B194,'ECN-ECO_DATA'!B:G,4,FALSE),"")</f>
        <v/>
      </c>
      <c r="I194" s="46" t="str">
        <f>IFERROR(IF(VLOOKUP(B194,'ECN-ECO_DATA'!B:G,6,FALSE)="","Not started",IF(VLOOKUP(B194,'ECN-ECO_DATA'!B:J,7,FALSE)="","Awaiting First Approval",IF(VLOOKUP(B194,'ECN-ECO_DATA'!B:J,8,FALSE)="","Awaiting Quality Check Approval",IF(VLOOKUP(B194,'ECN-ECO_DATA'!B:J,9,FALSE)="","Awaiting Last Approval",IF(VLOOKUP(B194,'ECN-ECO_DATA'!B:J,9,FALSE)&lt;&gt;"","Approved","Unknown"))))),"")</f>
        <v/>
      </c>
      <c r="K194" s="47" t="str">
        <f>IFERROR(VLOOKUP(B194,'ECN-ECO_DATA'!B:W,22,FALSE),"")</f>
        <v/>
      </c>
      <c r="L194" s="43" t="str">
        <f>IFERROR(IF(VLOOKUP(B194,'ECN-ECO_DATA'!B:AB,27,FALSE)=0,"",VLOOKUP(B194,'ECN-ECO_DATA'!B:AB,27,FALSE)),"")</f>
        <v/>
      </c>
      <c r="M194" s="43" t="str">
        <f>IFERROR(VLOOKUP(B194,'ECN-ECO_DATA'!B:AE,30,FALSE),"")</f>
        <v/>
      </c>
      <c r="N194" s="59" t="str">
        <f>IFERROR(IF((VLOOKUP(B194,'ECN-ECO_DATA'!B:AD,20,FALSE)-VLOOKUP(B194,'ECN-ECO_DATA'!B:AD,18,FALSE))&gt;0,(VLOOKUP(B194,'ECN-ECO_DATA'!B:AD,20,FALSE)-VLOOKUP(B194,'ECN-ECO_DATA'!B:AD,18,FALSE)),""),"")</f>
        <v/>
      </c>
      <c r="O194" s="59"/>
      <c r="P194" s="59" t="str">
        <f>IFERROR(VLOOKUP(B194,'ECN-ECO_DATA'!B:P,13,FALSE),"")</f>
        <v/>
      </c>
      <c r="Q194" s="43" t="str">
        <f>IFERROR(VLOOKUP(B194,'ECN-ECO_DATA'!B:P,15,FALSE),"")</f>
        <v/>
      </c>
    </row>
    <row r="195" spans="3:17" x14ac:dyDescent="0.25">
      <c r="C195" s="43" t="str">
        <f>IFERROR(VLOOKUP(B195,'ECN-ECO_DATA'!B:C,2,FALSE),"")</f>
        <v/>
      </c>
      <c r="D195" s="43" t="str">
        <f>IFERROR(VLOOKUP(B195,'ECN-ECO_DATA'!B:X,23,FALSE),"")</f>
        <v/>
      </c>
      <c r="E195" s="44" t="str">
        <f>IFERROR(VLOOKUP(B195,'ECN-ECO_DATA'!B:G,5,FALSE),"")</f>
        <v/>
      </c>
      <c r="F195" s="44" t="str">
        <f>IFERROR((IF(VLOOKUP(B195,'ECN-ECO_DATA'!B:G,6,FALSE)="","",VLOOKUP(B195,'ECN-ECO_DATA'!B:G,6,FALSE))),"")</f>
        <v/>
      </c>
      <c r="H195" s="45" t="str">
        <f>IFERROR(VLOOKUP(B195,'ECN-ECO_DATA'!B:G,4,FALSE),"")</f>
        <v/>
      </c>
      <c r="I195" s="46" t="str">
        <f>IFERROR(IF(VLOOKUP(B195,'ECN-ECO_DATA'!B:G,6,FALSE)="","Not started",IF(VLOOKUP(B195,'ECN-ECO_DATA'!B:J,7,FALSE)="","Awaiting First Approval",IF(VLOOKUP(B195,'ECN-ECO_DATA'!B:J,8,FALSE)="","Awaiting Quality Check Approval",IF(VLOOKUP(B195,'ECN-ECO_DATA'!B:J,9,FALSE)="","Awaiting Last Approval",IF(VLOOKUP(B195,'ECN-ECO_DATA'!B:J,9,FALSE)&lt;&gt;"","Approved","Unknown"))))),"")</f>
        <v/>
      </c>
      <c r="K195" s="47" t="str">
        <f>IFERROR(VLOOKUP(B195,'ECN-ECO_DATA'!B:W,22,FALSE),"")</f>
        <v/>
      </c>
      <c r="L195" s="43" t="str">
        <f>IFERROR(IF(VLOOKUP(B195,'ECN-ECO_DATA'!B:AB,27,FALSE)=0,"",VLOOKUP(B195,'ECN-ECO_DATA'!B:AB,27,FALSE)),"")</f>
        <v/>
      </c>
      <c r="M195" s="43" t="str">
        <f>IFERROR(VLOOKUP(B195,'ECN-ECO_DATA'!B:AE,30,FALSE),"")</f>
        <v/>
      </c>
      <c r="N195" s="59" t="str">
        <f>IFERROR(IF((VLOOKUP(B195,'ECN-ECO_DATA'!B:AD,20,FALSE)-VLOOKUP(B195,'ECN-ECO_DATA'!B:AD,18,FALSE))&gt;0,(VLOOKUP(B195,'ECN-ECO_DATA'!B:AD,20,FALSE)-VLOOKUP(B195,'ECN-ECO_DATA'!B:AD,18,FALSE)),""),"")</f>
        <v/>
      </c>
      <c r="O195" s="59"/>
      <c r="P195" s="59" t="str">
        <f>IFERROR(VLOOKUP(B195,'ECN-ECO_DATA'!B:P,13,FALSE),"")</f>
        <v/>
      </c>
      <c r="Q195" s="43" t="str">
        <f>IFERROR(VLOOKUP(B195,'ECN-ECO_DATA'!B:P,15,FALSE),"")</f>
        <v/>
      </c>
    </row>
    <row r="196" spans="3:17" x14ac:dyDescent="0.25">
      <c r="C196" s="43" t="str">
        <f>IFERROR(VLOOKUP(B196,'ECN-ECO_DATA'!B:C,2,FALSE),"")</f>
        <v/>
      </c>
      <c r="D196" s="43" t="str">
        <f>IFERROR(VLOOKUP(B196,'ECN-ECO_DATA'!B:X,23,FALSE),"")</f>
        <v/>
      </c>
      <c r="E196" s="44" t="str">
        <f>IFERROR(VLOOKUP(B196,'ECN-ECO_DATA'!B:G,5,FALSE),"")</f>
        <v/>
      </c>
      <c r="F196" s="44" t="str">
        <f>IFERROR((IF(VLOOKUP(B196,'ECN-ECO_DATA'!B:G,6,FALSE)="","",VLOOKUP(B196,'ECN-ECO_DATA'!B:G,6,FALSE))),"")</f>
        <v/>
      </c>
      <c r="H196" s="45" t="str">
        <f>IFERROR(VLOOKUP(B196,'ECN-ECO_DATA'!B:G,4,FALSE),"")</f>
        <v/>
      </c>
      <c r="I196" s="46" t="str">
        <f>IFERROR(IF(VLOOKUP(B196,'ECN-ECO_DATA'!B:G,6,FALSE)="","Not started",IF(VLOOKUP(B196,'ECN-ECO_DATA'!B:J,7,FALSE)="","Awaiting First Approval",IF(VLOOKUP(B196,'ECN-ECO_DATA'!B:J,8,FALSE)="","Awaiting Quality Check Approval",IF(VLOOKUP(B196,'ECN-ECO_DATA'!B:J,9,FALSE)="","Awaiting Last Approval",IF(VLOOKUP(B196,'ECN-ECO_DATA'!B:J,9,FALSE)&lt;&gt;"","Approved","Unknown"))))),"")</f>
        <v/>
      </c>
      <c r="K196" s="47" t="str">
        <f>IFERROR(VLOOKUP(B196,'ECN-ECO_DATA'!B:W,22,FALSE),"")</f>
        <v/>
      </c>
      <c r="L196" s="43" t="str">
        <f>IFERROR(IF(VLOOKUP(B196,'ECN-ECO_DATA'!B:AB,27,FALSE)=0,"",VLOOKUP(B196,'ECN-ECO_DATA'!B:AB,27,FALSE)),"")</f>
        <v/>
      </c>
      <c r="M196" s="43" t="str">
        <f>IFERROR(VLOOKUP(B196,'ECN-ECO_DATA'!B:AE,30,FALSE),"")</f>
        <v/>
      </c>
      <c r="N196" s="59" t="str">
        <f>IFERROR(IF((VLOOKUP(B196,'ECN-ECO_DATA'!B:AD,20,FALSE)-VLOOKUP(B196,'ECN-ECO_DATA'!B:AD,18,FALSE))&gt;0,(VLOOKUP(B196,'ECN-ECO_DATA'!B:AD,20,FALSE)-VLOOKUP(B196,'ECN-ECO_DATA'!B:AD,18,FALSE)),""),"")</f>
        <v/>
      </c>
      <c r="O196" s="59"/>
      <c r="P196" s="59" t="str">
        <f>IFERROR(VLOOKUP(B196,'ECN-ECO_DATA'!B:P,13,FALSE),"")</f>
        <v/>
      </c>
      <c r="Q196" s="43" t="str">
        <f>IFERROR(VLOOKUP(B196,'ECN-ECO_DATA'!B:P,15,FALSE),"")</f>
        <v/>
      </c>
    </row>
    <row r="197" spans="3:17" x14ac:dyDescent="0.25">
      <c r="C197" s="43" t="str">
        <f>IFERROR(VLOOKUP(B197,'ECN-ECO_DATA'!B:C,2,FALSE),"")</f>
        <v/>
      </c>
      <c r="D197" s="43" t="str">
        <f>IFERROR(VLOOKUP(B197,'ECN-ECO_DATA'!B:X,23,FALSE),"")</f>
        <v/>
      </c>
      <c r="E197" s="44" t="str">
        <f>IFERROR(VLOOKUP(B197,'ECN-ECO_DATA'!B:G,5,FALSE),"")</f>
        <v/>
      </c>
      <c r="F197" s="44" t="str">
        <f>IFERROR((IF(VLOOKUP(B197,'ECN-ECO_DATA'!B:G,6,FALSE)="","",VLOOKUP(B197,'ECN-ECO_DATA'!B:G,6,FALSE))),"")</f>
        <v/>
      </c>
      <c r="H197" s="45" t="str">
        <f>IFERROR(VLOOKUP(B197,'ECN-ECO_DATA'!B:G,4,FALSE),"")</f>
        <v/>
      </c>
      <c r="I197" s="46" t="str">
        <f>IFERROR(IF(VLOOKUP(B197,'ECN-ECO_DATA'!B:G,6,FALSE)="","Not started",IF(VLOOKUP(B197,'ECN-ECO_DATA'!B:J,7,FALSE)="","Awaiting First Approval",IF(VLOOKUP(B197,'ECN-ECO_DATA'!B:J,8,FALSE)="","Awaiting Quality Check Approval",IF(VLOOKUP(B197,'ECN-ECO_DATA'!B:J,9,FALSE)="","Awaiting Last Approval",IF(VLOOKUP(B197,'ECN-ECO_DATA'!B:J,9,FALSE)&lt;&gt;"","Approved","Unknown"))))),"")</f>
        <v/>
      </c>
      <c r="K197" s="47" t="str">
        <f>IFERROR(VLOOKUP(B197,'ECN-ECO_DATA'!B:W,22,FALSE),"")</f>
        <v/>
      </c>
      <c r="L197" s="43" t="str">
        <f>IFERROR(IF(VLOOKUP(B197,'ECN-ECO_DATA'!B:AB,27,FALSE)=0,"",VLOOKUP(B197,'ECN-ECO_DATA'!B:AB,27,FALSE)),"")</f>
        <v/>
      </c>
      <c r="M197" s="43" t="str">
        <f>IFERROR(VLOOKUP(B197,'ECN-ECO_DATA'!B:AE,30,FALSE),"")</f>
        <v/>
      </c>
      <c r="N197" s="59" t="str">
        <f>IFERROR(IF((VLOOKUP(B197,'ECN-ECO_DATA'!B:AD,20,FALSE)-VLOOKUP(B197,'ECN-ECO_DATA'!B:AD,18,FALSE))&gt;0,(VLOOKUP(B197,'ECN-ECO_DATA'!B:AD,20,FALSE)-VLOOKUP(B197,'ECN-ECO_DATA'!B:AD,18,FALSE)),""),"")</f>
        <v/>
      </c>
      <c r="O197" s="59"/>
      <c r="P197" s="59" t="str">
        <f>IFERROR(VLOOKUP(B197,'ECN-ECO_DATA'!B:P,13,FALSE),"")</f>
        <v/>
      </c>
      <c r="Q197" s="43" t="str">
        <f>IFERROR(VLOOKUP(B197,'ECN-ECO_DATA'!B:P,15,FALSE),"")</f>
        <v/>
      </c>
    </row>
    <row r="198" spans="3:17" x14ac:dyDescent="0.25">
      <c r="C198" s="43" t="str">
        <f>IFERROR(VLOOKUP(B198,'ECN-ECO_DATA'!B:C,2,FALSE),"")</f>
        <v/>
      </c>
      <c r="D198" s="43" t="str">
        <f>IFERROR(VLOOKUP(B198,'ECN-ECO_DATA'!B:X,23,FALSE),"")</f>
        <v/>
      </c>
      <c r="E198" s="44" t="str">
        <f>IFERROR(VLOOKUP(B198,'ECN-ECO_DATA'!B:G,5,FALSE),"")</f>
        <v/>
      </c>
      <c r="F198" s="44" t="str">
        <f>IFERROR((IF(VLOOKUP(B198,'ECN-ECO_DATA'!B:G,6,FALSE)="","",VLOOKUP(B198,'ECN-ECO_DATA'!B:G,6,FALSE))),"")</f>
        <v/>
      </c>
      <c r="H198" s="45" t="str">
        <f>IFERROR(VLOOKUP(B198,'ECN-ECO_DATA'!B:G,4,FALSE),"")</f>
        <v/>
      </c>
      <c r="I198" s="46" t="str">
        <f>IFERROR(IF(VLOOKUP(B198,'ECN-ECO_DATA'!B:G,6,FALSE)="","Not started",IF(VLOOKUP(B198,'ECN-ECO_DATA'!B:J,7,FALSE)="","Awaiting First Approval",IF(VLOOKUP(B198,'ECN-ECO_DATA'!B:J,8,FALSE)="","Awaiting Quality Check Approval",IF(VLOOKUP(B198,'ECN-ECO_DATA'!B:J,9,FALSE)="","Awaiting Last Approval",IF(VLOOKUP(B198,'ECN-ECO_DATA'!B:J,9,FALSE)&lt;&gt;"","Approved","Unknown"))))),"")</f>
        <v/>
      </c>
      <c r="K198" s="47" t="str">
        <f>IFERROR(VLOOKUP(B198,'ECN-ECO_DATA'!B:W,22,FALSE),"")</f>
        <v/>
      </c>
      <c r="L198" s="43" t="str">
        <f>IFERROR(IF(VLOOKUP(B198,'ECN-ECO_DATA'!B:AB,27,FALSE)=0,"",VLOOKUP(B198,'ECN-ECO_DATA'!B:AB,27,FALSE)),"")</f>
        <v/>
      </c>
      <c r="M198" s="43" t="str">
        <f>IFERROR(VLOOKUP(B198,'ECN-ECO_DATA'!B:AE,30,FALSE),"")</f>
        <v/>
      </c>
      <c r="N198" s="59" t="str">
        <f>IFERROR(IF((VLOOKUP(B198,'ECN-ECO_DATA'!B:AD,20,FALSE)-VLOOKUP(B198,'ECN-ECO_DATA'!B:AD,18,FALSE))&gt;0,(VLOOKUP(B198,'ECN-ECO_DATA'!B:AD,20,FALSE)-VLOOKUP(B198,'ECN-ECO_DATA'!B:AD,18,FALSE)),""),"")</f>
        <v/>
      </c>
      <c r="O198" s="59"/>
      <c r="P198" s="59" t="str">
        <f>IFERROR(VLOOKUP(B198,'ECN-ECO_DATA'!B:P,13,FALSE),"")</f>
        <v/>
      </c>
      <c r="Q198" s="43" t="str">
        <f>IFERROR(VLOOKUP(B198,'ECN-ECO_DATA'!B:P,15,FALSE),"")</f>
        <v/>
      </c>
    </row>
    <row r="199" spans="3:17" x14ac:dyDescent="0.25">
      <c r="C199" s="43" t="str">
        <f>IFERROR(VLOOKUP(B199,'ECN-ECO_DATA'!B:C,2,FALSE),"")</f>
        <v/>
      </c>
      <c r="D199" s="43" t="str">
        <f>IFERROR(VLOOKUP(B199,'ECN-ECO_DATA'!B:X,23,FALSE),"")</f>
        <v/>
      </c>
      <c r="E199" s="44" t="str">
        <f>IFERROR(VLOOKUP(B199,'ECN-ECO_DATA'!B:G,5,FALSE),"")</f>
        <v/>
      </c>
      <c r="F199" s="44" t="str">
        <f>IFERROR((IF(VLOOKUP(B199,'ECN-ECO_DATA'!B:G,6,FALSE)="","",VLOOKUP(B199,'ECN-ECO_DATA'!B:G,6,FALSE))),"")</f>
        <v/>
      </c>
      <c r="H199" s="45" t="str">
        <f>IFERROR(VLOOKUP(B199,'ECN-ECO_DATA'!B:G,4,FALSE),"")</f>
        <v/>
      </c>
      <c r="I199" s="46" t="str">
        <f>IFERROR(IF(VLOOKUP(B199,'ECN-ECO_DATA'!B:G,6,FALSE)="","Not started",IF(VLOOKUP(B199,'ECN-ECO_DATA'!B:J,7,FALSE)="","Awaiting First Approval",IF(VLOOKUP(B199,'ECN-ECO_DATA'!B:J,8,FALSE)="","Awaiting Quality Check Approval",IF(VLOOKUP(B199,'ECN-ECO_DATA'!B:J,9,FALSE)="","Awaiting Last Approval",IF(VLOOKUP(B199,'ECN-ECO_DATA'!B:J,9,FALSE)&lt;&gt;"","Approved","Unknown"))))),"")</f>
        <v/>
      </c>
      <c r="K199" s="47" t="str">
        <f>IFERROR(VLOOKUP(B199,'ECN-ECO_DATA'!B:W,22,FALSE),"")</f>
        <v/>
      </c>
      <c r="L199" s="43" t="str">
        <f>IFERROR(IF(VLOOKUP(B199,'ECN-ECO_DATA'!B:AB,27,FALSE)=0,"",VLOOKUP(B199,'ECN-ECO_DATA'!B:AB,27,FALSE)),"")</f>
        <v/>
      </c>
      <c r="M199" s="43" t="str">
        <f>IFERROR(VLOOKUP(B199,'ECN-ECO_DATA'!B:AE,30,FALSE),"")</f>
        <v/>
      </c>
      <c r="N199" s="59" t="str">
        <f>IFERROR(IF((VLOOKUP(B199,'ECN-ECO_DATA'!B:AD,20,FALSE)-VLOOKUP(B199,'ECN-ECO_DATA'!B:AD,18,FALSE))&gt;0,(VLOOKUP(B199,'ECN-ECO_DATA'!B:AD,20,FALSE)-VLOOKUP(B199,'ECN-ECO_DATA'!B:AD,18,FALSE)),""),"")</f>
        <v/>
      </c>
      <c r="O199" s="59"/>
      <c r="P199" s="59" t="str">
        <f>IFERROR(VLOOKUP(B199,'ECN-ECO_DATA'!B:P,13,FALSE),"")</f>
        <v/>
      </c>
      <c r="Q199" s="43" t="str">
        <f>IFERROR(VLOOKUP(B199,'ECN-ECO_DATA'!B:P,15,FALSE),"")</f>
        <v/>
      </c>
    </row>
    <row r="200" spans="3:17" x14ac:dyDescent="0.25">
      <c r="C200" s="43" t="str">
        <f>IFERROR(VLOOKUP(B200,'ECN-ECO_DATA'!B:C,2,FALSE),"")</f>
        <v/>
      </c>
      <c r="D200" s="43" t="str">
        <f>IFERROR(VLOOKUP(B200,'ECN-ECO_DATA'!B:X,23,FALSE),"")</f>
        <v/>
      </c>
      <c r="E200" s="44" t="str">
        <f>IFERROR(VLOOKUP(B200,'ECN-ECO_DATA'!B:G,5,FALSE),"")</f>
        <v/>
      </c>
      <c r="F200" s="44" t="str">
        <f>IFERROR((IF(VLOOKUP(B200,'ECN-ECO_DATA'!B:G,6,FALSE)="","",VLOOKUP(B200,'ECN-ECO_DATA'!B:G,6,FALSE))),"")</f>
        <v/>
      </c>
      <c r="H200" s="45" t="str">
        <f>IFERROR(VLOOKUP(B200,'ECN-ECO_DATA'!B:G,4,FALSE),"")</f>
        <v/>
      </c>
      <c r="I200" s="46" t="str">
        <f>IFERROR(IF(VLOOKUP(B200,'ECN-ECO_DATA'!B:G,6,FALSE)="","Not started",IF(VLOOKUP(B200,'ECN-ECO_DATA'!B:J,7,FALSE)="","Awaiting First Approval",IF(VLOOKUP(B200,'ECN-ECO_DATA'!B:J,8,FALSE)="","Awaiting Quality Check Approval",IF(VLOOKUP(B200,'ECN-ECO_DATA'!B:J,9,FALSE)="","Awaiting Last Approval",IF(VLOOKUP(B200,'ECN-ECO_DATA'!B:J,9,FALSE)&lt;&gt;"","Approved","Unknown"))))),"")</f>
        <v/>
      </c>
      <c r="K200" s="47" t="str">
        <f>IFERROR(VLOOKUP(B200,'ECN-ECO_DATA'!B:W,22,FALSE),"")</f>
        <v/>
      </c>
      <c r="L200" s="43" t="str">
        <f>IFERROR(IF(VLOOKUP(B200,'ECN-ECO_DATA'!B:AB,27,FALSE)=0,"",VLOOKUP(B200,'ECN-ECO_DATA'!B:AB,27,FALSE)),"")</f>
        <v/>
      </c>
      <c r="M200" s="43" t="str">
        <f>IFERROR(VLOOKUP(B200,'ECN-ECO_DATA'!B:AE,30,FALSE),"")</f>
        <v/>
      </c>
      <c r="N200" s="59" t="str">
        <f>IFERROR(IF((VLOOKUP(B200,'ECN-ECO_DATA'!B:AD,20,FALSE)-VLOOKUP(B200,'ECN-ECO_DATA'!B:AD,18,FALSE))&gt;0,(VLOOKUP(B200,'ECN-ECO_DATA'!B:AD,20,FALSE)-VLOOKUP(B200,'ECN-ECO_DATA'!B:AD,18,FALSE)),""),"")</f>
        <v/>
      </c>
      <c r="O200" s="59"/>
      <c r="P200" s="59" t="str">
        <f>IFERROR(VLOOKUP(B200,'ECN-ECO_DATA'!B:P,13,FALSE),"")</f>
        <v/>
      </c>
      <c r="Q200" s="43" t="str">
        <f>IFERROR(VLOOKUP(B200,'ECN-ECO_DATA'!B:P,15,FALSE),"")</f>
        <v/>
      </c>
    </row>
    <row r="201" spans="3:17" x14ac:dyDescent="0.25">
      <c r="C201" s="43" t="str">
        <f>IFERROR(VLOOKUP(B201,'ECN-ECO_DATA'!B:C,2,FALSE),"")</f>
        <v/>
      </c>
      <c r="D201" s="43" t="str">
        <f>IFERROR(VLOOKUP(B201,'ECN-ECO_DATA'!B:X,23,FALSE),"")</f>
        <v/>
      </c>
      <c r="E201" s="44" t="str">
        <f>IFERROR(VLOOKUP(B201,'ECN-ECO_DATA'!B:G,5,FALSE),"")</f>
        <v/>
      </c>
      <c r="F201" s="44" t="str">
        <f>IFERROR((IF(VLOOKUP(B201,'ECN-ECO_DATA'!B:G,6,FALSE)="","",VLOOKUP(B201,'ECN-ECO_DATA'!B:G,6,FALSE))),"")</f>
        <v/>
      </c>
      <c r="H201" s="45" t="str">
        <f>IFERROR(VLOOKUP(B201,'ECN-ECO_DATA'!B:G,4,FALSE),"")</f>
        <v/>
      </c>
      <c r="I201" s="46" t="str">
        <f>IFERROR(IF(VLOOKUP(B201,'ECN-ECO_DATA'!B:G,6,FALSE)="","Not started",IF(VLOOKUP(B201,'ECN-ECO_DATA'!B:J,7,FALSE)="","Awaiting First Approval",IF(VLOOKUP(B201,'ECN-ECO_DATA'!B:J,8,FALSE)="","Awaiting Quality Check Approval",IF(VLOOKUP(B201,'ECN-ECO_DATA'!B:J,9,FALSE)="","Awaiting Last Approval",IF(VLOOKUP(B201,'ECN-ECO_DATA'!B:J,9,FALSE)&lt;&gt;"","Approved","Unknown"))))),"")</f>
        <v/>
      </c>
      <c r="K201" s="47" t="str">
        <f>IFERROR(VLOOKUP(B201,'ECN-ECO_DATA'!B:W,22,FALSE),"")</f>
        <v/>
      </c>
      <c r="L201" s="43" t="str">
        <f>IFERROR(IF(VLOOKUP(B201,'ECN-ECO_DATA'!B:AB,27,FALSE)=0,"",VLOOKUP(B201,'ECN-ECO_DATA'!B:AB,27,FALSE)),"")</f>
        <v/>
      </c>
      <c r="M201" s="43" t="str">
        <f>IFERROR(VLOOKUP(B201,'ECN-ECO_DATA'!B:AE,30,FALSE),"")</f>
        <v/>
      </c>
      <c r="N201" s="59" t="str">
        <f>IFERROR(IF((VLOOKUP(B201,'ECN-ECO_DATA'!B:AD,20,FALSE)-VLOOKUP(B201,'ECN-ECO_DATA'!B:AD,18,FALSE))&gt;0,(VLOOKUP(B201,'ECN-ECO_DATA'!B:AD,20,FALSE)-VLOOKUP(B201,'ECN-ECO_DATA'!B:AD,18,FALSE)),""),"")</f>
        <v/>
      </c>
      <c r="O201" s="59"/>
      <c r="P201" s="59" t="str">
        <f>IFERROR(VLOOKUP(B201,'ECN-ECO_DATA'!B:P,13,FALSE),"")</f>
        <v/>
      </c>
      <c r="Q201" s="43" t="str">
        <f>IFERROR(VLOOKUP(B201,'ECN-ECO_DATA'!B:P,15,FALSE),"")</f>
        <v/>
      </c>
    </row>
    <row r="202" spans="3:17" x14ac:dyDescent="0.25">
      <c r="C202" s="43" t="str">
        <f>IFERROR(VLOOKUP(B202,'ECN-ECO_DATA'!B:C,2,FALSE),"")</f>
        <v/>
      </c>
      <c r="D202" s="43" t="str">
        <f>IFERROR(VLOOKUP(B202,'ECN-ECO_DATA'!B:X,23,FALSE),"")</f>
        <v/>
      </c>
      <c r="E202" s="44" t="str">
        <f>IFERROR(VLOOKUP(B202,'ECN-ECO_DATA'!B:G,5,FALSE),"")</f>
        <v/>
      </c>
      <c r="F202" s="44" t="str">
        <f>IFERROR((IF(VLOOKUP(B202,'ECN-ECO_DATA'!B:G,6,FALSE)="","",VLOOKUP(B202,'ECN-ECO_DATA'!B:G,6,FALSE))),"")</f>
        <v/>
      </c>
      <c r="H202" s="45" t="str">
        <f>IFERROR(VLOOKUP(B202,'ECN-ECO_DATA'!B:G,4,FALSE),"")</f>
        <v/>
      </c>
      <c r="I202" s="46" t="str">
        <f>IFERROR(IF(VLOOKUP(B202,'ECN-ECO_DATA'!B:G,6,FALSE)="","Not started",IF(VLOOKUP(B202,'ECN-ECO_DATA'!B:J,7,FALSE)="","Awaiting First Approval",IF(VLOOKUP(B202,'ECN-ECO_DATA'!B:J,8,FALSE)="","Awaiting Quality Check Approval",IF(VLOOKUP(B202,'ECN-ECO_DATA'!B:J,9,FALSE)="","Awaiting Last Approval",IF(VLOOKUP(B202,'ECN-ECO_DATA'!B:J,9,FALSE)&lt;&gt;"","Approved","Unknown"))))),"")</f>
        <v/>
      </c>
      <c r="K202" s="47" t="str">
        <f>IFERROR(VLOOKUP(B202,'ECN-ECO_DATA'!B:W,22,FALSE),"")</f>
        <v/>
      </c>
      <c r="L202" s="43" t="str">
        <f>IFERROR(IF(VLOOKUP(B202,'ECN-ECO_DATA'!B:AB,27,FALSE)=0,"",VLOOKUP(B202,'ECN-ECO_DATA'!B:AB,27,FALSE)),"")</f>
        <v/>
      </c>
      <c r="M202" s="43" t="str">
        <f>IFERROR(VLOOKUP(B202,'ECN-ECO_DATA'!B:AE,30,FALSE),"")</f>
        <v/>
      </c>
      <c r="N202" s="59" t="str">
        <f>IFERROR(IF((VLOOKUP(B202,'ECN-ECO_DATA'!B:AD,20,FALSE)-VLOOKUP(B202,'ECN-ECO_DATA'!B:AD,18,FALSE))&gt;0,(VLOOKUP(B202,'ECN-ECO_DATA'!B:AD,20,FALSE)-VLOOKUP(B202,'ECN-ECO_DATA'!B:AD,18,FALSE)),""),"")</f>
        <v/>
      </c>
      <c r="O202" s="59"/>
      <c r="P202" s="59" t="str">
        <f>IFERROR(VLOOKUP(B202,'ECN-ECO_DATA'!B:P,13,FALSE),"")</f>
        <v/>
      </c>
      <c r="Q202" s="43" t="str">
        <f>IFERROR(VLOOKUP(B202,'ECN-ECO_DATA'!B:P,15,FALSE),"")</f>
        <v/>
      </c>
    </row>
    <row r="203" spans="3:17" x14ac:dyDescent="0.25">
      <c r="C203" s="43" t="str">
        <f>IFERROR(VLOOKUP(B203,'ECN-ECO_DATA'!B:C,2,FALSE),"")</f>
        <v/>
      </c>
      <c r="D203" s="43" t="str">
        <f>IFERROR(VLOOKUP(B203,'ECN-ECO_DATA'!B:X,23,FALSE),"")</f>
        <v/>
      </c>
      <c r="E203" s="44" t="str">
        <f>IFERROR(VLOOKUP(B203,'ECN-ECO_DATA'!B:G,5,FALSE),"")</f>
        <v/>
      </c>
      <c r="F203" s="44" t="str">
        <f>IFERROR((IF(VLOOKUP(B203,'ECN-ECO_DATA'!B:G,6,FALSE)="","",VLOOKUP(B203,'ECN-ECO_DATA'!B:G,6,FALSE))),"")</f>
        <v/>
      </c>
      <c r="H203" s="45" t="str">
        <f>IFERROR(VLOOKUP(B203,'ECN-ECO_DATA'!B:G,4,FALSE),"")</f>
        <v/>
      </c>
      <c r="I203" s="46" t="str">
        <f>IFERROR(IF(VLOOKUP(B203,'ECN-ECO_DATA'!B:G,6,FALSE)="","Not started",IF(VLOOKUP(B203,'ECN-ECO_DATA'!B:J,7,FALSE)="","Awaiting First Approval",IF(VLOOKUP(B203,'ECN-ECO_DATA'!B:J,8,FALSE)="","Awaiting Quality Check Approval",IF(VLOOKUP(B203,'ECN-ECO_DATA'!B:J,9,FALSE)="","Awaiting Last Approval",IF(VLOOKUP(B203,'ECN-ECO_DATA'!B:J,9,FALSE)&lt;&gt;"","Approved","Unknown"))))),"")</f>
        <v/>
      </c>
      <c r="K203" s="47" t="str">
        <f>IFERROR(VLOOKUP(B203,'ECN-ECO_DATA'!B:W,22,FALSE),"")</f>
        <v/>
      </c>
      <c r="L203" s="43" t="str">
        <f>IFERROR(IF(VLOOKUP(B203,'ECN-ECO_DATA'!B:AB,27,FALSE)=0,"",VLOOKUP(B203,'ECN-ECO_DATA'!B:AB,27,FALSE)),"")</f>
        <v/>
      </c>
      <c r="M203" s="43" t="str">
        <f>IFERROR(VLOOKUP(B203,'ECN-ECO_DATA'!B:AE,30,FALSE),"")</f>
        <v/>
      </c>
      <c r="N203" s="59" t="str">
        <f>IFERROR(IF((VLOOKUP(B203,'ECN-ECO_DATA'!B:AD,20,FALSE)-VLOOKUP(B203,'ECN-ECO_DATA'!B:AD,18,FALSE))&gt;0,(VLOOKUP(B203,'ECN-ECO_DATA'!B:AD,20,FALSE)-VLOOKUP(B203,'ECN-ECO_DATA'!B:AD,18,FALSE)),""),"")</f>
        <v/>
      </c>
      <c r="O203" s="59"/>
      <c r="P203" s="59" t="str">
        <f>IFERROR(VLOOKUP(B203,'ECN-ECO_DATA'!B:P,13,FALSE),"")</f>
        <v/>
      </c>
      <c r="Q203" s="43" t="str">
        <f>IFERROR(VLOOKUP(B203,'ECN-ECO_DATA'!B:P,15,FALSE),"")</f>
        <v/>
      </c>
    </row>
    <row r="204" spans="3:17" x14ac:dyDescent="0.25">
      <c r="C204" s="43" t="str">
        <f>IFERROR(VLOOKUP(B204,'ECN-ECO_DATA'!B:C,2,FALSE),"")</f>
        <v/>
      </c>
      <c r="D204" s="43" t="str">
        <f>IFERROR(VLOOKUP(B204,'ECN-ECO_DATA'!B:X,23,FALSE),"")</f>
        <v/>
      </c>
      <c r="E204" s="44" t="str">
        <f>IFERROR(VLOOKUP(B204,'ECN-ECO_DATA'!B:G,5,FALSE),"")</f>
        <v/>
      </c>
      <c r="F204" s="44" t="str">
        <f>IFERROR((IF(VLOOKUP(B204,'ECN-ECO_DATA'!B:G,6,FALSE)="","",VLOOKUP(B204,'ECN-ECO_DATA'!B:G,6,FALSE))),"")</f>
        <v/>
      </c>
      <c r="H204" s="45" t="str">
        <f>IFERROR(VLOOKUP(B204,'ECN-ECO_DATA'!B:G,4,FALSE),"")</f>
        <v/>
      </c>
      <c r="I204" s="46" t="str">
        <f>IFERROR(IF(VLOOKUP(B204,'ECN-ECO_DATA'!B:G,6,FALSE)="","Not started",IF(VLOOKUP(B204,'ECN-ECO_DATA'!B:J,7,FALSE)="","Awaiting First Approval",IF(VLOOKUP(B204,'ECN-ECO_DATA'!B:J,8,FALSE)="","Awaiting Quality Check Approval",IF(VLOOKUP(B204,'ECN-ECO_DATA'!B:J,9,FALSE)="","Awaiting Last Approval",IF(VLOOKUP(B204,'ECN-ECO_DATA'!B:J,9,FALSE)&lt;&gt;"","Approved","Unknown"))))),"")</f>
        <v/>
      </c>
      <c r="K204" s="47" t="str">
        <f>IFERROR(VLOOKUP(B204,'ECN-ECO_DATA'!B:W,22,FALSE),"")</f>
        <v/>
      </c>
      <c r="L204" s="43" t="str">
        <f>IFERROR(IF(VLOOKUP(B204,'ECN-ECO_DATA'!B:AB,27,FALSE)=0,"",VLOOKUP(B204,'ECN-ECO_DATA'!B:AB,27,FALSE)),"")</f>
        <v/>
      </c>
      <c r="M204" s="43" t="str">
        <f>IFERROR(VLOOKUP(B204,'ECN-ECO_DATA'!B:AE,30,FALSE),"")</f>
        <v/>
      </c>
      <c r="N204" s="59" t="str">
        <f>IFERROR(IF((VLOOKUP(B204,'ECN-ECO_DATA'!B:AD,20,FALSE)-VLOOKUP(B204,'ECN-ECO_DATA'!B:AD,18,FALSE))&gt;0,(VLOOKUP(B204,'ECN-ECO_DATA'!B:AD,20,FALSE)-VLOOKUP(B204,'ECN-ECO_DATA'!B:AD,18,FALSE)),""),"")</f>
        <v/>
      </c>
      <c r="O204" s="59"/>
      <c r="P204" s="59" t="str">
        <f>IFERROR(VLOOKUP(B204,'ECN-ECO_DATA'!B:P,13,FALSE),"")</f>
        <v/>
      </c>
      <c r="Q204" s="43" t="str">
        <f>IFERROR(VLOOKUP(B204,'ECN-ECO_DATA'!B:P,15,FALSE),"")</f>
        <v/>
      </c>
    </row>
    <row r="205" spans="3:17" x14ac:dyDescent="0.25">
      <c r="C205" s="43" t="str">
        <f>IFERROR(VLOOKUP(B205,'ECN-ECO_DATA'!B:C,2,FALSE),"")</f>
        <v/>
      </c>
      <c r="D205" s="43" t="str">
        <f>IFERROR(VLOOKUP(B205,'ECN-ECO_DATA'!B:X,23,FALSE),"")</f>
        <v/>
      </c>
      <c r="E205" s="44" t="str">
        <f>IFERROR(VLOOKUP(B205,'ECN-ECO_DATA'!B:G,5,FALSE),"")</f>
        <v/>
      </c>
      <c r="F205" s="44" t="str">
        <f>IFERROR((IF(VLOOKUP(B205,'ECN-ECO_DATA'!B:G,6,FALSE)="","",VLOOKUP(B205,'ECN-ECO_DATA'!B:G,6,FALSE))),"")</f>
        <v/>
      </c>
      <c r="H205" s="45" t="str">
        <f>IFERROR(VLOOKUP(B205,'ECN-ECO_DATA'!B:G,4,FALSE),"")</f>
        <v/>
      </c>
      <c r="I205" s="46" t="str">
        <f>IFERROR(IF(VLOOKUP(B205,'ECN-ECO_DATA'!B:G,6,FALSE)="","Not started",IF(VLOOKUP(B205,'ECN-ECO_DATA'!B:J,7,FALSE)="","Awaiting First Approval",IF(VLOOKUP(B205,'ECN-ECO_DATA'!B:J,8,FALSE)="","Awaiting Quality Check Approval",IF(VLOOKUP(B205,'ECN-ECO_DATA'!B:J,9,FALSE)="","Awaiting Last Approval",IF(VLOOKUP(B205,'ECN-ECO_DATA'!B:J,9,FALSE)&lt;&gt;"","Approved","Unknown"))))),"")</f>
        <v/>
      </c>
      <c r="K205" s="47" t="str">
        <f>IFERROR(VLOOKUP(B205,'ECN-ECO_DATA'!B:W,22,FALSE),"")</f>
        <v/>
      </c>
      <c r="L205" s="43" t="str">
        <f>IFERROR(IF(VLOOKUP(B205,'ECN-ECO_DATA'!B:AB,27,FALSE)=0,"",VLOOKUP(B205,'ECN-ECO_DATA'!B:AB,27,FALSE)),"")</f>
        <v/>
      </c>
      <c r="M205" s="43" t="str">
        <f>IFERROR(VLOOKUP(B205,'ECN-ECO_DATA'!B:AE,30,FALSE),"")</f>
        <v/>
      </c>
      <c r="N205" s="59" t="str">
        <f>IFERROR(IF((VLOOKUP(B205,'ECN-ECO_DATA'!B:AD,20,FALSE)-VLOOKUP(B205,'ECN-ECO_DATA'!B:AD,18,FALSE))&gt;0,(VLOOKUP(B205,'ECN-ECO_DATA'!B:AD,20,FALSE)-VLOOKUP(B205,'ECN-ECO_DATA'!B:AD,18,FALSE)),""),"")</f>
        <v/>
      </c>
      <c r="O205" s="59"/>
      <c r="P205" s="59" t="str">
        <f>IFERROR(VLOOKUP(B205,'ECN-ECO_DATA'!B:P,13,FALSE),"")</f>
        <v/>
      </c>
      <c r="Q205" s="43" t="str">
        <f>IFERROR(VLOOKUP(B205,'ECN-ECO_DATA'!B:P,15,FALSE),"")</f>
        <v/>
      </c>
    </row>
    <row r="206" spans="3:17" x14ac:dyDescent="0.25">
      <c r="C206" s="43" t="str">
        <f>IFERROR(VLOOKUP(B206,'ECN-ECO_DATA'!B:C,2,FALSE),"")</f>
        <v/>
      </c>
      <c r="D206" s="43" t="str">
        <f>IFERROR(VLOOKUP(B206,'ECN-ECO_DATA'!B:X,23,FALSE),"")</f>
        <v/>
      </c>
      <c r="E206" s="44" t="str">
        <f>IFERROR(VLOOKUP(B206,'ECN-ECO_DATA'!B:G,5,FALSE),"")</f>
        <v/>
      </c>
      <c r="F206" s="44" t="str">
        <f>IFERROR((IF(VLOOKUP(B206,'ECN-ECO_DATA'!B:G,6,FALSE)="","",VLOOKUP(B206,'ECN-ECO_DATA'!B:G,6,FALSE))),"")</f>
        <v/>
      </c>
      <c r="H206" s="45" t="str">
        <f>IFERROR(VLOOKUP(B206,'ECN-ECO_DATA'!B:G,4,FALSE),"")</f>
        <v/>
      </c>
      <c r="I206" s="46" t="str">
        <f>IFERROR(IF(VLOOKUP(B206,'ECN-ECO_DATA'!B:G,6,FALSE)="","Not started",IF(VLOOKUP(B206,'ECN-ECO_DATA'!B:J,7,FALSE)="","Awaiting First Approval",IF(VLOOKUP(B206,'ECN-ECO_DATA'!B:J,8,FALSE)="","Awaiting Quality Check Approval",IF(VLOOKUP(B206,'ECN-ECO_DATA'!B:J,9,FALSE)="","Awaiting Last Approval",IF(VLOOKUP(B206,'ECN-ECO_DATA'!B:J,9,FALSE)&lt;&gt;"","Approved","Unknown"))))),"")</f>
        <v/>
      </c>
      <c r="K206" s="47" t="str">
        <f>IFERROR(VLOOKUP(B206,'ECN-ECO_DATA'!B:W,22,FALSE),"")</f>
        <v/>
      </c>
      <c r="L206" s="43" t="str">
        <f>IFERROR(IF(VLOOKUP(B206,'ECN-ECO_DATA'!B:AB,27,FALSE)=0,"",VLOOKUP(B206,'ECN-ECO_DATA'!B:AB,27,FALSE)),"")</f>
        <v/>
      </c>
      <c r="M206" s="43" t="str">
        <f>IFERROR(VLOOKUP(B206,'ECN-ECO_DATA'!B:AE,30,FALSE),"")</f>
        <v/>
      </c>
      <c r="N206" s="59" t="str">
        <f>IFERROR(IF((VLOOKUP(B206,'ECN-ECO_DATA'!B:AD,20,FALSE)-VLOOKUP(B206,'ECN-ECO_DATA'!B:AD,18,FALSE))&gt;0,(VLOOKUP(B206,'ECN-ECO_DATA'!B:AD,20,FALSE)-VLOOKUP(B206,'ECN-ECO_DATA'!B:AD,18,FALSE)),""),"")</f>
        <v/>
      </c>
      <c r="O206" s="59"/>
      <c r="P206" s="59" t="str">
        <f>IFERROR(VLOOKUP(B206,'ECN-ECO_DATA'!B:P,13,FALSE),"")</f>
        <v/>
      </c>
      <c r="Q206" s="43" t="str">
        <f>IFERROR(VLOOKUP(B206,'ECN-ECO_DATA'!B:P,15,FALSE),"")</f>
        <v/>
      </c>
    </row>
    <row r="207" spans="3:17" x14ac:dyDescent="0.25">
      <c r="C207" s="43" t="str">
        <f>IFERROR(VLOOKUP(B207,'ECN-ECO_DATA'!B:C,2,FALSE),"")</f>
        <v/>
      </c>
      <c r="D207" s="43" t="str">
        <f>IFERROR(VLOOKUP(B207,'ECN-ECO_DATA'!B:X,23,FALSE),"")</f>
        <v/>
      </c>
      <c r="E207" s="44" t="str">
        <f>IFERROR(VLOOKUP(B207,'ECN-ECO_DATA'!B:G,5,FALSE),"")</f>
        <v/>
      </c>
      <c r="F207" s="44" t="str">
        <f>IFERROR((IF(VLOOKUP(B207,'ECN-ECO_DATA'!B:G,6,FALSE)="","",VLOOKUP(B207,'ECN-ECO_DATA'!B:G,6,FALSE))),"")</f>
        <v/>
      </c>
      <c r="H207" s="45" t="str">
        <f>IFERROR(VLOOKUP(B207,'ECN-ECO_DATA'!B:G,4,FALSE),"")</f>
        <v/>
      </c>
      <c r="I207" s="46" t="str">
        <f>IFERROR(IF(VLOOKUP(B207,'ECN-ECO_DATA'!B:G,6,FALSE)="","Not started",IF(VLOOKUP(B207,'ECN-ECO_DATA'!B:J,7,FALSE)="","Awaiting First Approval",IF(VLOOKUP(B207,'ECN-ECO_DATA'!B:J,8,FALSE)="","Awaiting Quality Check Approval",IF(VLOOKUP(B207,'ECN-ECO_DATA'!B:J,9,FALSE)="","Awaiting Last Approval",IF(VLOOKUP(B207,'ECN-ECO_DATA'!B:J,9,FALSE)&lt;&gt;"","Approved","Unknown"))))),"")</f>
        <v/>
      </c>
      <c r="K207" s="47" t="str">
        <f>IFERROR(VLOOKUP(B207,'ECN-ECO_DATA'!B:W,22,FALSE),"")</f>
        <v/>
      </c>
      <c r="L207" s="43" t="str">
        <f>IFERROR(IF(VLOOKUP(B207,'ECN-ECO_DATA'!B:AB,27,FALSE)=0,"",VLOOKUP(B207,'ECN-ECO_DATA'!B:AB,27,FALSE)),"")</f>
        <v/>
      </c>
      <c r="M207" s="43" t="str">
        <f>IFERROR(VLOOKUP(B207,'ECN-ECO_DATA'!B:AE,30,FALSE),"")</f>
        <v/>
      </c>
      <c r="N207" s="59" t="str">
        <f>IFERROR(IF((VLOOKUP(B207,'ECN-ECO_DATA'!B:AD,20,FALSE)-VLOOKUP(B207,'ECN-ECO_DATA'!B:AD,18,FALSE))&gt;0,(VLOOKUP(B207,'ECN-ECO_DATA'!B:AD,20,FALSE)-VLOOKUP(B207,'ECN-ECO_DATA'!B:AD,18,FALSE)),""),"")</f>
        <v/>
      </c>
      <c r="O207" s="59"/>
      <c r="P207" s="59" t="str">
        <f>IFERROR(VLOOKUP(B207,'ECN-ECO_DATA'!B:P,13,FALSE),"")</f>
        <v/>
      </c>
      <c r="Q207" s="43" t="str">
        <f>IFERROR(VLOOKUP(B207,'ECN-ECO_DATA'!B:P,15,FALSE),"")</f>
        <v/>
      </c>
    </row>
    <row r="208" spans="3:17" x14ac:dyDescent="0.25">
      <c r="C208" s="43" t="str">
        <f>IFERROR(VLOOKUP(B208,'ECN-ECO_DATA'!B:C,2,FALSE),"")</f>
        <v/>
      </c>
      <c r="D208" s="43" t="str">
        <f>IFERROR(VLOOKUP(B208,'ECN-ECO_DATA'!B:X,23,FALSE),"")</f>
        <v/>
      </c>
      <c r="E208" s="44" t="str">
        <f>IFERROR(VLOOKUP(B208,'ECN-ECO_DATA'!B:G,5,FALSE),"")</f>
        <v/>
      </c>
      <c r="F208" s="44" t="str">
        <f>IFERROR((IF(VLOOKUP(B208,'ECN-ECO_DATA'!B:G,6,FALSE)="","",VLOOKUP(B208,'ECN-ECO_DATA'!B:G,6,FALSE))),"")</f>
        <v/>
      </c>
      <c r="H208" s="45" t="str">
        <f>IFERROR(VLOOKUP(B208,'ECN-ECO_DATA'!B:G,4,FALSE),"")</f>
        <v/>
      </c>
      <c r="I208" s="46" t="str">
        <f>IFERROR(IF(VLOOKUP(B208,'ECN-ECO_DATA'!B:G,6,FALSE)="","Not started",IF(VLOOKUP(B208,'ECN-ECO_DATA'!B:J,7,FALSE)="","Awaiting First Approval",IF(VLOOKUP(B208,'ECN-ECO_DATA'!B:J,8,FALSE)="","Awaiting Quality Check Approval",IF(VLOOKUP(B208,'ECN-ECO_DATA'!B:J,9,FALSE)="","Awaiting Last Approval",IF(VLOOKUP(B208,'ECN-ECO_DATA'!B:J,9,FALSE)&lt;&gt;"","Approved","Unknown"))))),"")</f>
        <v/>
      </c>
      <c r="K208" s="47" t="str">
        <f>IFERROR(VLOOKUP(B208,'ECN-ECO_DATA'!B:W,22,FALSE),"")</f>
        <v/>
      </c>
      <c r="L208" s="43" t="str">
        <f>IFERROR(IF(VLOOKUP(B208,'ECN-ECO_DATA'!B:AB,27,FALSE)=0,"",VLOOKUP(B208,'ECN-ECO_DATA'!B:AB,27,FALSE)),"")</f>
        <v/>
      </c>
      <c r="M208" s="43" t="str">
        <f>IFERROR(VLOOKUP(B208,'ECN-ECO_DATA'!B:AE,30,FALSE),"")</f>
        <v/>
      </c>
      <c r="N208" s="59" t="str">
        <f>IFERROR(IF((VLOOKUP(B208,'ECN-ECO_DATA'!B:AD,20,FALSE)-VLOOKUP(B208,'ECN-ECO_DATA'!B:AD,18,FALSE))&gt;0,(VLOOKUP(B208,'ECN-ECO_DATA'!B:AD,20,FALSE)-VLOOKUP(B208,'ECN-ECO_DATA'!B:AD,18,FALSE)),""),"")</f>
        <v/>
      </c>
      <c r="O208" s="59"/>
      <c r="P208" s="59" t="str">
        <f>IFERROR(VLOOKUP(B208,'ECN-ECO_DATA'!B:P,13,FALSE),"")</f>
        <v/>
      </c>
      <c r="Q208" s="43" t="str">
        <f>IFERROR(VLOOKUP(B208,'ECN-ECO_DATA'!B:P,15,FALSE),"")</f>
        <v/>
      </c>
    </row>
    <row r="209" spans="3:17" x14ac:dyDescent="0.25">
      <c r="C209" s="43" t="str">
        <f>IFERROR(VLOOKUP(B209,'ECN-ECO_DATA'!B:C,2,FALSE),"")</f>
        <v/>
      </c>
      <c r="D209" s="43" t="str">
        <f>IFERROR(VLOOKUP(B209,'ECN-ECO_DATA'!B:X,23,FALSE),"")</f>
        <v/>
      </c>
      <c r="E209" s="44" t="str">
        <f>IFERROR(VLOOKUP(B209,'ECN-ECO_DATA'!B:G,5,FALSE),"")</f>
        <v/>
      </c>
      <c r="F209" s="44" t="str">
        <f>IFERROR((IF(VLOOKUP(B209,'ECN-ECO_DATA'!B:G,6,FALSE)="","",VLOOKUP(B209,'ECN-ECO_DATA'!B:G,6,FALSE))),"")</f>
        <v/>
      </c>
      <c r="H209" s="45" t="str">
        <f>IFERROR(VLOOKUP(B209,'ECN-ECO_DATA'!B:G,4,FALSE),"")</f>
        <v/>
      </c>
      <c r="I209" s="46" t="str">
        <f>IFERROR(IF(VLOOKUP(B209,'ECN-ECO_DATA'!B:G,6,FALSE)="","Not started",IF(VLOOKUP(B209,'ECN-ECO_DATA'!B:J,7,FALSE)="","Awaiting First Approval",IF(VLOOKUP(B209,'ECN-ECO_DATA'!B:J,8,FALSE)="","Awaiting Quality Check Approval",IF(VLOOKUP(B209,'ECN-ECO_DATA'!B:J,9,FALSE)="","Awaiting Last Approval",IF(VLOOKUP(B209,'ECN-ECO_DATA'!B:J,9,FALSE)&lt;&gt;"","Approved","Unknown"))))),"")</f>
        <v/>
      </c>
      <c r="K209" s="47" t="str">
        <f>IFERROR(VLOOKUP(B209,'ECN-ECO_DATA'!B:W,22,FALSE),"")</f>
        <v/>
      </c>
      <c r="L209" s="43" t="str">
        <f>IFERROR(IF(VLOOKUP(B209,'ECN-ECO_DATA'!B:AB,27,FALSE)=0,"",VLOOKUP(B209,'ECN-ECO_DATA'!B:AB,27,FALSE)),"")</f>
        <v/>
      </c>
      <c r="M209" s="43" t="str">
        <f>IFERROR(VLOOKUP(B209,'ECN-ECO_DATA'!B:AE,30,FALSE),"")</f>
        <v/>
      </c>
      <c r="N209" s="59" t="str">
        <f>IFERROR(IF((VLOOKUP(B209,'ECN-ECO_DATA'!B:AD,20,FALSE)-VLOOKUP(B209,'ECN-ECO_DATA'!B:AD,18,FALSE))&gt;0,(VLOOKUP(B209,'ECN-ECO_DATA'!B:AD,20,FALSE)-VLOOKUP(B209,'ECN-ECO_DATA'!B:AD,18,FALSE)),""),"")</f>
        <v/>
      </c>
      <c r="O209" s="59"/>
      <c r="P209" s="59" t="str">
        <f>IFERROR(VLOOKUP(B209,'ECN-ECO_DATA'!B:P,13,FALSE),"")</f>
        <v/>
      </c>
      <c r="Q209" s="43" t="str">
        <f>IFERROR(VLOOKUP(B209,'ECN-ECO_DATA'!B:P,15,FALSE),"")</f>
        <v/>
      </c>
    </row>
    <row r="210" spans="3:17" x14ac:dyDescent="0.25">
      <c r="C210" s="43" t="str">
        <f>IFERROR(VLOOKUP(B210,'ECN-ECO_DATA'!B:C,2,FALSE),"")</f>
        <v/>
      </c>
      <c r="D210" s="43" t="str">
        <f>IFERROR(VLOOKUP(B210,'ECN-ECO_DATA'!B:X,23,FALSE),"")</f>
        <v/>
      </c>
      <c r="E210" s="44" t="str">
        <f>IFERROR(VLOOKUP(B210,'ECN-ECO_DATA'!B:G,5,FALSE),"")</f>
        <v/>
      </c>
      <c r="F210" s="44" t="str">
        <f>IFERROR((IF(VLOOKUP(B210,'ECN-ECO_DATA'!B:G,6,FALSE)="","",VLOOKUP(B210,'ECN-ECO_DATA'!B:G,6,FALSE))),"")</f>
        <v/>
      </c>
      <c r="H210" s="45" t="str">
        <f>IFERROR(VLOOKUP(B210,'ECN-ECO_DATA'!B:G,4,FALSE),"")</f>
        <v/>
      </c>
      <c r="I210" s="46" t="str">
        <f>IFERROR(IF(VLOOKUP(B210,'ECN-ECO_DATA'!B:G,6,FALSE)="","Not started",IF(VLOOKUP(B210,'ECN-ECO_DATA'!B:J,7,FALSE)="","Awaiting First Approval",IF(VLOOKUP(B210,'ECN-ECO_DATA'!B:J,8,FALSE)="","Awaiting Quality Check Approval",IF(VLOOKUP(B210,'ECN-ECO_DATA'!B:J,9,FALSE)="","Awaiting Last Approval",IF(VLOOKUP(B210,'ECN-ECO_DATA'!B:J,9,FALSE)&lt;&gt;"","Approved","Unknown"))))),"")</f>
        <v/>
      </c>
      <c r="K210" s="47" t="str">
        <f>IFERROR(VLOOKUP(B210,'ECN-ECO_DATA'!B:W,22,FALSE),"")</f>
        <v/>
      </c>
      <c r="L210" s="43" t="str">
        <f>IFERROR(IF(VLOOKUP(B210,'ECN-ECO_DATA'!B:AB,27,FALSE)=0,"",VLOOKUP(B210,'ECN-ECO_DATA'!B:AB,27,FALSE)),"")</f>
        <v/>
      </c>
      <c r="M210" s="43" t="str">
        <f>IFERROR(VLOOKUP(B210,'ECN-ECO_DATA'!B:AE,30,FALSE),"")</f>
        <v/>
      </c>
      <c r="N210" s="59" t="str">
        <f>IFERROR(IF((VLOOKUP(B210,'ECN-ECO_DATA'!B:AD,20,FALSE)-VLOOKUP(B210,'ECN-ECO_DATA'!B:AD,18,FALSE))&gt;0,(VLOOKUP(B210,'ECN-ECO_DATA'!B:AD,20,FALSE)-VLOOKUP(B210,'ECN-ECO_DATA'!B:AD,18,FALSE)),""),"")</f>
        <v/>
      </c>
      <c r="O210" s="59"/>
      <c r="P210" s="59" t="str">
        <f>IFERROR(VLOOKUP(B210,'ECN-ECO_DATA'!B:P,13,FALSE),"")</f>
        <v/>
      </c>
      <c r="Q210" s="43" t="str">
        <f>IFERROR(VLOOKUP(B210,'ECN-ECO_DATA'!B:P,15,FALSE),"")</f>
        <v/>
      </c>
    </row>
    <row r="211" spans="3:17" x14ac:dyDescent="0.25">
      <c r="C211" s="43" t="str">
        <f>IFERROR(VLOOKUP(B211,'ECN-ECO_DATA'!B:C,2,FALSE),"")</f>
        <v/>
      </c>
      <c r="D211" s="43" t="str">
        <f>IFERROR(VLOOKUP(B211,'ECN-ECO_DATA'!B:X,23,FALSE),"")</f>
        <v/>
      </c>
      <c r="E211" s="44" t="str">
        <f>IFERROR(VLOOKUP(B211,'ECN-ECO_DATA'!B:G,5,FALSE),"")</f>
        <v/>
      </c>
      <c r="F211" s="44" t="str">
        <f>IFERROR((IF(VLOOKUP(B211,'ECN-ECO_DATA'!B:G,6,FALSE)="","",VLOOKUP(B211,'ECN-ECO_DATA'!B:G,6,FALSE))),"")</f>
        <v/>
      </c>
      <c r="H211" s="45" t="str">
        <f>IFERROR(VLOOKUP(B211,'ECN-ECO_DATA'!B:G,4,FALSE),"")</f>
        <v/>
      </c>
      <c r="I211" s="46" t="str">
        <f>IFERROR(IF(VLOOKUP(B211,'ECN-ECO_DATA'!B:G,6,FALSE)="","Not started",IF(VLOOKUP(B211,'ECN-ECO_DATA'!B:J,7,FALSE)="","Awaiting First Approval",IF(VLOOKUP(B211,'ECN-ECO_DATA'!B:J,8,FALSE)="","Awaiting Quality Check Approval",IF(VLOOKUP(B211,'ECN-ECO_DATA'!B:J,9,FALSE)="","Awaiting Last Approval",IF(VLOOKUP(B211,'ECN-ECO_DATA'!B:J,9,FALSE)&lt;&gt;"","Approved","Unknown"))))),"")</f>
        <v/>
      </c>
      <c r="K211" s="47" t="str">
        <f>IFERROR(VLOOKUP(B211,'ECN-ECO_DATA'!B:W,22,FALSE),"")</f>
        <v/>
      </c>
      <c r="L211" s="43" t="str">
        <f>IFERROR(IF(VLOOKUP(B211,'ECN-ECO_DATA'!B:AB,27,FALSE)=0,"",VLOOKUP(B211,'ECN-ECO_DATA'!B:AB,27,FALSE)),"")</f>
        <v/>
      </c>
      <c r="M211" s="43" t="str">
        <f>IFERROR(VLOOKUP(B211,'ECN-ECO_DATA'!B:AE,30,FALSE),"")</f>
        <v/>
      </c>
      <c r="N211" s="59" t="str">
        <f>IFERROR(IF((VLOOKUP(B211,'ECN-ECO_DATA'!B:AD,20,FALSE)-VLOOKUP(B211,'ECN-ECO_DATA'!B:AD,18,FALSE))&gt;0,(VLOOKUP(B211,'ECN-ECO_DATA'!B:AD,20,FALSE)-VLOOKUP(B211,'ECN-ECO_DATA'!B:AD,18,FALSE)),""),"")</f>
        <v/>
      </c>
      <c r="O211" s="59"/>
      <c r="P211" s="59" t="str">
        <f>IFERROR(VLOOKUP(B211,'ECN-ECO_DATA'!B:P,13,FALSE),"")</f>
        <v/>
      </c>
      <c r="Q211" s="43" t="str">
        <f>IFERROR(VLOOKUP(B211,'ECN-ECO_DATA'!B:P,15,FALSE),"")</f>
        <v/>
      </c>
    </row>
    <row r="212" spans="3:17" x14ac:dyDescent="0.25">
      <c r="C212" s="43" t="str">
        <f>IFERROR(VLOOKUP(B212,'ECN-ECO_DATA'!B:C,2,FALSE),"")</f>
        <v/>
      </c>
      <c r="D212" s="43" t="str">
        <f>IFERROR(VLOOKUP(B212,'ECN-ECO_DATA'!B:X,23,FALSE),"")</f>
        <v/>
      </c>
      <c r="E212" s="44" t="str">
        <f>IFERROR(VLOOKUP(B212,'ECN-ECO_DATA'!B:G,5,FALSE),"")</f>
        <v/>
      </c>
      <c r="F212" s="44" t="str">
        <f>IFERROR((IF(VLOOKUP(B212,'ECN-ECO_DATA'!B:G,6,FALSE)="","",VLOOKUP(B212,'ECN-ECO_DATA'!B:G,6,FALSE))),"")</f>
        <v/>
      </c>
      <c r="H212" s="45" t="str">
        <f>IFERROR(VLOOKUP(B212,'ECN-ECO_DATA'!B:G,4,FALSE),"")</f>
        <v/>
      </c>
      <c r="I212" s="46" t="str">
        <f>IFERROR(IF(VLOOKUP(B212,'ECN-ECO_DATA'!B:G,6,FALSE)="","Not started",IF(VLOOKUP(B212,'ECN-ECO_DATA'!B:J,7,FALSE)="","Awaiting First Approval",IF(VLOOKUP(B212,'ECN-ECO_DATA'!B:J,8,FALSE)="","Awaiting Quality Check Approval",IF(VLOOKUP(B212,'ECN-ECO_DATA'!B:J,9,FALSE)="","Awaiting Last Approval",IF(VLOOKUP(B212,'ECN-ECO_DATA'!B:J,9,FALSE)&lt;&gt;"","Approved","Unknown"))))),"")</f>
        <v/>
      </c>
      <c r="K212" s="47" t="str">
        <f>IFERROR(VLOOKUP(B212,'ECN-ECO_DATA'!B:W,22,FALSE),"")</f>
        <v/>
      </c>
      <c r="L212" s="43" t="str">
        <f>IFERROR(IF(VLOOKUP(B212,'ECN-ECO_DATA'!B:AB,27,FALSE)=0,"",VLOOKUP(B212,'ECN-ECO_DATA'!B:AB,27,FALSE)),"")</f>
        <v/>
      </c>
      <c r="M212" s="43" t="str">
        <f>IFERROR(VLOOKUP(B212,'ECN-ECO_DATA'!B:AE,30,FALSE),"")</f>
        <v/>
      </c>
      <c r="N212" s="59" t="str">
        <f>IFERROR(IF((VLOOKUP(B212,'ECN-ECO_DATA'!B:AD,20,FALSE)-VLOOKUP(B212,'ECN-ECO_DATA'!B:AD,18,FALSE))&gt;0,(VLOOKUP(B212,'ECN-ECO_DATA'!B:AD,20,FALSE)-VLOOKUP(B212,'ECN-ECO_DATA'!B:AD,18,FALSE)),""),"")</f>
        <v/>
      </c>
      <c r="O212" s="59"/>
      <c r="P212" s="59" t="str">
        <f>IFERROR(VLOOKUP(B212,'ECN-ECO_DATA'!B:P,13,FALSE),"")</f>
        <v/>
      </c>
      <c r="Q212" s="43" t="str">
        <f>IFERROR(VLOOKUP(B212,'ECN-ECO_DATA'!B:P,15,FALSE),"")</f>
        <v/>
      </c>
    </row>
    <row r="213" spans="3:17" x14ac:dyDescent="0.25">
      <c r="C213" s="43" t="str">
        <f>IFERROR(VLOOKUP(B213,'ECN-ECO_DATA'!B:C,2,FALSE),"")</f>
        <v/>
      </c>
      <c r="D213" s="43" t="str">
        <f>IFERROR(VLOOKUP(B213,'ECN-ECO_DATA'!B:X,23,FALSE),"")</f>
        <v/>
      </c>
      <c r="E213" s="44" t="str">
        <f>IFERROR(VLOOKUP(B213,'ECN-ECO_DATA'!B:G,5,FALSE),"")</f>
        <v/>
      </c>
      <c r="F213" s="44" t="str">
        <f>IFERROR((IF(VLOOKUP(B213,'ECN-ECO_DATA'!B:G,6,FALSE)="","",VLOOKUP(B213,'ECN-ECO_DATA'!B:G,6,FALSE))),"")</f>
        <v/>
      </c>
      <c r="H213" s="45" t="str">
        <f>IFERROR(VLOOKUP(B213,'ECN-ECO_DATA'!B:G,4,FALSE),"")</f>
        <v/>
      </c>
      <c r="I213" s="46" t="str">
        <f>IFERROR(IF(VLOOKUP(B213,'ECN-ECO_DATA'!B:G,6,FALSE)="","Not started",IF(VLOOKUP(B213,'ECN-ECO_DATA'!B:J,7,FALSE)="","Awaiting First Approval",IF(VLOOKUP(B213,'ECN-ECO_DATA'!B:J,8,FALSE)="","Awaiting Quality Check Approval",IF(VLOOKUP(B213,'ECN-ECO_DATA'!B:J,9,FALSE)="","Awaiting Last Approval",IF(VLOOKUP(B213,'ECN-ECO_DATA'!B:J,9,FALSE)&lt;&gt;"","Approved","Unknown"))))),"")</f>
        <v/>
      </c>
      <c r="K213" s="47" t="str">
        <f>IFERROR(VLOOKUP(B213,'ECN-ECO_DATA'!B:W,22,FALSE),"")</f>
        <v/>
      </c>
      <c r="L213" s="43" t="str">
        <f>IFERROR(IF(VLOOKUP(B213,'ECN-ECO_DATA'!B:AB,27,FALSE)=0,"",VLOOKUP(B213,'ECN-ECO_DATA'!B:AB,27,FALSE)),"")</f>
        <v/>
      </c>
      <c r="M213" s="43" t="str">
        <f>IFERROR(VLOOKUP(B213,'ECN-ECO_DATA'!B:AE,30,FALSE),"")</f>
        <v/>
      </c>
      <c r="N213" s="59" t="str">
        <f>IFERROR(IF((VLOOKUP(B213,'ECN-ECO_DATA'!B:AD,20,FALSE)-VLOOKUP(B213,'ECN-ECO_DATA'!B:AD,18,FALSE))&gt;0,(VLOOKUP(B213,'ECN-ECO_DATA'!B:AD,20,FALSE)-VLOOKUP(B213,'ECN-ECO_DATA'!B:AD,18,FALSE)),""),"")</f>
        <v/>
      </c>
      <c r="O213" s="59"/>
      <c r="P213" s="59" t="str">
        <f>IFERROR(VLOOKUP(B213,'ECN-ECO_DATA'!B:P,13,FALSE),"")</f>
        <v/>
      </c>
      <c r="Q213" s="43" t="str">
        <f>IFERROR(VLOOKUP(B213,'ECN-ECO_DATA'!B:P,15,FALSE),"")</f>
        <v/>
      </c>
    </row>
    <row r="214" spans="3:17" x14ac:dyDescent="0.25">
      <c r="C214" s="43" t="str">
        <f>IFERROR(VLOOKUP(B214,'ECN-ECO_DATA'!B:C,2,FALSE),"")</f>
        <v/>
      </c>
      <c r="D214" s="43" t="str">
        <f>IFERROR(VLOOKUP(B214,'ECN-ECO_DATA'!B:X,23,FALSE),"")</f>
        <v/>
      </c>
      <c r="E214" s="44" t="str">
        <f>IFERROR(VLOOKUP(B214,'ECN-ECO_DATA'!B:G,5,FALSE),"")</f>
        <v/>
      </c>
      <c r="F214" s="44" t="str">
        <f>IFERROR((IF(VLOOKUP(B214,'ECN-ECO_DATA'!B:G,6,FALSE)="","",VLOOKUP(B214,'ECN-ECO_DATA'!B:G,6,FALSE))),"")</f>
        <v/>
      </c>
      <c r="H214" s="45" t="str">
        <f>IFERROR(VLOOKUP(B214,'ECN-ECO_DATA'!B:G,4,FALSE),"")</f>
        <v/>
      </c>
      <c r="I214" s="46" t="str">
        <f>IFERROR(IF(VLOOKUP(B214,'ECN-ECO_DATA'!B:G,6,FALSE)="","Not started",IF(VLOOKUP(B214,'ECN-ECO_DATA'!B:J,7,FALSE)="","Awaiting First Approval",IF(VLOOKUP(B214,'ECN-ECO_DATA'!B:J,8,FALSE)="","Awaiting Quality Check Approval",IF(VLOOKUP(B214,'ECN-ECO_DATA'!B:J,9,FALSE)="","Awaiting Last Approval",IF(VLOOKUP(B214,'ECN-ECO_DATA'!B:J,9,FALSE)&lt;&gt;"","Approved","Unknown"))))),"")</f>
        <v/>
      </c>
      <c r="K214" s="47" t="str">
        <f>IFERROR(VLOOKUP(B214,'ECN-ECO_DATA'!B:W,22,FALSE),"")</f>
        <v/>
      </c>
      <c r="L214" s="43" t="str">
        <f>IFERROR(IF(VLOOKUP(B214,'ECN-ECO_DATA'!B:AB,27,FALSE)=0,"",VLOOKUP(B214,'ECN-ECO_DATA'!B:AB,27,FALSE)),"")</f>
        <v/>
      </c>
      <c r="M214" s="43" t="str">
        <f>IFERROR(VLOOKUP(B214,'ECN-ECO_DATA'!B:AE,30,FALSE),"")</f>
        <v/>
      </c>
      <c r="N214" s="59" t="str">
        <f>IFERROR(IF((VLOOKUP(B214,'ECN-ECO_DATA'!B:AD,20,FALSE)-VLOOKUP(B214,'ECN-ECO_DATA'!B:AD,18,FALSE))&gt;0,(VLOOKUP(B214,'ECN-ECO_DATA'!B:AD,20,FALSE)-VLOOKUP(B214,'ECN-ECO_DATA'!B:AD,18,FALSE)),""),"")</f>
        <v/>
      </c>
      <c r="O214" s="59"/>
      <c r="P214" s="59" t="str">
        <f>IFERROR(VLOOKUP(B214,'ECN-ECO_DATA'!B:P,13,FALSE),"")</f>
        <v/>
      </c>
      <c r="Q214" s="43" t="str">
        <f>IFERROR(VLOOKUP(B214,'ECN-ECO_DATA'!B:P,15,FALSE),"")</f>
        <v/>
      </c>
    </row>
    <row r="215" spans="3:17" x14ac:dyDescent="0.25">
      <c r="C215" s="43" t="str">
        <f>IFERROR(VLOOKUP(B215,'ECN-ECO_DATA'!B:C,2,FALSE),"")</f>
        <v/>
      </c>
      <c r="D215" s="43" t="str">
        <f>IFERROR(VLOOKUP(B215,'ECN-ECO_DATA'!B:X,23,FALSE),"")</f>
        <v/>
      </c>
      <c r="E215" s="44" t="str">
        <f>IFERROR(VLOOKUP(B215,'ECN-ECO_DATA'!B:G,5,FALSE),"")</f>
        <v/>
      </c>
      <c r="F215" s="44" t="str">
        <f>IFERROR((IF(VLOOKUP(B215,'ECN-ECO_DATA'!B:G,6,FALSE)="","",VLOOKUP(B215,'ECN-ECO_DATA'!B:G,6,FALSE))),"")</f>
        <v/>
      </c>
      <c r="H215" s="45" t="str">
        <f>IFERROR(VLOOKUP(B215,'ECN-ECO_DATA'!B:G,4,FALSE),"")</f>
        <v/>
      </c>
      <c r="I215" s="46" t="str">
        <f>IFERROR(IF(VLOOKUP(B215,'ECN-ECO_DATA'!B:G,6,FALSE)="","Not started",IF(VLOOKUP(B215,'ECN-ECO_DATA'!B:J,7,FALSE)="","Awaiting First Approval",IF(VLOOKUP(B215,'ECN-ECO_DATA'!B:J,8,FALSE)="","Awaiting Quality Check Approval",IF(VLOOKUP(B215,'ECN-ECO_DATA'!B:J,9,FALSE)="","Awaiting Last Approval",IF(VLOOKUP(B215,'ECN-ECO_DATA'!B:J,9,FALSE)&lt;&gt;"","Approved","Unknown"))))),"")</f>
        <v/>
      </c>
      <c r="K215" s="47" t="str">
        <f>IFERROR(VLOOKUP(B215,'ECN-ECO_DATA'!B:W,22,FALSE),"")</f>
        <v/>
      </c>
      <c r="L215" s="43" t="str">
        <f>IFERROR(IF(VLOOKUP(B215,'ECN-ECO_DATA'!B:AB,27,FALSE)=0,"",VLOOKUP(B215,'ECN-ECO_DATA'!B:AB,27,FALSE)),"")</f>
        <v/>
      </c>
      <c r="M215" s="43" t="str">
        <f>IFERROR(VLOOKUP(B215,'ECN-ECO_DATA'!B:AE,30,FALSE),"")</f>
        <v/>
      </c>
      <c r="N215" s="59" t="str">
        <f>IFERROR(IF((VLOOKUP(B215,'ECN-ECO_DATA'!B:AD,20,FALSE)-VLOOKUP(B215,'ECN-ECO_DATA'!B:AD,18,FALSE))&gt;0,(VLOOKUP(B215,'ECN-ECO_DATA'!B:AD,20,FALSE)-VLOOKUP(B215,'ECN-ECO_DATA'!B:AD,18,FALSE)),""),"")</f>
        <v/>
      </c>
      <c r="O215" s="59"/>
      <c r="P215" s="59" t="str">
        <f>IFERROR(VLOOKUP(B215,'ECN-ECO_DATA'!B:P,13,FALSE),"")</f>
        <v/>
      </c>
      <c r="Q215" s="43" t="str">
        <f>IFERROR(VLOOKUP(B215,'ECN-ECO_DATA'!B:P,15,FALSE),"")</f>
        <v/>
      </c>
    </row>
    <row r="216" spans="3:17" x14ac:dyDescent="0.25">
      <c r="C216" s="43" t="str">
        <f>IFERROR(VLOOKUP(B216,'ECN-ECO_DATA'!B:C,2,FALSE),"")</f>
        <v/>
      </c>
      <c r="D216" s="43" t="str">
        <f>IFERROR(VLOOKUP(B216,'ECN-ECO_DATA'!B:X,23,FALSE),"")</f>
        <v/>
      </c>
      <c r="E216" s="44" t="str">
        <f>IFERROR(VLOOKUP(B216,'ECN-ECO_DATA'!B:G,5,FALSE),"")</f>
        <v/>
      </c>
      <c r="F216" s="44" t="str">
        <f>IFERROR((IF(VLOOKUP(B216,'ECN-ECO_DATA'!B:G,6,FALSE)="","",VLOOKUP(B216,'ECN-ECO_DATA'!B:G,6,FALSE))),"")</f>
        <v/>
      </c>
      <c r="H216" s="45" t="str">
        <f>IFERROR(VLOOKUP(B216,'ECN-ECO_DATA'!B:G,4,FALSE),"")</f>
        <v/>
      </c>
      <c r="I216" s="46" t="str">
        <f>IFERROR(IF(VLOOKUP(B216,'ECN-ECO_DATA'!B:G,6,FALSE)="","Not started",IF(VLOOKUP(B216,'ECN-ECO_DATA'!B:J,7,FALSE)="","Awaiting First Approval",IF(VLOOKUP(B216,'ECN-ECO_DATA'!B:J,8,FALSE)="","Awaiting Quality Check Approval",IF(VLOOKUP(B216,'ECN-ECO_DATA'!B:J,9,FALSE)="","Awaiting Last Approval",IF(VLOOKUP(B216,'ECN-ECO_DATA'!B:J,9,FALSE)&lt;&gt;"","Approved","Unknown"))))),"")</f>
        <v/>
      </c>
      <c r="K216" s="47" t="str">
        <f>IFERROR(VLOOKUP(B216,'ECN-ECO_DATA'!B:W,22,FALSE),"")</f>
        <v/>
      </c>
      <c r="L216" s="43" t="str">
        <f>IFERROR(IF(VLOOKUP(B216,'ECN-ECO_DATA'!B:AB,27,FALSE)=0,"",VLOOKUP(B216,'ECN-ECO_DATA'!B:AB,27,FALSE)),"")</f>
        <v/>
      </c>
      <c r="M216" s="43" t="str">
        <f>IFERROR(VLOOKUP(B216,'ECN-ECO_DATA'!B:AE,30,FALSE),"")</f>
        <v/>
      </c>
      <c r="N216" s="59" t="str">
        <f>IFERROR(IF((VLOOKUP(B216,'ECN-ECO_DATA'!B:AD,20,FALSE)-VLOOKUP(B216,'ECN-ECO_DATA'!B:AD,18,FALSE))&gt;0,(VLOOKUP(B216,'ECN-ECO_DATA'!B:AD,20,FALSE)-VLOOKUP(B216,'ECN-ECO_DATA'!B:AD,18,FALSE)),""),"")</f>
        <v/>
      </c>
      <c r="O216" s="59"/>
      <c r="P216" s="59" t="str">
        <f>IFERROR(VLOOKUP(B216,'ECN-ECO_DATA'!B:P,13,FALSE),"")</f>
        <v/>
      </c>
      <c r="Q216" s="43" t="str">
        <f>IFERROR(VLOOKUP(B216,'ECN-ECO_DATA'!B:P,15,FALSE),"")</f>
        <v/>
      </c>
    </row>
    <row r="217" spans="3:17" x14ac:dyDescent="0.25">
      <c r="C217" s="43" t="str">
        <f>IFERROR(VLOOKUP(B217,'ECN-ECO_DATA'!B:C,2,FALSE),"")</f>
        <v/>
      </c>
      <c r="D217" s="43" t="str">
        <f>IFERROR(VLOOKUP(B217,'ECN-ECO_DATA'!B:X,23,FALSE),"")</f>
        <v/>
      </c>
      <c r="E217" s="44" t="str">
        <f>IFERROR(VLOOKUP(B217,'ECN-ECO_DATA'!B:G,5,FALSE),"")</f>
        <v/>
      </c>
      <c r="F217" s="44" t="str">
        <f>IFERROR((IF(VLOOKUP(B217,'ECN-ECO_DATA'!B:G,6,FALSE)="","",VLOOKUP(B217,'ECN-ECO_DATA'!B:G,6,FALSE))),"")</f>
        <v/>
      </c>
      <c r="H217" s="45" t="str">
        <f>IFERROR(VLOOKUP(B217,'ECN-ECO_DATA'!B:G,4,FALSE),"")</f>
        <v/>
      </c>
      <c r="I217" s="46" t="str">
        <f>IFERROR(IF(VLOOKUP(B217,'ECN-ECO_DATA'!B:G,6,FALSE)="","Not started",IF(VLOOKUP(B217,'ECN-ECO_DATA'!B:J,7,FALSE)="","Awaiting First Approval",IF(VLOOKUP(B217,'ECN-ECO_DATA'!B:J,8,FALSE)="","Awaiting Quality Check Approval",IF(VLOOKUP(B217,'ECN-ECO_DATA'!B:J,9,FALSE)="","Awaiting Last Approval",IF(VLOOKUP(B217,'ECN-ECO_DATA'!B:J,9,FALSE)&lt;&gt;"","Approved","Unknown"))))),"")</f>
        <v/>
      </c>
      <c r="K217" s="47" t="str">
        <f>IFERROR(VLOOKUP(B217,'ECN-ECO_DATA'!B:W,22,FALSE),"")</f>
        <v/>
      </c>
      <c r="L217" s="43" t="str">
        <f>IFERROR(IF(VLOOKUP(B217,'ECN-ECO_DATA'!B:AB,27,FALSE)=0,"",VLOOKUP(B217,'ECN-ECO_DATA'!B:AB,27,FALSE)),"")</f>
        <v/>
      </c>
      <c r="M217" s="43" t="str">
        <f>IFERROR(VLOOKUP(B217,'ECN-ECO_DATA'!B:AE,30,FALSE),"")</f>
        <v/>
      </c>
      <c r="N217" s="59" t="str">
        <f>IFERROR(IF((VLOOKUP(B217,'ECN-ECO_DATA'!B:AD,20,FALSE)-VLOOKUP(B217,'ECN-ECO_DATA'!B:AD,18,FALSE))&gt;0,(VLOOKUP(B217,'ECN-ECO_DATA'!B:AD,20,FALSE)-VLOOKUP(B217,'ECN-ECO_DATA'!B:AD,18,FALSE)),""),"")</f>
        <v/>
      </c>
      <c r="O217" s="59"/>
      <c r="P217" s="59" t="str">
        <f>IFERROR(VLOOKUP(B217,'ECN-ECO_DATA'!B:P,13,FALSE),"")</f>
        <v/>
      </c>
      <c r="Q217" s="43" t="str">
        <f>IFERROR(VLOOKUP(B217,'ECN-ECO_DATA'!B:P,15,FALSE),"")</f>
        <v/>
      </c>
    </row>
    <row r="218" spans="3:17" x14ac:dyDescent="0.25">
      <c r="C218" s="43" t="str">
        <f>IFERROR(VLOOKUP(B218,'ECN-ECO_DATA'!B:C,2,FALSE),"")</f>
        <v/>
      </c>
      <c r="D218" s="43" t="str">
        <f>IFERROR(VLOOKUP(B218,'ECN-ECO_DATA'!B:X,23,FALSE),"")</f>
        <v/>
      </c>
      <c r="E218" s="44" t="str">
        <f>IFERROR(VLOOKUP(B218,'ECN-ECO_DATA'!B:G,5,FALSE),"")</f>
        <v/>
      </c>
      <c r="F218" s="44" t="str">
        <f>IFERROR((IF(VLOOKUP(B218,'ECN-ECO_DATA'!B:G,6,FALSE)="","",VLOOKUP(B218,'ECN-ECO_DATA'!B:G,6,FALSE))),"")</f>
        <v/>
      </c>
      <c r="H218" s="45" t="str">
        <f>IFERROR(VLOOKUP(B218,'ECN-ECO_DATA'!B:G,4,FALSE),"")</f>
        <v/>
      </c>
      <c r="I218" s="46" t="str">
        <f>IFERROR(IF(VLOOKUP(B218,'ECN-ECO_DATA'!B:G,6,FALSE)="","Not started",IF(VLOOKUP(B218,'ECN-ECO_DATA'!B:J,7,FALSE)="","Awaiting First Approval",IF(VLOOKUP(B218,'ECN-ECO_DATA'!B:J,8,FALSE)="","Awaiting Quality Check Approval",IF(VLOOKUP(B218,'ECN-ECO_DATA'!B:J,9,FALSE)="","Awaiting Last Approval",IF(VLOOKUP(B218,'ECN-ECO_DATA'!B:J,9,FALSE)&lt;&gt;"","Approved","Unknown"))))),"")</f>
        <v/>
      </c>
      <c r="K218" s="47" t="str">
        <f>IFERROR(VLOOKUP(B218,'ECN-ECO_DATA'!B:W,22,FALSE),"")</f>
        <v/>
      </c>
      <c r="L218" s="43" t="str">
        <f>IFERROR(IF(VLOOKUP(B218,'ECN-ECO_DATA'!B:AB,27,FALSE)=0,"",VLOOKUP(B218,'ECN-ECO_DATA'!B:AB,27,FALSE)),"")</f>
        <v/>
      </c>
      <c r="M218" s="43" t="str">
        <f>IFERROR(VLOOKUP(B218,'ECN-ECO_DATA'!B:AE,30,FALSE),"")</f>
        <v/>
      </c>
      <c r="N218" s="59" t="str">
        <f>IFERROR(IF((VLOOKUP(B218,'ECN-ECO_DATA'!B:AD,20,FALSE)-VLOOKUP(B218,'ECN-ECO_DATA'!B:AD,18,FALSE))&gt;0,(VLOOKUP(B218,'ECN-ECO_DATA'!B:AD,20,FALSE)-VLOOKUP(B218,'ECN-ECO_DATA'!B:AD,18,FALSE)),""),"")</f>
        <v/>
      </c>
      <c r="O218" s="59"/>
      <c r="P218" s="59" t="str">
        <f>IFERROR(VLOOKUP(B218,'ECN-ECO_DATA'!B:P,13,FALSE),"")</f>
        <v/>
      </c>
      <c r="Q218" s="43" t="str">
        <f>IFERROR(VLOOKUP(B218,'ECN-ECO_DATA'!B:P,15,FALSE),"")</f>
        <v/>
      </c>
    </row>
    <row r="219" spans="3:17" x14ac:dyDescent="0.25">
      <c r="C219" s="43" t="str">
        <f>IFERROR(VLOOKUP(B219,'ECN-ECO_DATA'!B:C,2,FALSE),"")</f>
        <v/>
      </c>
      <c r="D219" s="43" t="str">
        <f>IFERROR(VLOOKUP(B219,'ECN-ECO_DATA'!B:X,23,FALSE),"")</f>
        <v/>
      </c>
      <c r="E219" s="44" t="str">
        <f>IFERROR(VLOOKUP(B219,'ECN-ECO_DATA'!B:G,5,FALSE),"")</f>
        <v/>
      </c>
      <c r="F219" s="44" t="str">
        <f>IFERROR((IF(VLOOKUP(B219,'ECN-ECO_DATA'!B:G,6,FALSE)="","",VLOOKUP(B219,'ECN-ECO_DATA'!B:G,6,FALSE))),"")</f>
        <v/>
      </c>
      <c r="H219" s="45" t="str">
        <f>IFERROR(VLOOKUP(B219,'ECN-ECO_DATA'!B:G,4,FALSE),"")</f>
        <v/>
      </c>
      <c r="I219" s="46" t="str">
        <f>IFERROR(IF(VLOOKUP(B219,'ECN-ECO_DATA'!B:G,6,FALSE)="","Not started",IF(VLOOKUP(B219,'ECN-ECO_DATA'!B:J,7,FALSE)="","Awaiting First Approval",IF(VLOOKUP(B219,'ECN-ECO_DATA'!B:J,8,FALSE)="","Awaiting Quality Check Approval",IF(VLOOKUP(B219,'ECN-ECO_DATA'!B:J,9,FALSE)="","Awaiting Last Approval",IF(VLOOKUP(B219,'ECN-ECO_DATA'!B:J,9,FALSE)&lt;&gt;"","Approved","Unknown"))))),"")</f>
        <v/>
      </c>
      <c r="K219" s="47" t="str">
        <f>IFERROR(VLOOKUP(B219,'ECN-ECO_DATA'!B:W,22,FALSE),"")</f>
        <v/>
      </c>
      <c r="L219" s="43" t="str">
        <f>IFERROR(IF(VLOOKUP(B219,'ECN-ECO_DATA'!B:AB,27,FALSE)=0,"",VLOOKUP(B219,'ECN-ECO_DATA'!B:AB,27,FALSE)),"")</f>
        <v/>
      </c>
      <c r="M219" s="43" t="str">
        <f>IFERROR(VLOOKUP(B219,'ECN-ECO_DATA'!B:AE,30,FALSE),"")</f>
        <v/>
      </c>
      <c r="N219" s="59" t="str">
        <f>IFERROR(IF((VLOOKUP(B219,'ECN-ECO_DATA'!B:AD,20,FALSE)-VLOOKUP(B219,'ECN-ECO_DATA'!B:AD,18,FALSE))&gt;0,(VLOOKUP(B219,'ECN-ECO_DATA'!B:AD,20,FALSE)-VLOOKUP(B219,'ECN-ECO_DATA'!B:AD,18,FALSE)),""),"")</f>
        <v/>
      </c>
      <c r="O219" s="59"/>
      <c r="P219" s="59" t="str">
        <f>IFERROR(VLOOKUP(B219,'ECN-ECO_DATA'!B:P,13,FALSE),"")</f>
        <v/>
      </c>
      <c r="Q219" s="43" t="str">
        <f>IFERROR(VLOOKUP(B219,'ECN-ECO_DATA'!B:P,15,FALSE),"")</f>
        <v/>
      </c>
    </row>
    <row r="220" spans="3:17" x14ac:dyDescent="0.25">
      <c r="C220" s="43" t="str">
        <f>IFERROR(VLOOKUP(B220,'ECN-ECO_DATA'!B:C,2,FALSE),"")</f>
        <v/>
      </c>
      <c r="D220" s="43" t="str">
        <f>IFERROR(VLOOKUP(B220,'ECN-ECO_DATA'!B:X,23,FALSE),"")</f>
        <v/>
      </c>
      <c r="E220" s="44" t="str">
        <f>IFERROR(VLOOKUP(B220,'ECN-ECO_DATA'!B:G,5,FALSE),"")</f>
        <v/>
      </c>
      <c r="F220" s="44" t="str">
        <f>IFERROR((IF(VLOOKUP(B220,'ECN-ECO_DATA'!B:G,6,FALSE)="","",VLOOKUP(B220,'ECN-ECO_DATA'!B:G,6,FALSE))),"")</f>
        <v/>
      </c>
      <c r="H220" s="45" t="str">
        <f>IFERROR(VLOOKUP(B220,'ECN-ECO_DATA'!B:G,4,FALSE),"")</f>
        <v/>
      </c>
      <c r="I220" s="46" t="str">
        <f>IFERROR(IF(VLOOKUP(B220,'ECN-ECO_DATA'!B:G,6,FALSE)="","Not started",IF(VLOOKUP(B220,'ECN-ECO_DATA'!B:J,7,FALSE)="","Awaiting First Approval",IF(VLOOKUP(B220,'ECN-ECO_DATA'!B:J,8,FALSE)="","Awaiting Quality Check Approval",IF(VLOOKUP(B220,'ECN-ECO_DATA'!B:J,9,FALSE)="","Awaiting Last Approval",IF(VLOOKUP(B220,'ECN-ECO_DATA'!B:J,9,FALSE)&lt;&gt;"","Approved","Unknown"))))),"")</f>
        <v/>
      </c>
      <c r="K220" s="47" t="str">
        <f>IFERROR(VLOOKUP(B220,'ECN-ECO_DATA'!B:W,22,FALSE),"")</f>
        <v/>
      </c>
      <c r="L220" s="43" t="str">
        <f>IFERROR(IF(VLOOKUP(B220,'ECN-ECO_DATA'!B:AB,27,FALSE)=0,"",VLOOKUP(B220,'ECN-ECO_DATA'!B:AB,27,FALSE)),"")</f>
        <v/>
      </c>
      <c r="M220" s="43" t="str">
        <f>IFERROR(VLOOKUP(B220,'ECN-ECO_DATA'!B:AE,30,FALSE),"")</f>
        <v/>
      </c>
      <c r="N220" s="59" t="str">
        <f>IFERROR(IF((VLOOKUP(B220,'ECN-ECO_DATA'!B:AD,20,FALSE)-VLOOKUP(B220,'ECN-ECO_DATA'!B:AD,18,FALSE))&gt;0,(VLOOKUP(B220,'ECN-ECO_DATA'!B:AD,20,FALSE)-VLOOKUP(B220,'ECN-ECO_DATA'!B:AD,18,FALSE)),""),"")</f>
        <v/>
      </c>
      <c r="O220" s="59"/>
      <c r="P220" s="59" t="str">
        <f>IFERROR(VLOOKUP(B220,'ECN-ECO_DATA'!B:P,13,FALSE),"")</f>
        <v/>
      </c>
      <c r="Q220" s="43" t="str">
        <f>IFERROR(VLOOKUP(B220,'ECN-ECO_DATA'!B:P,15,FALSE),"")</f>
        <v/>
      </c>
    </row>
    <row r="221" spans="3:17" x14ac:dyDescent="0.25">
      <c r="C221" s="43" t="str">
        <f>IFERROR(VLOOKUP(B221,'ECN-ECO_DATA'!B:C,2,FALSE),"")</f>
        <v/>
      </c>
      <c r="D221" s="43" t="str">
        <f>IFERROR(VLOOKUP(B221,'ECN-ECO_DATA'!B:X,23,FALSE),"")</f>
        <v/>
      </c>
      <c r="E221" s="44" t="str">
        <f>IFERROR(VLOOKUP(B221,'ECN-ECO_DATA'!B:G,5,FALSE),"")</f>
        <v/>
      </c>
      <c r="F221" s="44" t="str">
        <f>IFERROR((IF(VLOOKUP(B221,'ECN-ECO_DATA'!B:G,6,FALSE)="","",VLOOKUP(B221,'ECN-ECO_DATA'!B:G,6,FALSE))),"")</f>
        <v/>
      </c>
      <c r="H221" s="45" t="str">
        <f>IFERROR(VLOOKUP(B221,'ECN-ECO_DATA'!B:G,4,FALSE),"")</f>
        <v/>
      </c>
      <c r="I221" s="46" t="str">
        <f>IFERROR(IF(VLOOKUP(B221,'ECN-ECO_DATA'!B:G,6,FALSE)="","Not started",IF(VLOOKUP(B221,'ECN-ECO_DATA'!B:J,7,FALSE)="","Awaiting First Approval",IF(VLOOKUP(B221,'ECN-ECO_DATA'!B:J,8,FALSE)="","Awaiting Quality Check Approval",IF(VLOOKUP(B221,'ECN-ECO_DATA'!B:J,9,FALSE)="","Awaiting Last Approval",IF(VLOOKUP(B221,'ECN-ECO_DATA'!B:J,9,FALSE)&lt;&gt;"","Approved","Unknown"))))),"")</f>
        <v/>
      </c>
      <c r="K221" s="47" t="str">
        <f>IFERROR(VLOOKUP(B221,'ECN-ECO_DATA'!B:W,22,FALSE),"")</f>
        <v/>
      </c>
      <c r="L221" s="43" t="str">
        <f>IFERROR(IF(VLOOKUP(B221,'ECN-ECO_DATA'!B:AB,27,FALSE)=0,"",VLOOKUP(B221,'ECN-ECO_DATA'!B:AB,27,FALSE)),"")</f>
        <v/>
      </c>
      <c r="M221" s="43" t="str">
        <f>IFERROR(VLOOKUP(B221,'ECN-ECO_DATA'!B:AE,30,FALSE),"")</f>
        <v/>
      </c>
      <c r="N221" s="59" t="str">
        <f>IFERROR(IF((VLOOKUP(B221,'ECN-ECO_DATA'!B:AD,20,FALSE)-VLOOKUP(B221,'ECN-ECO_DATA'!B:AD,18,FALSE))&gt;0,(VLOOKUP(B221,'ECN-ECO_DATA'!B:AD,20,FALSE)-VLOOKUP(B221,'ECN-ECO_DATA'!B:AD,18,FALSE)),""),"")</f>
        <v/>
      </c>
      <c r="O221" s="59"/>
      <c r="P221" s="59" t="str">
        <f>IFERROR(VLOOKUP(B221,'ECN-ECO_DATA'!B:P,13,FALSE),"")</f>
        <v/>
      </c>
      <c r="Q221" s="43" t="str">
        <f>IFERROR(VLOOKUP(B221,'ECN-ECO_DATA'!B:P,15,FALSE),"")</f>
        <v/>
      </c>
    </row>
    <row r="222" spans="3:17" x14ac:dyDescent="0.25">
      <c r="C222" s="43" t="str">
        <f>IFERROR(VLOOKUP(B222,'ECN-ECO_DATA'!B:C,2,FALSE),"")</f>
        <v/>
      </c>
      <c r="D222" s="43" t="str">
        <f>IFERROR(VLOOKUP(B222,'ECN-ECO_DATA'!B:X,23,FALSE),"")</f>
        <v/>
      </c>
      <c r="E222" s="44" t="str">
        <f>IFERROR(VLOOKUP(B222,'ECN-ECO_DATA'!B:G,5,FALSE),"")</f>
        <v/>
      </c>
      <c r="F222" s="44" t="str">
        <f>IFERROR((IF(VLOOKUP(B222,'ECN-ECO_DATA'!B:G,6,FALSE)="","",VLOOKUP(B222,'ECN-ECO_DATA'!B:G,6,FALSE))),"")</f>
        <v/>
      </c>
      <c r="H222" s="45" t="str">
        <f>IFERROR(VLOOKUP(B222,'ECN-ECO_DATA'!B:G,4,FALSE),"")</f>
        <v/>
      </c>
      <c r="I222" s="46" t="str">
        <f>IFERROR(IF(VLOOKUP(B222,'ECN-ECO_DATA'!B:G,6,FALSE)="","Not started",IF(VLOOKUP(B222,'ECN-ECO_DATA'!B:J,7,FALSE)="","Awaiting First Approval",IF(VLOOKUP(B222,'ECN-ECO_DATA'!B:J,8,FALSE)="","Awaiting Quality Check Approval",IF(VLOOKUP(B222,'ECN-ECO_DATA'!B:J,9,FALSE)="","Awaiting Last Approval",IF(VLOOKUP(B222,'ECN-ECO_DATA'!B:J,9,FALSE)&lt;&gt;"","Approved","Unknown"))))),"")</f>
        <v/>
      </c>
      <c r="K222" s="47" t="str">
        <f>IFERROR(VLOOKUP(B222,'ECN-ECO_DATA'!B:W,22,FALSE),"")</f>
        <v/>
      </c>
      <c r="L222" s="43" t="str">
        <f>IFERROR(IF(VLOOKUP(B222,'ECN-ECO_DATA'!B:AB,27,FALSE)=0,"",VLOOKUP(B222,'ECN-ECO_DATA'!B:AB,27,FALSE)),"")</f>
        <v/>
      </c>
      <c r="M222" s="43" t="str">
        <f>IFERROR(VLOOKUP(B222,'ECN-ECO_DATA'!B:AE,30,FALSE),"")</f>
        <v/>
      </c>
      <c r="N222" s="59" t="str">
        <f>IFERROR(IF((VLOOKUP(B222,'ECN-ECO_DATA'!B:AD,20,FALSE)-VLOOKUP(B222,'ECN-ECO_DATA'!B:AD,18,FALSE))&gt;0,(VLOOKUP(B222,'ECN-ECO_DATA'!B:AD,20,FALSE)-VLOOKUP(B222,'ECN-ECO_DATA'!B:AD,18,FALSE)),""),"")</f>
        <v/>
      </c>
      <c r="O222" s="59"/>
      <c r="P222" s="59" t="str">
        <f>IFERROR(VLOOKUP(B222,'ECN-ECO_DATA'!B:P,13,FALSE),"")</f>
        <v/>
      </c>
      <c r="Q222" s="43" t="str">
        <f>IFERROR(VLOOKUP(B222,'ECN-ECO_DATA'!B:P,15,FALSE),"")</f>
        <v/>
      </c>
    </row>
    <row r="223" spans="3:17" x14ac:dyDescent="0.25">
      <c r="C223" s="43" t="str">
        <f>IFERROR(VLOOKUP(B223,'ECN-ECO_DATA'!B:C,2,FALSE),"")</f>
        <v/>
      </c>
      <c r="D223" s="43" t="str">
        <f>IFERROR(VLOOKUP(B223,'ECN-ECO_DATA'!B:X,23,FALSE),"")</f>
        <v/>
      </c>
      <c r="E223" s="44" t="str">
        <f>IFERROR(VLOOKUP(B223,'ECN-ECO_DATA'!B:G,5,FALSE),"")</f>
        <v/>
      </c>
      <c r="F223" s="44" t="str">
        <f>IFERROR((IF(VLOOKUP(B223,'ECN-ECO_DATA'!B:G,6,FALSE)="","",VLOOKUP(B223,'ECN-ECO_DATA'!B:G,6,FALSE))),"")</f>
        <v/>
      </c>
      <c r="H223" s="45" t="str">
        <f>IFERROR(VLOOKUP(B223,'ECN-ECO_DATA'!B:G,4,FALSE),"")</f>
        <v/>
      </c>
      <c r="I223" s="46" t="str">
        <f>IFERROR(IF(VLOOKUP(B223,'ECN-ECO_DATA'!B:G,6,FALSE)="","Not started",IF(VLOOKUP(B223,'ECN-ECO_DATA'!B:J,7,FALSE)="","Awaiting First Approval",IF(VLOOKUP(B223,'ECN-ECO_DATA'!B:J,8,FALSE)="","Awaiting Quality Check Approval",IF(VLOOKUP(B223,'ECN-ECO_DATA'!B:J,9,FALSE)="","Awaiting Last Approval",IF(VLOOKUP(B223,'ECN-ECO_DATA'!B:J,9,FALSE)&lt;&gt;"","Approved","Unknown"))))),"")</f>
        <v/>
      </c>
      <c r="K223" s="47" t="str">
        <f>IFERROR(VLOOKUP(B223,'ECN-ECO_DATA'!B:W,22,FALSE),"")</f>
        <v/>
      </c>
      <c r="L223" s="43" t="str">
        <f>IFERROR(IF(VLOOKUP(B223,'ECN-ECO_DATA'!B:AB,27,FALSE)=0,"",VLOOKUP(B223,'ECN-ECO_DATA'!B:AB,27,FALSE)),"")</f>
        <v/>
      </c>
      <c r="M223" s="43" t="str">
        <f>IFERROR(VLOOKUP(B223,'ECN-ECO_DATA'!B:AE,30,FALSE),"")</f>
        <v/>
      </c>
      <c r="N223" s="59" t="str">
        <f>IFERROR(IF((VLOOKUP(B223,'ECN-ECO_DATA'!B:AD,20,FALSE)-VLOOKUP(B223,'ECN-ECO_DATA'!B:AD,18,FALSE))&gt;0,(VLOOKUP(B223,'ECN-ECO_DATA'!B:AD,20,FALSE)-VLOOKUP(B223,'ECN-ECO_DATA'!B:AD,18,FALSE)),""),"")</f>
        <v/>
      </c>
      <c r="O223" s="59"/>
      <c r="P223" s="59" t="str">
        <f>IFERROR(VLOOKUP(B223,'ECN-ECO_DATA'!B:P,13,FALSE),"")</f>
        <v/>
      </c>
      <c r="Q223" s="43" t="str">
        <f>IFERROR(VLOOKUP(B223,'ECN-ECO_DATA'!B:P,15,FALSE),"")</f>
        <v/>
      </c>
    </row>
    <row r="224" spans="3:17" x14ac:dyDescent="0.25">
      <c r="C224" s="43" t="str">
        <f>IFERROR(VLOOKUP(B224,'ECN-ECO_DATA'!B:C,2,FALSE),"")</f>
        <v/>
      </c>
      <c r="D224" s="43" t="str">
        <f>IFERROR(VLOOKUP(B224,'ECN-ECO_DATA'!B:X,23,FALSE),"")</f>
        <v/>
      </c>
      <c r="E224" s="44" t="str">
        <f>IFERROR(VLOOKUP(B224,'ECN-ECO_DATA'!B:G,5,FALSE),"")</f>
        <v/>
      </c>
      <c r="F224" s="44" t="str">
        <f>IFERROR((IF(VLOOKUP(B224,'ECN-ECO_DATA'!B:G,6,FALSE)="","",VLOOKUP(B224,'ECN-ECO_DATA'!B:G,6,FALSE))),"")</f>
        <v/>
      </c>
      <c r="H224" s="45" t="str">
        <f>IFERROR(VLOOKUP(B224,'ECN-ECO_DATA'!B:G,4,FALSE),"")</f>
        <v/>
      </c>
      <c r="I224" s="46" t="str">
        <f>IFERROR(IF(VLOOKUP(B224,'ECN-ECO_DATA'!B:G,6,FALSE)="","Not started",IF(VLOOKUP(B224,'ECN-ECO_DATA'!B:J,7,FALSE)="","Awaiting First Approval",IF(VLOOKUP(B224,'ECN-ECO_DATA'!B:J,8,FALSE)="","Awaiting Quality Check Approval",IF(VLOOKUP(B224,'ECN-ECO_DATA'!B:J,9,FALSE)="","Awaiting Last Approval",IF(VLOOKUP(B224,'ECN-ECO_DATA'!B:J,9,FALSE)&lt;&gt;"","Approved","Unknown"))))),"")</f>
        <v/>
      </c>
      <c r="K224" s="47" t="str">
        <f>IFERROR(VLOOKUP(B224,'ECN-ECO_DATA'!B:W,22,FALSE),"")</f>
        <v/>
      </c>
      <c r="L224" s="43" t="str">
        <f>IFERROR(IF(VLOOKUP(B224,'ECN-ECO_DATA'!B:AB,27,FALSE)=0,"",VLOOKUP(B224,'ECN-ECO_DATA'!B:AB,27,FALSE)),"")</f>
        <v/>
      </c>
      <c r="M224" s="43" t="str">
        <f>IFERROR(VLOOKUP(B224,'ECN-ECO_DATA'!B:AE,30,FALSE),"")</f>
        <v/>
      </c>
      <c r="N224" s="59" t="str">
        <f>IFERROR(IF((VLOOKUP(B224,'ECN-ECO_DATA'!B:AD,20,FALSE)-VLOOKUP(B224,'ECN-ECO_DATA'!B:AD,18,FALSE))&gt;0,(VLOOKUP(B224,'ECN-ECO_DATA'!B:AD,20,FALSE)-VLOOKUP(B224,'ECN-ECO_DATA'!B:AD,18,FALSE)),""),"")</f>
        <v/>
      </c>
      <c r="O224" s="59"/>
      <c r="P224" s="59" t="str">
        <f>IFERROR(VLOOKUP(B224,'ECN-ECO_DATA'!B:P,13,FALSE),"")</f>
        <v/>
      </c>
      <c r="Q224" s="43" t="str">
        <f>IFERROR(VLOOKUP(B224,'ECN-ECO_DATA'!B:P,15,FALSE),"")</f>
        <v/>
      </c>
    </row>
    <row r="225" spans="3:17" x14ac:dyDescent="0.25">
      <c r="C225" s="43" t="str">
        <f>IFERROR(VLOOKUP(B225,'ECN-ECO_DATA'!B:C,2,FALSE),"")</f>
        <v/>
      </c>
      <c r="D225" s="43" t="str">
        <f>IFERROR(VLOOKUP(B225,'ECN-ECO_DATA'!B:X,23,FALSE),"")</f>
        <v/>
      </c>
      <c r="E225" s="44" t="str">
        <f>IFERROR(VLOOKUP(B225,'ECN-ECO_DATA'!B:G,5,FALSE),"")</f>
        <v/>
      </c>
      <c r="F225" s="44" t="str">
        <f>IFERROR((IF(VLOOKUP(B225,'ECN-ECO_DATA'!B:G,6,FALSE)="","",VLOOKUP(B225,'ECN-ECO_DATA'!B:G,6,FALSE))),"")</f>
        <v/>
      </c>
      <c r="H225" s="45" t="str">
        <f>IFERROR(VLOOKUP(B225,'ECN-ECO_DATA'!B:G,4,FALSE),"")</f>
        <v/>
      </c>
      <c r="I225" s="46" t="str">
        <f>IFERROR(IF(VLOOKUP(B225,'ECN-ECO_DATA'!B:G,6,FALSE)="","Not started",IF(VLOOKUP(B225,'ECN-ECO_DATA'!B:J,7,FALSE)="","Awaiting First Approval",IF(VLOOKUP(B225,'ECN-ECO_DATA'!B:J,8,FALSE)="","Awaiting Quality Check Approval",IF(VLOOKUP(B225,'ECN-ECO_DATA'!B:J,9,FALSE)="","Awaiting Last Approval",IF(VLOOKUP(B225,'ECN-ECO_DATA'!B:J,9,FALSE)&lt;&gt;"","Approved","Unknown"))))),"")</f>
        <v/>
      </c>
      <c r="K225" s="47" t="str">
        <f>IFERROR(VLOOKUP(B225,'ECN-ECO_DATA'!B:W,22,FALSE),"")</f>
        <v/>
      </c>
      <c r="L225" s="43" t="str">
        <f>IFERROR(IF(VLOOKUP(B225,'ECN-ECO_DATA'!B:AB,27,FALSE)=0,"",VLOOKUP(B225,'ECN-ECO_DATA'!B:AB,27,FALSE)),"")</f>
        <v/>
      </c>
      <c r="M225" s="43" t="str">
        <f>IFERROR(VLOOKUP(B225,'ECN-ECO_DATA'!B:AE,30,FALSE),"")</f>
        <v/>
      </c>
      <c r="N225" s="59" t="str">
        <f>IFERROR(IF((VLOOKUP(B225,'ECN-ECO_DATA'!B:AD,20,FALSE)-VLOOKUP(B225,'ECN-ECO_DATA'!B:AD,18,FALSE))&gt;0,(VLOOKUP(B225,'ECN-ECO_DATA'!B:AD,20,FALSE)-VLOOKUP(B225,'ECN-ECO_DATA'!B:AD,18,FALSE)),""),"")</f>
        <v/>
      </c>
      <c r="O225" s="59"/>
      <c r="P225" s="59" t="str">
        <f>IFERROR(VLOOKUP(B225,'ECN-ECO_DATA'!B:P,13,FALSE),"")</f>
        <v/>
      </c>
      <c r="Q225" s="43" t="str">
        <f>IFERROR(VLOOKUP(B225,'ECN-ECO_DATA'!B:P,15,FALSE),"")</f>
        <v/>
      </c>
    </row>
    <row r="226" spans="3:17" x14ac:dyDescent="0.25">
      <c r="C226" s="43" t="str">
        <f>IFERROR(VLOOKUP(B226,'ECN-ECO_DATA'!B:C,2,FALSE),"")</f>
        <v/>
      </c>
      <c r="D226" s="43" t="str">
        <f>IFERROR(VLOOKUP(B226,'ECN-ECO_DATA'!B:X,23,FALSE),"")</f>
        <v/>
      </c>
      <c r="E226" s="44" t="str">
        <f>IFERROR(VLOOKUP(B226,'ECN-ECO_DATA'!B:G,5,FALSE),"")</f>
        <v/>
      </c>
      <c r="F226" s="44" t="str">
        <f>IFERROR((IF(VLOOKUP(B226,'ECN-ECO_DATA'!B:G,6,FALSE)="","",VLOOKUP(B226,'ECN-ECO_DATA'!B:G,6,FALSE))),"")</f>
        <v/>
      </c>
      <c r="H226" s="45" t="str">
        <f>IFERROR(VLOOKUP(B226,'ECN-ECO_DATA'!B:G,4,FALSE),"")</f>
        <v/>
      </c>
      <c r="I226" s="46" t="str">
        <f>IFERROR(IF(VLOOKUP(B226,'ECN-ECO_DATA'!B:G,6,FALSE)="","Not started",IF(VLOOKUP(B226,'ECN-ECO_DATA'!B:J,7,FALSE)="","Awaiting First Approval",IF(VLOOKUP(B226,'ECN-ECO_DATA'!B:J,8,FALSE)="","Awaiting Quality Check Approval",IF(VLOOKUP(B226,'ECN-ECO_DATA'!B:J,9,FALSE)="","Awaiting Last Approval",IF(VLOOKUP(B226,'ECN-ECO_DATA'!B:J,9,FALSE)&lt;&gt;"","Approved","Unknown"))))),"")</f>
        <v/>
      </c>
      <c r="K226" s="47" t="str">
        <f>IFERROR(VLOOKUP(B226,'ECN-ECO_DATA'!B:W,22,FALSE),"")</f>
        <v/>
      </c>
      <c r="L226" s="43" t="str">
        <f>IFERROR(IF(VLOOKUP(B226,'ECN-ECO_DATA'!B:AB,27,FALSE)=0,"",VLOOKUP(B226,'ECN-ECO_DATA'!B:AB,27,FALSE)),"")</f>
        <v/>
      </c>
      <c r="M226" s="43" t="str">
        <f>IFERROR(VLOOKUP(B226,'ECN-ECO_DATA'!B:AE,30,FALSE),"")</f>
        <v/>
      </c>
      <c r="N226" s="59" t="str">
        <f>IFERROR(IF((VLOOKUP(B226,'ECN-ECO_DATA'!B:AD,20,FALSE)-VLOOKUP(B226,'ECN-ECO_DATA'!B:AD,18,FALSE))&gt;0,(VLOOKUP(B226,'ECN-ECO_DATA'!B:AD,20,FALSE)-VLOOKUP(B226,'ECN-ECO_DATA'!B:AD,18,FALSE)),""),"")</f>
        <v/>
      </c>
      <c r="O226" s="59"/>
      <c r="P226" s="59" t="str">
        <f>IFERROR(VLOOKUP(B226,'ECN-ECO_DATA'!B:P,13,FALSE),"")</f>
        <v/>
      </c>
      <c r="Q226" s="43" t="str">
        <f>IFERROR(VLOOKUP(B226,'ECN-ECO_DATA'!B:P,15,FALSE),"")</f>
        <v/>
      </c>
    </row>
    <row r="227" spans="3:17" x14ac:dyDescent="0.25">
      <c r="C227" s="43" t="str">
        <f>IFERROR(VLOOKUP(B227,'ECN-ECO_DATA'!B:C,2,FALSE),"")</f>
        <v/>
      </c>
      <c r="D227" s="43" t="str">
        <f>IFERROR(VLOOKUP(B227,'ECN-ECO_DATA'!B:X,23,FALSE),"")</f>
        <v/>
      </c>
      <c r="E227" s="44" t="str">
        <f>IFERROR(VLOOKUP(B227,'ECN-ECO_DATA'!B:G,5,FALSE),"")</f>
        <v/>
      </c>
      <c r="F227" s="44" t="str">
        <f>IFERROR((IF(VLOOKUP(B227,'ECN-ECO_DATA'!B:G,6,FALSE)="","",VLOOKUP(B227,'ECN-ECO_DATA'!B:G,6,FALSE))),"")</f>
        <v/>
      </c>
      <c r="H227" s="45" t="str">
        <f>IFERROR(VLOOKUP(B227,'ECN-ECO_DATA'!B:G,4,FALSE),"")</f>
        <v/>
      </c>
      <c r="I227" s="46" t="str">
        <f>IFERROR(IF(VLOOKUP(B227,'ECN-ECO_DATA'!B:G,6,FALSE)="","Not started",IF(VLOOKUP(B227,'ECN-ECO_DATA'!B:J,7,FALSE)="","Awaiting First Approval",IF(VLOOKUP(B227,'ECN-ECO_DATA'!B:J,8,FALSE)="","Awaiting Quality Check Approval",IF(VLOOKUP(B227,'ECN-ECO_DATA'!B:J,9,FALSE)="","Awaiting Last Approval",IF(VLOOKUP(B227,'ECN-ECO_DATA'!B:J,9,FALSE)&lt;&gt;"","Approved","Unknown"))))),"")</f>
        <v/>
      </c>
      <c r="K227" s="47" t="str">
        <f>IFERROR(VLOOKUP(B227,'ECN-ECO_DATA'!B:W,22,FALSE),"")</f>
        <v/>
      </c>
      <c r="L227" s="43" t="str">
        <f>IFERROR(IF(VLOOKUP(B227,'ECN-ECO_DATA'!B:AB,27,FALSE)=0,"",VLOOKUP(B227,'ECN-ECO_DATA'!B:AB,27,FALSE)),"")</f>
        <v/>
      </c>
      <c r="M227" s="43" t="str">
        <f>IFERROR(VLOOKUP(B227,'ECN-ECO_DATA'!B:AE,30,FALSE),"")</f>
        <v/>
      </c>
      <c r="N227" s="59" t="str">
        <f>IFERROR(IF((VLOOKUP(B227,'ECN-ECO_DATA'!B:AD,20,FALSE)-VLOOKUP(B227,'ECN-ECO_DATA'!B:AD,18,FALSE))&gt;0,(VLOOKUP(B227,'ECN-ECO_DATA'!B:AD,20,FALSE)-VLOOKUP(B227,'ECN-ECO_DATA'!B:AD,18,FALSE)),""),"")</f>
        <v/>
      </c>
      <c r="O227" s="59"/>
      <c r="P227" s="59" t="str">
        <f>IFERROR(VLOOKUP(B227,'ECN-ECO_DATA'!B:P,13,FALSE),"")</f>
        <v/>
      </c>
      <c r="Q227" s="43" t="str">
        <f>IFERROR(VLOOKUP(B227,'ECN-ECO_DATA'!B:P,15,FALSE),"")</f>
        <v/>
      </c>
    </row>
    <row r="228" spans="3:17" x14ac:dyDescent="0.25">
      <c r="C228" s="43" t="str">
        <f>IFERROR(VLOOKUP(B228,'ECN-ECO_DATA'!B:C,2,FALSE),"")</f>
        <v/>
      </c>
      <c r="D228" s="43" t="str">
        <f>IFERROR(VLOOKUP(B228,'ECN-ECO_DATA'!B:X,23,FALSE),"")</f>
        <v/>
      </c>
      <c r="E228" s="44" t="str">
        <f>IFERROR(VLOOKUP(B228,'ECN-ECO_DATA'!B:G,5,FALSE),"")</f>
        <v/>
      </c>
      <c r="F228" s="44" t="str">
        <f>IFERROR((IF(VLOOKUP(B228,'ECN-ECO_DATA'!B:G,6,FALSE)="","",VLOOKUP(B228,'ECN-ECO_DATA'!B:G,6,FALSE))),"")</f>
        <v/>
      </c>
      <c r="H228" s="45" t="str">
        <f>IFERROR(VLOOKUP(B228,'ECN-ECO_DATA'!B:G,4,FALSE),"")</f>
        <v/>
      </c>
      <c r="I228" s="46" t="str">
        <f>IFERROR(IF(VLOOKUP(B228,'ECN-ECO_DATA'!B:G,6,FALSE)="","Not started",IF(VLOOKUP(B228,'ECN-ECO_DATA'!B:J,7,FALSE)="","Awaiting First Approval",IF(VLOOKUP(B228,'ECN-ECO_DATA'!B:J,8,FALSE)="","Awaiting Quality Check Approval",IF(VLOOKUP(B228,'ECN-ECO_DATA'!B:J,9,FALSE)="","Awaiting Last Approval",IF(VLOOKUP(B228,'ECN-ECO_DATA'!B:J,9,FALSE)&lt;&gt;"","Approved","Unknown"))))),"")</f>
        <v/>
      </c>
      <c r="K228" s="47" t="str">
        <f>IFERROR(VLOOKUP(B228,'ECN-ECO_DATA'!B:W,22,FALSE),"")</f>
        <v/>
      </c>
      <c r="L228" s="43" t="str">
        <f>IFERROR(IF(VLOOKUP(B228,'ECN-ECO_DATA'!B:AB,27,FALSE)=0,"",VLOOKUP(B228,'ECN-ECO_DATA'!B:AB,27,FALSE)),"")</f>
        <v/>
      </c>
      <c r="M228" s="43" t="str">
        <f>IFERROR(VLOOKUP(B228,'ECN-ECO_DATA'!B:AE,30,FALSE),"")</f>
        <v/>
      </c>
      <c r="N228" s="59" t="str">
        <f>IFERROR(IF((VLOOKUP(B228,'ECN-ECO_DATA'!B:AD,20,FALSE)-VLOOKUP(B228,'ECN-ECO_DATA'!B:AD,18,FALSE))&gt;0,(VLOOKUP(B228,'ECN-ECO_DATA'!B:AD,20,FALSE)-VLOOKUP(B228,'ECN-ECO_DATA'!B:AD,18,FALSE)),""),"")</f>
        <v/>
      </c>
      <c r="O228" s="59"/>
      <c r="P228" s="59" t="str">
        <f>IFERROR(VLOOKUP(B228,'ECN-ECO_DATA'!B:P,13,FALSE),"")</f>
        <v/>
      </c>
      <c r="Q228" s="43" t="str">
        <f>IFERROR(VLOOKUP(B228,'ECN-ECO_DATA'!B:P,15,FALSE),"")</f>
        <v/>
      </c>
    </row>
    <row r="229" spans="3:17" x14ac:dyDescent="0.25">
      <c r="C229" s="43" t="str">
        <f>IFERROR(VLOOKUP(B229,'ECN-ECO_DATA'!B:C,2,FALSE),"")</f>
        <v/>
      </c>
      <c r="D229" s="43" t="str">
        <f>IFERROR(VLOOKUP(B229,'ECN-ECO_DATA'!B:X,23,FALSE),"")</f>
        <v/>
      </c>
      <c r="E229" s="44" t="str">
        <f>IFERROR(VLOOKUP(B229,'ECN-ECO_DATA'!B:G,5,FALSE),"")</f>
        <v/>
      </c>
      <c r="F229" s="44" t="str">
        <f>IFERROR((IF(VLOOKUP(B229,'ECN-ECO_DATA'!B:G,6,FALSE)="","",VLOOKUP(B229,'ECN-ECO_DATA'!B:G,6,FALSE))),"")</f>
        <v/>
      </c>
      <c r="H229" s="45" t="str">
        <f>IFERROR(VLOOKUP(B229,'ECN-ECO_DATA'!B:G,4,FALSE),"")</f>
        <v/>
      </c>
      <c r="I229" s="46" t="str">
        <f>IFERROR(IF(VLOOKUP(B229,'ECN-ECO_DATA'!B:G,6,FALSE)="","Not started",IF(VLOOKUP(B229,'ECN-ECO_DATA'!B:J,7,FALSE)="","Awaiting First Approval",IF(VLOOKUP(B229,'ECN-ECO_DATA'!B:J,8,FALSE)="","Awaiting Quality Check Approval",IF(VLOOKUP(B229,'ECN-ECO_DATA'!B:J,9,FALSE)="","Awaiting Last Approval",IF(VLOOKUP(B229,'ECN-ECO_DATA'!B:J,9,FALSE)&lt;&gt;"","Approved","Unknown"))))),"")</f>
        <v/>
      </c>
      <c r="K229" s="47" t="str">
        <f>IFERROR(VLOOKUP(B229,'ECN-ECO_DATA'!B:W,22,FALSE),"")</f>
        <v/>
      </c>
      <c r="L229" s="43" t="str">
        <f>IFERROR(IF(VLOOKUP(B229,'ECN-ECO_DATA'!B:AB,27,FALSE)=0,"",VLOOKUP(B229,'ECN-ECO_DATA'!B:AB,27,FALSE)),"")</f>
        <v/>
      </c>
      <c r="M229" s="43" t="str">
        <f>IFERROR(VLOOKUP(B229,'ECN-ECO_DATA'!B:AE,30,FALSE),"")</f>
        <v/>
      </c>
      <c r="N229" s="59" t="str">
        <f>IFERROR(IF((VLOOKUP(B229,'ECN-ECO_DATA'!B:AD,20,FALSE)-VLOOKUP(B229,'ECN-ECO_DATA'!B:AD,18,FALSE))&gt;0,(VLOOKUP(B229,'ECN-ECO_DATA'!B:AD,20,FALSE)-VLOOKUP(B229,'ECN-ECO_DATA'!B:AD,18,FALSE)),""),"")</f>
        <v/>
      </c>
      <c r="O229" s="59"/>
      <c r="P229" s="59" t="str">
        <f>IFERROR(VLOOKUP(B229,'ECN-ECO_DATA'!B:P,13,FALSE),"")</f>
        <v/>
      </c>
      <c r="Q229" s="43" t="str">
        <f>IFERROR(VLOOKUP(B229,'ECN-ECO_DATA'!B:P,15,FALSE),"")</f>
        <v/>
      </c>
    </row>
    <row r="230" spans="3:17" x14ac:dyDescent="0.25">
      <c r="C230" s="43" t="str">
        <f>IFERROR(VLOOKUP(B230,'ECN-ECO_DATA'!B:C,2,FALSE),"")</f>
        <v/>
      </c>
      <c r="D230" s="43" t="str">
        <f>IFERROR(VLOOKUP(B230,'ECN-ECO_DATA'!B:X,23,FALSE),"")</f>
        <v/>
      </c>
      <c r="E230" s="44" t="str">
        <f>IFERROR(VLOOKUP(B230,'ECN-ECO_DATA'!B:G,5,FALSE),"")</f>
        <v/>
      </c>
      <c r="F230" s="44" t="str">
        <f>IFERROR((IF(VLOOKUP(B230,'ECN-ECO_DATA'!B:G,6,FALSE)="","",VLOOKUP(B230,'ECN-ECO_DATA'!B:G,6,FALSE))),"")</f>
        <v/>
      </c>
      <c r="H230" s="45" t="str">
        <f>IFERROR(VLOOKUP(B230,'ECN-ECO_DATA'!B:G,4,FALSE),"")</f>
        <v/>
      </c>
      <c r="I230" s="46" t="str">
        <f>IFERROR(IF(VLOOKUP(B230,'ECN-ECO_DATA'!B:G,6,FALSE)="","Not started",IF(VLOOKUP(B230,'ECN-ECO_DATA'!B:J,7,FALSE)="","Awaiting First Approval",IF(VLOOKUP(B230,'ECN-ECO_DATA'!B:J,8,FALSE)="","Awaiting Quality Check Approval",IF(VLOOKUP(B230,'ECN-ECO_DATA'!B:J,9,FALSE)="","Awaiting Last Approval",IF(VLOOKUP(B230,'ECN-ECO_DATA'!B:J,9,FALSE)&lt;&gt;"","Approved","Unknown"))))),"")</f>
        <v/>
      </c>
      <c r="K230" s="47" t="str">
        <f>IFERROR(VLOOKUP(B230,'ECN-ECO_DATA'!B:W,22,FALSE),"")</f>
        <v/>
      </c>
      <c r="L230" s="43" t="str">
        <f>IFERROR(IF(VLOOKUP(B230,'ECN-ECO_DATA'!B:AB,27,FALSE)=0,"",VLOOKUP(B230,'ECN-ECO_DATA'!B:AB,27,FALSE)),"")</f>
        <v/>
      </c>
      <c r="M230" s="43" t="str">
        <f>IFERROR(VLOOKUP(B230,'ECN-ECO_DATA'!B:AE,30,FALSE),"")</f>
        <v/>
      </c>
      <c r="N230" s="59" t="str">
        <f>IFERROR(IF((VLOOKUP(B230,'ECN-ECO_DATA'!B:AD,20,FALSE)-VLOOKUP(B230,'ECN-ECO_DATA'!B:AD,18,FALSE))&gt;0,(VLOOKUP(B230,'ECN-ECO_DATA'!B:AD,20,FALSE)-VLOOKUP(B230,'ECN-ECO_DATA'!B:AD,18,FALSE)),""),"")</f>
        <v/>
      </c>
      <c r="O230" s="59"/>
      <c r="P230" s="59" t="str">
        <f>IFERROR(VLOOKUP(B230,'ECN-ECO_DATA'!B:P,13,FALSE),"")</f>
        <v/>
      </c>
      <c r="Q230" s="43" t="str">
        <f>IFERROR(VLOOKUP(B230,'ECN-ECO_DATA'!B:P,15,FALSE),"")</f>
        <v/>
      </c>
    </row>
    <row r="231" spans="3:17" x14ac:dyDescent="0.25">
      <c r="C231" s="43" t="str">
        <f>IFERROR(VLOOKUP(B231,'ECN-ECO_DATA'!B:C,2,FALSE),"")</f>
        <v/>
      </c>
      <c r="D231" s="43" t="str">
        <f>IFERROR(VLOOKUP(B231,'ECN-ECO_DATA'!B:X,23,FALSE),"")</f>
        <v/>
      </c>
      <c r="E231" s="44" t="str">
        <f>IFERROR(VLOOKUP(B231,'ECN-ECO_DATA'!B:G,5,FALSE),"")</f>
        <v/>
      </c>
      <c r="F231" s="44" t="str">
        <f>IFERROR((IF(VLOOKUP(B231,'ECN-ECO_DATA'!B:G,6,FALSE)="","",VLOOKUP(B231,'ECN-ECO_DATA'!B:G,6,FALSE))),"")</f>
        <v/>
      </c>
      <c r="H231" s="45" t="str">
        <f>IFERROR(VLOOKUP(B231,'ECN-ECO_DATA'!B:G,4,FALSE),"")</f>
        <v/>
      </c>
      <c r="I231" s="46" t="str">
        <f>IFERROR(IF(VLOOKUP(B231,'ECN-ECO_DATA'!B:G,6,FALSE)="","Not started",IF(VLOOKUP(B231,'ECN-ECO_DATA'!B:J,7,FALSE)="","Awaiting First Approval",IF(VLOOKUP(B231,'ECN-ECO_DATA'!B:J,8,FALSE)="","Awaiting Quality Check Approval",IF(VLOOKUP(B231,'ECN-ECO_DATA'!B:J,9,FALSE)="","Awaiting Last Approval",IF(VLOOKUP(B231,'ECN-ECO_DATA'!B:J,9,FALSE)&lt;&gt;"","Approved","Unknown"))))),"")</f>
        <v/>
      </c>
      <c r="K231" s="47" t="str">
        <f>IFERROR(VLOOKUP(B231,'ECN-ECO_DATA'!B:W,22,FALSE),"")</f>
        <v/>
      </c>
      <c r="L231" s="43" t="str">
        <f>IFERROR(IF(VLOOKUP(B231,'ECN-ECO_DATA'!B:AB,27,FALSE)=0,"",VLOOKUP(B231,'ECN-ECO_DATA'!B:AB,27,FALSE)),"")</f>
        <v/>
      </c>
      <c r="M231" s="43" t="str">
        <f>IFERROR(VLOOKUP(B231,'ECN-ECO_DATA'!B:AE,30,FALSE),"")</f>
        <v/>
      </c>
      <c r="N231" s="59" t="str">
        <f>IFERROR(IF((VLOOKUP(B231,'ECN-ECO_DATA'!B:AD,20,FALSE)-VLOOKUP(B231,'ECN-ECO_DATA'!B:AD,18,FALSE))&gt;0,(VLOOKUP(B231,'ECN-ECO_DATA'!B:AD,20,FALSE)-VLOOKUP(B231,'ECN-ECO_DATA'!B:AD,18,FALSE)),""),"")</f>
        <v/>
      </c>
      <c r="O231" s="59"/>
      <c r="P231" s="59" t="str">
        <f>IFERROR(VLOOKUP(B231,'ECN-ECO_DATA'!B:P,13,FALSE),"")</f>
        <v/>
      </c>
      <c r="Q231" s="43" t="str">
        <f>IFERROR(VLOOKUP(B231,'ECN-ECO_DATA'!B:P,15,FALSE),"")</f>
        <v/>
      </c>
    </row>
    <row r="232" spans="3:17" x14ac:dyDescent="0.25">
      <c r="C232" s="43" t="str">
        <f>IFERROR(VLOOKUP(B232,'ECN-ECO_DATA'!B:C,2,FALSE),"")</f>
        <v/>
      </c>
      <c r="D232" s="43" t="str">
        <f>IFERROR(VLOOKUP(B232,'ECN-ECO_DATA'!B:X,23,FALSE),"")</f>
        <v/>
      </c>
      <c r="E232" s="44" t="str">
        <f>IFERROR(VLOOKUP(B232,'ECN-ECO_DATA'!B:G,5,FALSE),"")</f>
        <v/>
      </c>
      <c r="F232" s="44" t="str">
        <f>IFERROR((IF(VLOOKUP(B232,'ECN-ECO_DATA'!B:G,6,FALSE)="","",VLOOKUP(B232,'ECN-ECO_DATA'!B:G,6,FALSE))),"")</f>
        <v/>
      </c>
      <c r="H232" s="45" t="str">
        <f>IFERROR(VLOOKUP(B232,'ECN-ECO_DATA'!B:G,4,FALSE),"")</f>
        <v/>
      </c>
      <c r="I232" s="46" t="str">
        <f>IFERROR(IF(VLOOKUP(B232,'ECN-ECO_DATA'!B:G,6,FALSE)="","Not started",IF(VLOOKUP(B232,'ECN-ECO_DATA'!B:J,7,FALSE)="","Awaiting First Approval",IF(VLOOKUP(B232,'ECN-ECO_DATA'!B:J,8,FALSE)="","Awaiting Quality Check Approval",IF(VLOOKUP(B232,'ECN-ECO_DATA'!B:J,9,FALSE)="","Awaiting Last Approval",IF(VLOOKUP(B232,'ECN-ECO_DATA'!B:J,9,FALSE)&lt;&gt;"","Approved","Unknown"))))),"")</f>
        <v/>
      </c>
      <c r="K232" s="47" t="str">
        <f>IFERROR(VLOOKUP(B232,'ECN-ECO_DATA'!B:W,22,FALSE),"")</f>
        <v/>
      </c>
      <c r="L232" s="43" t="str">
        <f>IFERROR(IF(VLOOKUP(B232,'ECN-ECO_DATA'!B:AB,27,FALSE)=0,"",VLOOKUP(B232,'ECN-ECO_DATA'!B:AB,27,FALSE)),"")</f>
        <v/>
      </c>
      <c r="M232" s="43" t="str">
        <f>IFERROR(VLOOKUP(B232,'ECN-ECO_DATA'!B:AE,30,FALSE),"")</f>
        <v/>
      </c>
      <c r="N232" s="59" t="str">
        <f>IFERROR(IF((VLOOKUP(B232,'ECN-ECO_DATA'!B:AD,20,FALSE)-VLOOKUP(B232,'ECN-ECO_DATA'!B:AD,18,FALSE))&gt;0,(VLOOKUP(B232,'ECN-ECO_DATA'!B:AD,20,FALSE)-VLOOKUP(B232,'ECN-ECO_DATA'!B:AD,18,FALSE)),""),"")</f>
        <v/>
      </c>
      <c r="O232" s="59"/>
      <c r="P232" s="59" t="str">
        <f>IFERROR(VLOOKUP(B232,'ECN-ECO_DATA'!B:P,13,FALSE),"")</f>
        <v/>
      </c>
      <c r="Q232" s="43" t="str">
        <f>IFERROR(VLOOKUP(B232,'ECN-ECO_DATA'!B:P,15,FALSE),"")</f>
        <v/>
      </c>
    </row>
    <row r="233" spans="3:17" x14ac:dyDescent="0.25">
      <c r="C233" s="43" t="str">
        <f>IFERROR(VLOOKUP(B233,'ECN-ECO_DATA'!B:C,2,FALSE),"")</f>
        <v/>
      </c>
      <c r="D233" s="43" t="str">
        <f>IFERROR(VLOOKUP(B233,'ECN-ECO_DATA'!B:X,23,FALSE),"")</f>
        <v/>
      </c>
      <c r="E233" s="44" t="str">
        <f>IFERROR(VLOOKUP(B233,'ECN-ECO_DATA'!B:G,5,FALSE),"")</f>
        <v/>
      </c>
      <c r="F233" s="44" t="str">
        <f>IFERROR((IF(VLOOKUP(B233,'ECN-ECO_DATA'!B:G,6,FALSE)="","",VLOOKUP(B233,'ECN-ECO_DATA'!B:G,6,FALSE))),"")</f>
        <v/>
      </c>
      <c r="H233" s="45" t="str">
        <f>IFERROR(VLOOKUP(B233,'ECN-ECO_DATA'!B:G,4,FALSE),"")</f>
        <v/>
      </c>
      <c r="I233" s="46" t="str">
        <f>IFERROR(IF(VLOOKUP(B233,'ECN-ECO_DATA'!B:G,6,FALSE)="","Not started",IF(VLOOKUP(B233,'ECN-ECO_DATA'!B:J,7,FALSE)="","Awaiting First Approval",IF(VLOOKUP(B233,'ECN-ECO_DATA'!B:J,8,FALSE)="","Awaiting Quality Check Approval",IF(VLOOKUP(B233,'ECN-ECO_DATA'!B:J,9,FALSE)="","Awaiting Last Approval",IF(VLOOKUP(B233,'ECN-ECO_DATA'!B:J,9,FALSE)&lt;&gt;"","Approved","Unknown"))))),"")</f>
        <v/>
      </c>
      <c r="K233" s="47" t="str">
        <f>IFERROR(VLOOKUP(B233,'ECN-ECO_DATA'!B:W,22,FALSE),"")</f>
        <v/>
      </c>
      <c r="L233" s="43" t="str">
        <f>IFERROR(IF(VLOOKUP(B233,'ECN-ECO_DATA'!B:AB,27,FALSE)=0,"",VLOOKUP(B233,'ECN-ECO_DATA'!B:AB,27,FALSE)),"")</f>
        <v/>
      </c>
      <c r="M233" s="43" t="str">
        <f>IFERROR(VLOOKUP(B233,'ECN-ECO_DATA'!B:AE,30,FALSE),"")</f>
        <v/>
      </c>
      <c r="N233" s="59" t="str">
        <f>IFERROR(IF((VLOOKUP(B233,'ECN-ECO_DATA'!B:AD,20,FALSE)-VLOOKUP(B233,'ECN-ECO_DATA'!B:AD,18,FALSE))&gt;0,(VLOOKUP(B233,'ECN-ECO_DATA'!B:AD,20,FALSE)-VLOOKUP(B233,'ECN-ECO_DATA'!B:AD,18,FALSE)),""),"")</f>
        <v/>
      </c>
      <c r="O233" s="59"/>
      <c r="P233" s="59" t="str">
        <f>IFERROR(VLOOKUP(B233,'ECN-ECO_DATA'!B:P,13,FALSE),"")</f>
        <v/>
      </c>
      <c r="Q233" s="43" t="str">
        <f>IFERROR(VLOOKUP(B233,'ECN-ECO_DATA'!B:P,15,FALSE),"")</f>
        <v/>
      </c>
    </row>
    <row r="234" spans="3:17" x14ac:dyDescent="0.25">
      <c r="C234" s="43" t="str">
        <f>IFERROR(VLOOKUP(B234,'ECN-ECO_DATA'!B:C,2,FALSE),"")</f>
        <v/>
      </c>
      <c r="D234" s="43" t="str">
        <f>IFERROR(VLOOKUP(B234,'ECN-ECO_DATA'!B:X,23,FALSE),"")</f>
        <v/>
      </c>
      <c r="E234" s="44" t="str">
        <f>IFERROR(VLOOKUP(B234,'ECN-ECO_DATA'!B:G,5,FALSE),"")</f>
        <v/>
      </c>
      <c r="F234" s="44" t="str">
        <f>IFERROR((IF(VLOOKUP(B234,'ECN-ECO_DATA'!B:G,6,FALSE)="","",VLOOKUP(B234,'ECN-ECO_DATA'!B:G,6,FALSE))),"")</f>
        <v/>
      </c>
      <c r="H234" s="45" t="str">
        <f>IFERROR(VLOOKUP(B234,'ECN-ECO_DATA'!B:G,4,FALSE),"")</f>
        <v/>
      </c>
      <c r="I234" s="46" t="str">
        <f>IFERROR(IF(VLOOKUP(B234,'ECN-ECO_DATA'!B:G,6,FALSE)="","Not started",IF(VLOOKUP(B234,'ECN-ECO_DATA'!B:J,7,FALSE)="","Awaiting First Approval",IF(VLOOKUP(B234,'ECN-ECO_DATA'!B:J,8,FALSE)="","Awaiting Quality Check Approval",IF(VLOOKUP(B234,'ECN-ECO_DATA'!B:J,9,FALSE)="","Awaiting Last Approval",IF(VLOOKUP(B234,'ECN-ECO_DATA'!B:J,9,FALSE)&lt;&gt;"","Approved","Unknown"))))),"")</f>
        <v/>
      </c>
      <c r="K234" s="47" t="str">
        <f>IFERROR(VLOOKUP(B234,'ECN-ECO_DATA'!B:W,22,FALSE),"")</f>
        <v/>
      </c>
      <c r="L234" s="43" t="str">
        <f>IFERROR(IF(VLOOKUP(B234,'ECN-ECO_DATA'!B:AB,27,FALSE)=0,"",VLOOKUP(B234,'ECN-ECO_DATA'!B:AB,27,FALSE)),"")</f>
        <v/>
      </c>
      <c r="M234" s="43" t="str">
        <f>IFERROR(VLOOKUP(B234,'ECN-ECO_DATA'!B:AE,30,FALSE),"")</f>
        <v/>
      </c>
      <c r="N234" s="59" t="str">
        <f>IFERROR(IF((VLOOKUP(B234,'ECN-ECO_DATA'!B:AD,20,FALSE)-VLOOKUP(B234,'ECN-ECO_DATA'!B:AD,18,FALSE))&gt;0,(VLOOKUP(B234,'ECN-ECO_DATA'!B:AD,20,FALSE)-VLOOKUP(B234,'ECN-ECO_DATA'!B:AD,18,FALSE)),""),"")</f>
        <v/>
      </c>
      <c r="O234" s="59"/>
      <c r="P234" s="59" t="str">
        <f>IFERROR(VLOOKUP(B234,'ECN-ECO_DATA'!B:P,13,FALSE),"")</f>
        <v/>
      </c>
      <c r="Q234" s="43" t="str">
        <f>IFERROR(VLOOKUP(B234,'ECN-ECO_DATA'!B:P,15,FALSE),"")</f>
        <v/>
      </c>
    </row>
    <row r="235" spans="3:17" x14ac:dyDescent="0.25">
      <c r="C235" s="43" t="str">
        <f>IFERROR(VLOOKUP(B235,'ECN-ECO_DATA'!B:C,2,FALSE),"")</f>
        <v/>
      </c>
      <c r="D235" s="43" t="str">
        <f>IFERROR(VLOOKUP(B235,'ECN-ECO_DATA'!B:X,23,FALSE),"")</f>
        <v/>
      </c>
      <c r="E235" s="44" t="str">
        <f>IFERROR(VLOOKUP(B235,'ECN-ECO_DATA'!B:G,5,FALSE),"")</f>
        <v/>
      </c>
      <c r="F235" s="44" t="str">
        <f>IFERROR((IF(VLOOKUP(B235,'ECN-ECO_DATA'!B:G,6,FALSE)="","",VLOOKUP(B235,'ECN-ECO_DATA'!B:G,6,FALSE))),"")</f>
        <v/>
      </c>
      <c r="H235" s="45" t="str">
        <f>IFERROR(VLOOKUP(B235,'ECN-ECO_DATA'!B:G,4,FALSE),"")</f>
        <v/>
      </c>
      <c r="I235" s="46" t="str">
        <f>IFERROR(IF(VLOOKUP(B235,'ECN-ECO_DATA'!B:G,6,FALSE)="","Not started",IF(VLOOKUP(B235,'ECN-ECO_DATA'!B:J,7,FALSE)="","Awaiting First Approval",IF(VLOOKUP(B235,'ECN-ECO_DATA'!B:J,8,FALSE)="","Awaiting Quality Check Approval",IF(VLOOKUP(B235,'ECN-ECO_DATA'!B:J,9,FALSE)="","Awaiting Last Approval",IF(VLOOKUP(B235,'ECN-ECO_DATA'!B:J,9,FALSE)&lt;&gt;"","Approved","Unknown"))))),"")</f>
        <v/>
      </c>
      <c r="K235" s="47" t="str">
        <f>IFERROR(VLOOKUP(B235,'ECN-ECO_DATA'!B:W,22,FALSE),"")</f>
        <v/>
      </c>
      <c r="L235" s="43" t="str">
        <f>IFERROR(IF(VLOOKUP(B235,'ECN-ECO_DATA'!B:AB,27,FALSE)=0,"",VLOOKUP(B235,'ECN-ECO_DATA'!B:AB,27,FALSE)),"")</f>
        <v/>
      </c>
      <c r="M235" s="43" t="str">
        <f>IFERROR(VLOOKUP(B235,'ECN-ECO_DATA'!B:AE,30,FALSE),"")</f>
        <v/>
      </c>
      <c r="N235" s="59" t="str">
        <f>IFERROR(IF((VLOOKUP(B235,'ECN-ECO_DATA'!B:AD,20,FALSE)-VLOOKUP(B235,'ECN-ECO_DATA'!B:AD,18,FALSE))&gt;0,(VLOOKUP(B235,'ECN-ECO_DATA'!B:AD,20,FALSE)-VLOOKUP(B235,'ECN-ECO_DATA'!B:AD,18,FALSE)),""),"")</f>
        <v/>
      </c>
      <c r="O235" s="59"/>
      <c r="P235" s="59" t="str">
        <f>IFERROR(VLOOKUP(B235,'ECN-ECO_DATA'!B:P,13,FALSE),"")</f>
        <v/>
      </c>
      <c r="Q235" s="43" t="str">
        <f>IFERROR(VLOOKUP(B235,'ECN-ECO_DATA'!B:P,15,FALSE),"")</f>
        <v/>
      </c>
    </row>
    <row r="236" spans="3:17" x14ac:dyDescent="0.25">
      <c r="C236" s="43" t="str">
        <f>IFERROR(VLOOKUP(B236,'ECN-ECO_DATA'!B:C,2,FALSE),"")</f>
        <v/>
      </c>
      <c r="D236" s="43" t="str">
        <f>IFERROR(VLOOKUP(B236,'ECN-ECO_DATA'!B:X,23,FALSE),"")</f>
        <v/>
      </c>
      <c r="E236" s="44" t="str">
        <f>IFERROR(VLOOKUP(B236,'ECN-ECO_DATA'!B:G,5,FALSE),"")</f>
        <v/>
      </c>
      <c r="F236" s="44" t="str">
        <f>IFERROR((IF(VLOOKUP(B236,'ECN-ECO_DATA'!B:G,6,FALSE)="","",VLOOKUP(B236,'ECN-ECO_DATA'!B:G,6,FALSE))),"")</f>
        <v/>
      </c>
      <c r="H236" s="45" t="str">
        <f>IFERROR(VLOOKUP(B236,'ECN-ECO_DATA'!B:G,4,FALSE),"")</f>
        <v/>
      </c>
      <c r="I236" s="46" t="str">
        <f>IFERROR(IF(VLOOKUP(B236,'ECN-ECO_DATA'!B:G,6,FALSE)="","Not started",IF(VLOOKUP(B236,'ECN-ECO_DATA'!B:J,7,FALSE)="","Awaiting First Approval",IF(VLOOKUP(B236,'ECN-ECO_DATA'!B:J,8,FALSE)="","Awaiting Quality Check Approval",IF(VLOOKUP(B236,'ECN-ECO_DATA'!B:J,9,FALSE)="","Awaiting Last Approval",IF(VLOOKUP(B236,'ECN-ECO_DATA'!B:J,9,FALSE)&lt;&gt;"","Approved","Unknown"))))),"")</f>
        <v/>
      </c>
      <c r="K236" s="47" t="str">
        <f>IFERROR(VLOOKUP(B236,'ECN-ECO_DATA'!B:W,22,FALSE),"")</f>
        <v/>
      </c>
      <c r="L236" s="43" t="str">
        <f>IFERROR(IF(VLOOKUP(B236,'ECN-ECO_DATA'!B:AB,27,FALSE)=0,"",VLOOKUP(B236,'ECN-ECO_DATA'!B:AB,27,FALSE)),"")</f>
        <v/>
      </c>
      <c r="M236" s="43" t="str">
        <f>IFERROR(VLOOKUP(B236,'ECN-ECO_DATA'!B:AE,30,FALSE),"")</f>
        <v/>
      </c>
      <c r="N236" s="59" t="str">
        <f>IFERROR(IF((VLOOKUP(B236,'ECN-ECO_DATA'!B:AD,20,FALSE)-VLOOKUP(B236,'ECN-ECO_DATA'!B:AD,18,FALSE))&gt;0,(VLOOKUP(B236,'ECN-ECO_DATA'!B:AD,20,FALSE)-VLOOKUP(B236,'ECN-ECO_DATA'!B:AD,18,FALSE)),""),"")</f>
        <v/>
      </c>
      <c r="O236" s="59"/>
      <c r="P236" s="59" t="str">
        <f>IFERROR(VLOOKUP(B236,'ECN-ECO_DATA'!B:P,13,FALSE),"")</f>
        <v/>
      </c>
      <c r="Q236" s="43" t="str">
        <f>IFERROR(VLOOKUP(B236,'ECN-ECO_DATA'!B:P,15,FALSE),"")</f>
        <v/>
      </c>
    </row>
    <row r="237" spans="3:17" x14ac:dyDescent="0.25">
      <c r="C237" s="43" t="str">
        <f>IFERROR(VLOOKUP(B237,'ECN-ECO_DATA'!B:C,2,FALSE),"")</f>
        <v/>
      </c>
      <c r="D237" s="43" t="str">
        <f>IFERROR(VLOOKUP(B237,'ECN-ECO_DATA'!B:X,23,FALSE),"")</f>
        <v/>
      </c>
      <c r="E237" s="44" t="str">
        <f>IFERROR(VLOOKUP(B237,'ECN-ECO_DATA'!B:G,5,FALSE),"")</f>
        <v/>
      </c>
      <c r="F237" s="44" t="str">
        <f>IFERROR((IF(VLOOKUP(B237,'ECN-ECO_DATA'!B:G,6,FALSE)="","",VLOOKUP(B237,'ECN-ECO_DATA'!B:G,6,FALSE))),"")</f>
        <v/>
      </c>
      <c r="H237" s="45" t="str">
        <f>IFERROR(VLOOKUP(B237,'ECN-ECO_DATA'!B:G,4,FALSE),"")</f>
        <v/>
      </c>
      <c r="I237" s="46" t="str">
        <f>IFERROR(IF(VLOOKUP(B237,'ECN-ECO_DATA'!B:G,6,FALSE)="","Not started",IF(VLOOKUP(B237,'ECN-ECO_DATA'!B:J,7,FALSE)="","Awaiting First Approval",IF(VLOOKUP(B237,'ECN-ECO_DATA'!B:J,8,FALSE)="","Awaiting Quality Check Approval",IF(VLOOKUP(B237,'ECN-ECO_DATA'!B:J,9,FALSE)="","Awaiting Last Approval",IF(VLOOKUP(B237,'ECN-ECO_DATA'!B:J,9,FALSE)&lt;&gt;"","Approved","Unknown"))))),"")</f>
        <v/>
      </c>
      <c r="K237" s="47" t="str">
        <f>IFERROR(VLOOKUP(B237,'ECN-ECO_DATA'!B:W,22,FALSE),"")</f>
        <v/>
      </c>
      <c r="L237" s="43" t="str">
        <f>IFERROR(IF(VLOOKUP(B237,'ECN-ECO_DATA'!B:AB,27,FALSE)=0,"",VLOOKUP(B237,'ECN-ECO_DATA'!B:AB,27,FALSE)),"")</f>
        <v/>
      </c>
      <c r="M237" s="43" t="str">
        <f>IFERROR(VLOOKUP(B237,'ECN-ECO_DATA'!B:AE,30,FALSE),"")</f>
        <v/>
      </c>
      <c r="N237" s="59" t="str">
        <f>IFERROR(IF((VLOOKUP(B237,'ECN-ECO_DATA'!B:AD,20,FALSE)-VLOOKUP(B237,'ECN-ECO_DATA'!B:AD,18,FALSE))&gt;0,(VLOOKUP(B237,'ECN-ECO_DATA'!B:AD,20,FALSE)-VLOOKUP(B237,'ECN-ECO_DATA'!B:AD,18,FALSE)),""),"")</f>
        <v/>
      </c>
      <c r="O237" s="59"/>
      <c r="P237" s="59" t="str">
        <f>IFERROR(VLOOKUP(B237,'ECN-ECO_DATA'!B:P,13,FALSE),"")</f>
        <v/>
      </c>
      <c r="Q237" s="43" t="str">
        <f>IFERROR(VLOOKUP(B237,'ECN-ECO_DATA'!B:P,15,FALSE),"")</f>
        <v/>
      </c>
    </row>
    <row r="238" spans="3:17" x14ac:dyDescent="0.25">
      <c r="C238" s="43" t="str">
        <f>IFERROR(VLOOKUP(B238,'ECN-ECO_DATA'!B:C,2,FALSE),"")</f>
        <v/>
      </c>
      <c r="D238" s="43" t="str">
        <f>IFERROR(VLOOKUP(B238,'ECN-ECO_DATA'!B:X,23,FALSE),"")</f>
        <v/>
      </c>
      <c r="E238" s="44" t="str">
        <f>IFERROR(VLOOKUP(B238,'ECN-ECO_DATA'!B:G,5,FALSE),"")</f>
        <v/>
      </c>
      <c r="F238" s="44" t="str">
        <f>IFERROR((IF(VLOOKUP(B238,'ECN-ECO_DATA'!B:G,6,FALSE)="","",VLOOKUP(B238,'ECN-ECO_DATA'!B:G,6,FALSE))),"")</f>
        <v/>
      </c>
      <c r="H238" s="45" t="str">
        <f>IFERROR(VLOOKUP(B238,'ECN-ECO_DATA'!B:G,4,FALSE),"")</f>
        <v/>
      </c>
      <c r="I238" s="46" t="str">
        <f>IFERROR(IF(VLOOKUP(B238,'ECN-ECO_DATA'!B:G,6,FALSE)="","Not started",IF(VLOOKUP(B238,'ECN-ECO_DATA'!B:J,7,FALSE)="","Awaiting First Approval",IF(VLOOKUP(B238,'ECN-ECO_DATA'!B:J,8,FALSE)="","Awaiting Quality Check Approval",IF(VLOOKUP(B238,'ECN-ECO_DATA'!B:J,9,FALSE)="","Awaiting Last Approval",IF(VLOOKUP(B238,'ECN-ECO_DATA'!B:J,9,FALSE)&lt;&gt;"","Approved","Unknown"))))),"")</f>
        <v/>
      </c>
      <c r="K238" s="47" t="str">
        <f>IFERROR(VLOOKUP(B238,'ECN-ECO_DATA'!B:W,22,FALSE),"")</f>
        <v/>
      </c>
      <c r="L238" s="43" t="str">
        <f>IFERROR(IF(VLOOKUP(B238,'ECN-ECO_DATA'!B:AB,27,FALSE)=0,"",VLOOKUP(B238,'ECN-ECO_DATA'!B:AB,27,FALSE)),"")</f>
        <v/>
      </c>
      <c r="M238" s="43" t="str">
        <f>IFERROR(VLOOKUP(B238,'ECN-ECO_DATA'!B:AE,30,FALSE),"")</f>
        <v/>
      </c>
      <c r="N238" s="59" t="str">
        <f>IFERROR(IF((VLOOKUP(B238,'ECN-ECO_DATA'!B:AD,20,FALSE)-VLOOKUP(B238,'ECN-ECO_DATA'!B:AD,18,FALSE))&gt;0,(VLOOKUP(B238,'ECN-ECO_DATA'!B:AD,20,FALSE)-VLOOKUP(B238,'ECN-ECO_DATA'!B:AD,18,FALSE)),""),"")</f>
        <v/>
      </c>
      <c r="O238" s="59"/>
      <c r="P238" s="59" t="str">
        <f>IFERROR(VLOOKUP(B238,'ECN-ECO_DATA'!B:P,13,FALSE),"")</f>
        <v/>
      </c>
      <c r="Q238" s="43" t="str">
        <f>IFERROR(VLOOKUP(B238,'ECN-ECO_DATA'!B:P,15,FALSE),"")</f>
        <v/>
      </c>
    </row>
    <row r="239" spans="3:17" x14ac:dyDescent="0.25">
      <c r="C239" s="43" t="str">
        <f>IFERROR(VLOOKUP(B239,'ECN-ECO_DATA'!B:C,2,FALSE),"")</f>
        <v/>
      </c>
      <c r="D239" s="43" t="str">
        <f>IFERROR(VLOOKUP(B239,'ECN-ECO_DATA'!B:X,23,FALSE),"")</f>
        <v/>
      </c>
      <c r="E239" s="44" t="str">
        <f>IFERROR(VLOOKUP(B239,'ECN-ECO_DATA'!B:G,5,FALSE),"")</f>
        <v/>
      </c>
      <c r="F239" s="44" t="str">
        <f>IFERROR((IF(VLOOKUP(B239,'ECN-ECO_DATA'!B:G,6,FALSE)="","",VLOOKUP(B239,'ECN-ECO_DATA'!B:G,6,FALSE))),"")</f>
        <v/>
      </c>
      <c r="H239" s="45" t="str">
        <f>IFERROR(VLOOKUP(B239,'ECN-ECO_DATA'!B:G,4,FALSE),"")</f>
        <v/>
      </c>
      <c r="I239" s="46" t="str">
        <f>IFERROR(IF(VLOOKUP(B239,'ECN-ECO_DATA'!B:G,6,FALSE)="","Not started",IF(VLOOKUP(B239,'ECN-ECO_DATA'!B:J,7,FALSE)="","Awaiting First Approval",IF(VLOOKUP(B239,'ECN-ECO_DATA'!B:J,8,FALSE)="","Awaiting Quality Check Approval",IF(VLOOKUP(B239,'ECN-ECO_DATA'!B:J,9,FALSE)="","Awaiting Last Approval",IF(VLOOKUP(B239,'ECN-ECO_DATA'!B:J,9,FALSE)&lt;&gt;"","Approved","Unknown"))))),"")</f>
        <v/>
      </c>
      <c r="K239" s="47" t="str">
        <f>IFERROR(VLOOKUP(B239,'ECN-ECO_DATA'!B:W,22,FALSE),"")</f>
        <v/>
      </c>
      <c r="L239" s="43" t="str">
        <f>IFERROR(IF(VLOOKUP(B239,'ECN-ECO_DATA'!B:AB,27,FALSE)=0,"",VLOOKUP(B239,'ECN-ECO_DATA'!B:AB,27,FALSE)),"")</f>
        <v/>
      </c>
      <c r="M239" s="43" t="str">
        <f>IFERROR(VLOOKUP(B239,'ECN-ECO_DATA'!B:AE,30,FALSE),"")</f>
        <v/>
      </c>
      <c r="N239" s="59" t="str">
        <f>IFERROR(IF((VLOOKUP(B239,'ECN-ECO_DATA'!B:AD,20,FALSE)-VLOOKUP(B239,'ECN-ECO_DATA'!B:AD,18,FALSE))&gt;0,(VLOOKUP(B239,'ECN-ECO_DATA'!B:AD,20,FALSE)-VLOOKUP(B239,'ECN-ECO_DATA'!B:AD,18,FALSE)),""),"")</f>
        <v/>
      </c>
      <c r="O239" s="59"/>
      <c r="P239" s="59" t="str">
        <f>IFERROR(VLOOKUP(B239,'ECN-ECO_DATA'!B:P,13,FALSE),"")</f>
        <v/>
      </c>
      <c r="Q239" s="43" t="str">
        <f>IFERROR(VLOOKUP(B239,'ECN-ECO_DATA'!B:P,15,FALSE),"")</f>
        <v/>
      </c>
    </row>
    <row r="240" spans="3:17" x14ac:dyDescent="0.25">
      <c r="C240" s="43" t="str">
        <f>IFERROR(VLOOKUP(B240,'ECN-ECO_DATA'!B:C,2,FALSE),"")</f>
        <v/>
      </c>
      <c r="D240" s="43" t="str">
        <f>IFERROR(VLOOKUP(B240,'ECN-ECO_DATA'!B:X,23,FALSE),"")</f>
        <v/>
      </c>
      <c r="E240" s="44" t="str">
        <f>IFERROR(VLOOKUP(B240,'ECN-ECO_DATA'!B:G,5,FALSE),"")</f>
        <v/>
      </c>
      <c r="F240" s="44" t="str">
        <f>IFERROR((IF(VLOOKUP(B240,'ECN-ECO_DATA'!B:G,6,FALSE)="","",VLOOKUP(B240,'ECN-ECO_DATA'!B:G,6,FALSE))),"")</f>
        <v/>
      </c>
      <c r="H240" s="45" t="str">
        <f>IFERROR(VLOOKUP(B240,'ECN-ECO_DATA'!B:G,4,FALSE),"")</f>
        <v/>
      </c>
      <c r="I240" s="46" t="str">
        <f>IFERROR(IF(VLOOKUP(B240,'ECN-ECO_DATA'!B:G,6,FALSE)="","Not started",IF(VLOOKUP(B240,'ECN-ECO_DATA'!B:J,7,FALSE)="","Awaiting First Approval",IF(VLOOKUP(B240,'ECN-ECO_DATA'!B:J,8,FALSE)="","Awaiting Quality Check Approval",IF(VLOOKUP(B240,'ECN-ECO_DATA'!B:J,9,FALSE)="","Awaiting Last Approval",IF(VLOOKUP(B240,'ECN-ECO_DATA'!B:J,9,FALSE)&lt;&gt;"","Approved","Unknown"))))),"")</f>
        <v/>
      </c>
      <c r="K240" s="47" t="str">
        <f>IFERROR(VLOOKUP(B240,'ECN-ECO_DATA'!B:W,22,FALSE),"")</f>
        <v/>
      </c>
      <c r="L240" s="43" t="str">
        <f>IFERROR(IF(VLOOKUP(B240,'ECN-ECO_DATA'!B:AB,27,FALSE)=0,"",VLOOKUP(B240,'ECN-ECO_DATA'!B:AB,27,FALSE)),"")</f>
        <v/>
      </c>
      <c r="M240" s="43" t="str">
        <f>IFERROR(VLOOKUP(B240,'ECN-ECO_DATA'!B:AE,30,FALSE),"")</f>
        <v/>
      </c>
      <c r="N240" s="59" t="str">
        <f>IFERROR(IF((VLOOKUP(B240,'ECN-ECO_DATA'!B:AD,20,FALSE)-VLOOKUP(B240,'ECN-ECO_DATA'!B:AD,18,FALSE))&gt;0,(VLOOKUP(B240,'ECN-ECO_DATA'!B:AD,20,FALSE)-VLOOKUP(B240,'ECN-ECO_DATA'!B:AD,18,FALSE)),""),"")</f>
        <v/>
      </c>
      <c r="O240" s="59"/>
      <c r="P240" s="59" t="str">
        <f>IFERROR(VLOOKUP(B240,'ECN-ECO_DATA'!B:P,13,FALSE),"")</f>
        <v/>
      </c>
      <c r="Q240" s="43" t="str">
        <f>IFERROR(VLOOKUP(B240,'ECN-ECO_DATA'!B:P,15,FALSE),"")</f>
        <v/>
      </c>
    </row>
    <row r="241" spans="3:17" x14ac:dyDescent="0.25">
      <c r="C241" s="43" t="str">
        <f>IFERROR(VLOOKUP(B241,'ECN-ECO_DATA'!B:C,2,FALSE),"")</f>
        <v/>
      </c>
      <c r="D241" s="43" t="str">
        <f>IFERROR(VLOOKUP(B241,'ECN-ECO_DATA'!B:X,23,FALSE),"")</f>
        <v/>
      </c>
      <c r="E241" s="44" t="str">
        <f>IFERROR(VLOOKUP(B241,'ECN-ECO_DATA'!B:G,5,FALSE),"")</f>
        <v/>
      </c>
      <c r="F241" s="44" t="str">
        <f>IFERROR((IF(VLOOKUP(B241,'ECN-ECO_DATA'!B:G,6,FALSE)="","",VLOOKUP(B241,'ECN-ECO_DATA'!B:G,6,FALSE))),"")</f>
        <v/>
      </c>
      <c r="H241" s="45" t="str">
        <f>IFERROR(VLOOKUP(B241,'ECN-ECO_DATA'!B:G,4,FALSE),"")</f>
        <v/>
      </c>
      <c r="I241" s="46" t="str">
        <f>IFERROR(IF(VLOOKUP(B241,'ECN-ECO_DATA'!B:G,6,FALSE)="","Not started",IF(VLOOKUP(B241,'ECN-ECO_DATA'!B:J,7,FALSE)="","Awaiting First Approval",IF(VLOOKUP(B241,'ECN-ECO_DATA'!B:J,8,FALSE)="","Awaiting Quality Check Approval",IF(VLOOKUP(B241,'ECN-ECO_DATA'!B:J,9,FALSE)="","Awaiting Last Approval",IF(VLOOKUP(B241,'ECN-ECO_DATA'!B:J,9,FALSE)&lt;&gt;"","Approved","Unknown"))))),"")</f>
        <v/>
      </c>
      <c r="K241" s="47" t="str">
        <f>IFERROR(VLOOKUP(B241,'ECN-ECO_DATA'!B:W,22,FALSE),"")</f>
        <v/>
      </c>
      <c r="L241" s="43" t="str">
        <f>IFERROR(IF(VLOOKUP(B241,'ECN-ECO_DATA'!B:AB,27,FALSE)=0,"",VLOOKUP(B241,'ECN-ECO_DATA'!B:AB,27,FALSE)),"")</f>
        <v/>
      </c>
      <c r="M241" s="43" t="str">
        <f>IFERROR(VLOOKUP(B241,'ECN-ECO_DATA'!B:AE,30,FALSE),"")</f>
        <v/>
      </c>
      <c r="N241" s="59" t="str">
        <f>IFERROR(IF((VLOOKUP(B241,'ECN-ECO_DATA'!B:AD,20,FALSE)-VLOOKUP(B241,'ECN-ECO_DATA'!B:AD,18,FALSE))&gt;0,(VLOOKUP(B241,'ECN-ECO_DATA'!B:AD,20,FALSE)-VLOOKUP(B241,'ECN-ECO_DATA'!B:AD,18,FALSE)),""),"")</f>
        <v/>
      </c>
      <c r="O241" s="59"/>
      <c r="P241" s="59" t="str">
        <f>IFERROR(VLOOKUP(B241,'ECN-ECO_DATA'!B:P,13,FALSE),"")</f>
        <v/>
      </c>
      <c r="Q241" s="43" t="str">
        <f>IFERROR(VLOOKUP(B241,'ECN-ECO_DATA'!B:P,15,FALSE),"")</f>
        <v/>
      </c>
    </row>
    <row r="242" spans="3:17" x14ac:dyDescent="0.25">
      <c r="C242" s="43" t="str">
        <f>IFERROR(VLOOKUP(B242,'ECN-ECO_DATA'!B:C,2,FALSE),"")</f>
        <v/>
      </c>
      <c r="D242" s="43" t="str">
        <f>IFERROR(VLOOKUP(B242,'ECN-ECO_DATA'!B:X,23,FALSE),"")</f>
        <v/>
      </c>
      <c r="E242" s="44" t="str">
        <f>IFERROR(VLOOKUP(B242,'ECN-ECO_DATA'!B:G,5,FALSE),"")</f>
        <v/>
      </c>
      <c r="F242" s="44" t="str">
        <f>IFERROR((IF(VLOOKUP(B242,'ECN-ECO_DATA'!B:G,6,FALSE)="","",VLOOKUP(B242,'ECN-ECO_DATA'!B:G,6,FALSE))),"")</f>
        <v/>
      </c>
      <c r="H242" s="45" t="str">
        <f>IFERROR(VLOOKUP(B242,'ECN-ECO_DATA'!B:G,4,FALSE),"")</f>
        <v/>
      </c>
      <c r="I242" s="46" t="str">
        <f>IFERROR(IF(VLOOKUP(B242,'ECN-ECO_DATA'!B:G,6,FALSE)="","Not started",IF(VLOOKUP(B242,'ECN-ECO_DATA'!B:J,7,FALSE)="","Awaiting First Approval",IF(VLOOKUP(B242,'ECN-ECO_DATA'!B:J,8,FALSE)="","Awaiting Quality Check Approval",IF(VLOOKUP(B242,'ECN-ECO_DATA'!B:J,9,FALSE)="","Awaiting Last Approval",IF(VLOOKUP(B242,'ECN-ECO_DATA'!B:J,9,FALSE)&lt;&gt;"","Approved","Unknown"))))),"")</f>
        <v/>
      </c>
      <c r="K242" s="47" t="str">
        <f>IFERROR(VLOOKUP(B242,'ECN-ECO_DATA'!B:W,22,FALSE),"")</f>
        <v/>
      </c>
      <c r="L242" s="43" t="str">
        <f>IFERROR(IF(VLOOKUP(B242,'ECN-ECO_DATA'!B:AB,27,FALSE)=0,"",VLOOKUP(B242,'ECN-ECO_DATA'!B:AB,27,FALSE)),"")</f>
        <v/>
      </c>
      <c r="M242" s="43" t="str">
        <f>IFERROR(VLOOKUP(B242,'ECN-ECO_DATA'!B:AE,30,FALSE),"")</f>
        <v/>
      </c>
      <c r="N242" s="59" t="str">
        <f>IFERROR(IF((VLOOKUP(B242,'ECN-ECO_DATA'!B:AD,20,FALSE)-VLOOKUP(B242,'ECN-ECO_DATA'!B:AD,18,FALSE))&gt;0,(VLOOKUP(B242,'ECN-ECO_DATA'!B:AD,20,FALSE)-VLOOKUP(B242,'ECN-ECO_DATA'!B:AD,18,FALSE)),""),"")</f>
        <v/>
      </c>
      <c r="O242" s="59"/>
      <c r="P242" s="59" t="str">
        <f>IFERROR(VLOOKUP(B242,'ECN-ECO_DATA'!B:P,13,FALSE),"")</f>
        <v/>
      </c>
      <c r="Q242" s="43" t="str">
        <f>IFERROR(VLOOKUP(B242,'ECN-ECO_DATA'!B:P,15,FALSE),"")</f>
        <v/>
      </c>
    </row>
    <row r="243" spans="3:17" x14ac:dyDescent="0.25">
      <c r="C243" s="43" t="str">
        <f>IFERROR(VLOOKUP(B243,'ECN-ECO_DATA'!B:C,2,FALSE),"")</f>
        <v/>
      </c>
      <c r="D243" s="43" t="str">
        <f>IFERROR(VLOOKUP(B243,'ECN-ECO_DATA'!B:X,23,FALSE),"")</f>
        <v/>
      </c>
      <c r="E243" s="44" t="str">
        <f>IFERROR(VLOOKUP(B243,'ECN-ECO_DATA'!B:G,5,FALSE),"")</f>
        <v/>
      </c>
      <c r="F243" s="44" t="str">
        <f>IFERROR((IF(VLOOKUP(B243,'ECN-ECO_DATA'!B:G,6,FALSE)="","",VLOOKUP(B243,'ECN-ECO_DATA'!B:G,6,FALSE))),"")</f>
        <v/>
      </c>
      <c r="H243" s="45" t="str">
        <f>IFERROR(VLOOKUP(B243,'ECN-ECO_DATA'!B:G,4,FALSE),"")</f>
        <v/>
      </c>
      <c r="I243" s="46" t="str">
        <f>IFERROR(IF(VLOOKUP(B243,'ECN-ECO_DATA'!B:G,6,FALSE)="","Not started",IF(VLOOKUP(B243,'ECN-ECO_DATA'!B:J,7,FALSE)="","Awaiting First Approval",IF(VLOOKUP(B243,'ECN-ECO_DATA'!B:J,8,FALSE)="","Awaiting Quality Check Approval",IF(VLOOKUP(B243,'ECN-ECO_DATA'!B:J,9,FALSE)="","Awaiting Last Approval",IF(VLOOKUP(B243,'ECN-ECO_DATA'!B:J,9,FALSE)&lt;&gt;"","Approved","Unknown"))))),"")</f>
        <v/>
      </c>
      <c r="K243" s="47" t="str">
        <f>IFERROR(VLOOKUP(B243,'ECN-ECO_DATA'!B:W,22,FALSE),"")</f>
        <v/>
      </c>
      <c r="L243" s="43" t="str">
        <f>IFERROR(IF(VLOOKUP(B243,'ECN-ECO_DATA'!B:AB,27,FALSE)=0,"",VLOOKUP(B243,'ECN-ECO_DATA'!B:AB,27,FALSE)),"")</f>
        <v/>
      </c>
      <c r="M243" s="43" t="str">
        <f>IFERROR(VLOOKUP(B243,'ECN-ECO_DATA'!B:AE,30,FALSE),"")</f>
        <v/>
      </c>
      <c r="N243" s="59" t="str">
        <f>IFERROR(IF((VLOOKUP(B243,'ECN-ECO_DATA'!B:AD,20,FALSE)-VLOOKUP(B243,'ECN-ECO_DATA'!B:AD,18,FALSE))&gt;0,(VLOOKUP(B243,'ECN-ECO_DATA'!B:AD,20,FALSE)-VLOOKUP(B243,'ECN-ECO_DATA'!B:AD,18,FALSE)),""),"")</f>
        <v/>
      </c>
      <c r="O243" s="59"/>
      <c r="P243" s="59" t="str">
        <f>IFERROR(VLOOKUP(B243,'ECN-ECO_DATA'!B:P,13,FALSE),"")</f>
        <v/>
      </c>
      <c r="Q243" s="43" t="str">
        <f>IFERROR(VLOOKUP(B243,'ECN-ECO_DATA'!B:P,15,FALSE),"")</f>
        <v/>
      </c>
    </row>
    <row r="244" spans="3:17" x14ac:dyDescent="0.25">
      <c r="C244" s="43" t="str">
        <f>IFERROR(VLOOKUP(B244,'ECN-ECO_DATA'!B:C,2,FALSE),"")</f>
        <v/>
      </c>
      <c r="D244" s="43" t="str">
        <f>IFERROR(VLOOKUP(B244,'ECN-ECO_DATA'!B:X,23,FALSE),"")</f>
        <v/>
      </c>
      <c r="E244" s="44" t="str">
        <f>IFERROR(VLOOKUP(B244,'ECN-ECO_DATA'!B:G,5,FALSE),"")</f>
        <v/>
      </c>
      <c r="F244" s="44" t="str">
        <f>IFERROR((IF(VLOOKUP(B244,'ECN-ECO_DATA'!B:G,6,FALSE)="","",VLOOKUP(B244,'ECN-ECO_DATA'!B:G,6,FALSE))),"")</f>
        <v/>
      </c>
      <c r="H244" s="45" t="str">
        <f>IFERROR(VLOOKUP(B244,'ECN-ECO_DATA'!B:G,4,FALSE),"")</f>
        <v/>
      </c>
      <c r="I244" s="46" t="str">
        <f>IFERROR(IF(VLOOKUP(B244,'ECN-ECO_DATA'!B:G,6,FALSE)="","Not started",IF(VLOOKUP(B244,'ECN-ECO_DATA'!B:J,7,FALSE)="","Awaiting First Approval",IF(VLOOKUP(B244,'ECN-ECO_DATA'!B:J,8,FALSE)="","Awaiting Quality Check Approval",IF(VLOOKUP(B244,'ECN-ECO_DATA'!B:J,9,FALSE)="","Awaiting Last Approval",IF(VLOOKUP(B244,'ECN-ECO_DATA'!B:J,9,FALSE)&lt;&gt;"","Approved","Unknown"))))),"")</f>
        <v/>
      </c>
      <c r="K244" s="47" t="str">
        <f>IFERROR(VLOOKUP(B244,'ECN-ECO_DATA'!B:W,22,FALSE),"")</f>
        <v/>
      </c>
      <c r="L244" s="43" t="str">
        <f>IFERROR(IF(VLOOKUP(B244,'ECN-ECO_DATA'!B:AB,27,FALSE)=0,"",VLOOKUP(B244,'ECN-ECO_DATA'!B:AB,27,FALSE)),"")</f>
        <v/>
      </c>
      <c r="M244" s="43" t="str">
        <f>IFERROR(VLOOKUP(B244,'ECN-ECO_DATA'!B:AE,30,FALSE),"")</f>
        <v/>
      </c>
      <c r="N244" s="59" t="str">
        <f>IFERROR(IF((VLOOKUP(B244,'ECN-ECO_DATA'!B:AD,20,FALSE)-VLOOKUP(B244,'ECN-ECO_DATA'!B:AD,18,FALSE))&gt;0,(VLOOKUP(B244,'ECN-ECO_DATA'!B:AD,20,FALSE)-VLOOKUP(B244,'ECN-ECO_DATA'!B:AD,18,FALSE)),""),"")</f>
        <v/>
      </c>
      <c r="O244" s="59"/>
      <c r="P244" s="59" t="str">
        <f>IFERROR(VLOOKUP(B244,'ECN-ECO_DATA'!B:P,13,FALSE),"")</f>
        <v/>
      </c>
      <c r="Q244" s="43" t="str">
        <f>IFERROR(VLOOKUP(B244,'ECN-ECO_DATA'!B:P,15,FALSE),"")</f>
        <v/>
      </c>
    </row>
    <row r="245" spans="3:17" x14ac:dyDescent="0.25">
      <c r="C245" s="43" t="str">
        <f>IFERROR(VLOOKUP(B245,'ECN-ECO_DATA'!B:C,2,FALSE),"")</f>
        <v/>
      </c>
      <c r="D245" s="43" t="str">
        <f>IFERROR(VLOOKUP(B245,'ECN-ECO_DATA'!B:X,23,FALSE),"")</f>
        <v/>
      </c>
      <c r="E245" s="44" t="str">
        <f>IFERROR(VLOOKUP(B245,'ECN-ECO_DATA'!B:G,5,FALSE),"")</f>
        <v/>
      </c>
      <c r="F245" s="44" t="str">
        <f>IFERROR((IF(VLOOKUP(B245,'ECN-ECO_DATA'!B:G,6,FALSE)="","",VLOOKUP(B245,'ECN-ECO_DATA'!B:G,6,FALSE))),"")</f>
        <v/>
      </c>
      <c r="H245" s="45" t="str">
        <f>IFERROR(VLOOKUP(B245,'ECN-ECO_DATA'!B:G,4,FALSE),"")</f>
        <v/>
      </c>
      <c r="I245" s="46" t="str">
        <f>IFERROR(IF(VLOOKUP(B245,'ECN-ECO_DATA'!B:G,6,FALSE)="","Not started",IF(VLOOKUP(B245,'ECN-ECO_DATA'!B:J,7,FALSE)="","Awaiting First Approval",IF(VLOOKUP(B245,'ECN-ECO_DATA'!B:J,8,FALSE)="","Awaiting Quality Check Approval",IF(VLOOKUP(B245,'ECN-ECO_DATA'!B:J,9,FALSE)="","Awaiting Last Approval",IF(VLOOKUP(B245,'ECN-ECO_DATA'!B:J,9,FALSE)&lt;&gt;"","Approved","Unknown"))))),"")</f>
        <v/>
      </c>
      <c r="K245" s="47" t="str">
        <f>IFERROR(VLOOKUP(B245,'ECN-ECO_DATA'!B:W,22,FALSE),"")</f>
        <v/>
      </c>
      <c r="L245" s="43" t="str">
        <f>IFERROR(IF(VLOOKUP(B245,'ECN-ECO_DATA'!B:AB,27,FALSE)=0,"",VLOOKUP(B245,'ECN-ECO_DATA'!B:AB,27,FALSE)),"")</f>
        <v/>
      </c>
      <c r="M245" s="43" t="str">
        <f>IFERROR(VLOOKUP(B245,'ECN-ECO_DATA'!B:AE,30,FALSE),"")</f>
        <v/>
      </c>
      <c r="N245" s="59" t="str">
        <f>IFERROR(IF((VLOOKUP(B245,'ECN-ECO_DATA'!B:AD,20,FALSE)-VLOOKUP(B245,'ECN-ECO_DATA'!B:AD,18,FALSE))&gt;0,(VLOOKUP(B245,'ECN-ECO_DATA'!B:AD,20,FALSE)-VLOOKUP(B245,'ECN-ECO_DATA'!B:AD,18,FALSE)),""),"")</f>
        <v/>
      </c>
      <c r="O245" s="59"/>
      <c r="P245" s="59" t="str">
        <f>IFERROR(VLOOKUP(B245,'ECN-ECO_DATA'!B:P,13,FALSE),"")</f>
        <v/>
      </c>
      <c r="Q245" s="43" t="str">
        <f>IFERROR(VLOOKUP(B245,'ECN-ECO_DATA'!B:P,15,FALSE),"")</f>
        <v/>
      </c>
    </row>
    <row r="246" spans="3:17" x14ac:dyDescent="0.25">
      <c r="C246" s="43" t="str">
        <f>IFERROR(VLOOKUP(B246,'ECN-ECO_DATA'!B:C,2,FALSE),"")</f>
        <v/>
      </c>
      <c r="D246" s="43" t="str">
        <f>IFERROR(VLOOKUP(B246,'ECN-ECO_DATA'!B:X,23,FALSE),"")</f>
        <v/>
      </c>
      <c r="E246" s="44" t="str">
        <f>IFERROR(VLOOKUP(B246,'ECN-ECO_DATA'!B:G,5,FALSE),"")</f>
        <v/>
      </c>
      <c r="F246" s="44" t="str">
        <f>IFERROR((IF(VLOOKUP(B246,'ECN-ECO_DATA'!B:G,6,FALSE)="","",VLOOKUP(B246,'ECN-ECO_DATA'!B:G,6,FALSE))),"")</f>
        <v/>
      </c>
      <c r="H246" s="45" t="str">
        <f>IFERROR(VLOOKUP(B246,'ECN-ECO_DATA'!B:G,4,FALSE),"")</f>
        <v/>
      </c>
      <c r="I246" s="46" t="str">
        <f>IFERROR(IF(VLOOKUP(B246,'ECN-ECO_DATA'!B:G,6,FALSE)="","Not started",IF(VLOOKUP(B246,'ECN-ECO_DATA'!B:J,7,FALSE)="","Awaiting First Approval",IF(VLOOKUP(B246,'ECN-ECO_DATA'!B:J,8,FALSE)="","Awaiting Quality Check Approval",IF(VLOOKUP(B246,'ECN-ECO_DATA'!B:J,9,FALSE)="","Awaiting Last Approval",IF(VLOOKUP(B246,'ECN-ECO_DATA'!B:J,9,FALSE)&lt;&gt;"","Approved","Unknown"))))),"")</f>
        <v/>
      </c>
      <c r="K246" s="47" t="str">
        <f>IFERROR(VLOOKUP(B246,'ECN-ECO_DATA'!B:W,22,FALSE),"")</f>
        <v/>
      </c>
      <c r="L246" s="43" t="str">
        <f>IFERROR(IF(VLOOKUP(B246,'ECN-ECO_DATA'!B:AB,27,FALSE)=0,"",VLOOKUP(B246,'ECN-ECO_DATA'!B:AB,27,FALSE)),"")</f>
        <v/>
      </c>
      <c r="M246" s="43" t="str">
        <f>IFERROR(VLOOKUP(B246,'ECN-ECO_DATA'!B:AE,30,FALSE),"")</f>
        <v/>
      </c>
      <c r="N246" s="59" t="str">
        <f>IFERROR(IF((VLOOKUP(B246,'ECN-ECO_DATA'!B:AD,20,FALSE)-VLOOKUP(B246,'ECN-ECO_DATA'!B:AD,18,FALSE))&gt;0,(VLOOKUP(B246,'ECN-ECO_DATA'!B:AD,20,FALSE)-VLOOKUP(B246,'ECN-ECO_DATA'!B:AD,18,FALSE)),""),"")</f>
        <v/>
      </c>
      <c r="O246" s="59"/>
      <c r="P246" s="59" t="str">
        <f>IFERROR(VLOOKUP(B246,'ECN-ECO_DATA'!B:P,13,FALSE),"")</f>
        <v/>
      </c>
      <c r="Q246" s="43" t="str">
        <f>IFERROR(VLOOKUP(B246,'ECN-ECO_DATA'!B:P,15,FALSE),"")</f>
        <v/>
      </c>
    </row>
    <row r="247" spans="3:17" x14ac:dyDescent="0.25">
      <c r="C247" s="43" t="str">
        <f>IFERROR(VLOOKUP(B247,'ECN-ECO_DATA'!B:C,2,FALSE),"")</f>
        <v/>
      </c>
      <c r="D247" s="43" t="str">
        <f>IFERROR(VLOOKUP(B247,'ECN-ECO_DATA'!B:X,23,FALSE),"")</f>
        <v/>
      </c>
      <c r="E247" s="44" t="str">
        <f>IFERROR(VLOOKUP(B247,'ECN-ECO_DATA'!B:G,5,FALSE),"")</f>
        <v/>
      </c>
      <c r="F247" s="44" t="str">
        <f>IFERROR((IF(VLOOKUP(B247,'ECN-ECO_DATA'!B:G,6,FALSE)="","",VLOOKUP(B247,'ECN-ECO_DATA'!B:G,6,FALSE))),"")</f>
        <v/>
      </c>
      <c r="H247" s="45" t="str">
        <f>IFERROR(VLOOKUP(B247,'ECN-ECO_DATA'!B:G,4,FALSE),"")</f>
        <v/>
      </c>
      <c r="I247" s="46" t="str">
        <f>IFERROR(IF(VLOOKUP(B247,'ECN-ECO_DATA'!B:G,6,FALSE)="","Not started",IF(VLOOKUP(B247,'ECN-ECO_DATA'!B:J,7,FALSE)="","Awaiting First Approval",IF(VLOOKUP(B247,'ECN-ECO_DATA'!B:J,8,FALSE)="","Awaiting Quality Check Approval",IF(VLOOKUP(B247,'ECN-ECO_DATA'!B:J,9,FALSE)="","Awaiting Last Approval",IF(VLOOKUP(B247,'ECN-ECO_DATA'!B:J,9,FALSE)&lt;&gt;"","Approved","Unknown"))))),"")</f>
        <v/>
      </c>
      <c r="K247" s="47" t="str">
        <f>IFERROR(VLOOKUP(B247,'ECN-ECO_DATA'!B:W,22,FALSE),"")</f>
        <v/>
      </c>
      <c r="L247" s="43" t="str">
        <f>IFERROR(IF(VLOOKUP(B247,'ECN-ECO_DATA'!B:AB,27,FALSE)=0,"",VLOOKUP(B247,'ECN-ECO_DATA'!B:AB,27,FALSE)),"")</f>
        <v/>
      </c>
      <c r="M247" s="43" t="str">
        <f>IFERROR(VLOOKUP(B247,'ECN-ECO_DATA'!B:AE,30,FALSE),"")</f>
        <v/>
      </c>
      <c r="N247" s="59" t="str">
        <f>IFERROR(IF((VLOOKUP(B247,'ECN-ECO_DATA'!B:AD,20,FALSE)-VLOOKUP(B247,'ECN-ECO_DATA'!B:AD,18,FALSE))&gt;0,(VLOOKUP(B247,'ECN-ECO_DATA'!B:AD,20,FALSE)-VLOOKUP(B247,'ECN-ECO_DATA'!B:AD,18,FALSE)),""),"")</f>
        <v/>
      </c>
      <c r="O247" s="59"/>
      <c r="P247" s="59" t="str">
        <f>IFERROR(VLOOKUP(B247,'ECN-ECO_DATA'!B:P,13,FALSE),"")</f>
        <v/>
      </c>
      <c r="Q247" s="43" t="str">
        <f>IFERROR(VLOOKUP(B247,'ECN-ECO_DATA'!B:P,15,FALSE),"")</f>
        <v/>
      </c>
    </row>
    <row r="248" spans="3:17" x14ac:dyDescent="0.25">
      <c r="C248" s="43" t="str">
        <f>IFERROR(VLOOKUP(B248,'ECN-ECO_DATA'!B:C,2,FALSE),"")</f>
        <v/>
      </c>
      <c r="D248" s="43" t="str">
        <f>IFERROR(VLOOKUP(B248,'ECN-ECO_DATA'!B:X,23,FALSE),"")</f>
        <v/>
      </c>
      <c r="E248" s="44" t="str">
        <f>IFERROR(VLOOKUP(B248,'ECN-ECO_DATA'!B:G,5,FALSE),"")</f>
        <v/>
      </c>
      <c r="F248" s="44" t="str">
        <f>IFERROR((IF(VLOOKUP(B248,'ECN-ECO_DATA'!B:G,6,FALSE)="","",VLOOKUP(B248,'ECN-ECO_DATA'!B:G,6,FALSE))),"")</f>
        <v/>
      </c>
      <c r="H248" s="45" t="str">
        <f>IFERROR(VLOOKUP(B248,'ECN-ECO_DATA'!B:G,4,FALSE),"")</f>
        <v/>
      </c>
      <c r="I248" s="46" t="str">
        <f>IFERROR(IF(VLOOKUP(B248,'ECN-ECO_DATA'!B:G,6,FALSE)="","Not started",IF(VLOOKUP(B248,'ECN-ECO_DATA'!B:J,7,FALSE)="","Awaiting First Approval",IF(VLOOKUP(B248,'ECN-ECO_DATA'!B:J,8,FALSE)="","Awaiting Quality Check Approval",IF(VLOOKUP(B248,'ECN-ECO_DATA'!B:J,9,FALSE)="","Awaiting Last Approval",IF(VLOOKUP(B248,'ECN-ECO_DATA'!B:J,9,FALSE)&lt;&gt;"","Approved","Unknown"))))),"")</f>
        <v/>
      </c>
      <c r="K248" s="47" t="str">
        <f>IFERROR(VLOOKUP(B248,'ECN-ECO_DATA'!B:W,22,FALSE),"")</f>
        <v/>
      </c>
      <c r="L248" s="43" t="str">
        <f>IFERROR(IF(VLOOKUP(B248,'ECN-ECO_DATA'!B:AB,27,FALSE)=0,"",VLOOKUP(B248,'ECN-ECO_DATA'!B:AB,27,FALSE)),"")</f>
        <v/>
      </c>
      <c r="M248" s="43" t="str">
        <f>IFERROR(VLOOKUP(B248,'ECN-ECO_DATA'!B:AE,30,FALSE),"")</f>
        <v/>
      </c>
      <c r="N248" s="59" t="str">
        <f>IFERROR(IF((VLOOKUP(B248,'ECN-ECO_DATA'!B:AD,20,FALSE)-VLOOKUP(B248,'ECN-ECO_DATA'!B:AD,18,FALSE))&gt;0,(VLOOKUP(B248,'ECN-ECO_DATA'!B:AD,20,FALSE)-VLOOKUP(B248,'ECN-ECO_DATA'!B:AD,18,FALSE)),""),"")</f>
        <v/>
      </c>
      <c r="O248" s="59"/>
      <c r="P248" s="59" t="str">
        <f>IFERROR(VLOOKUP(B248,'ECN-ECO_DATA'!B:P,13,FALSE),"")</f>
        <v/>
      </c>
      <c r="Q248" s="43" t="str">
        <f>IFERROR(VLOOKUP(B248,'ECN-ECO_DATA'!B:P,15,FALSE),"")</f>
        <v/>
      </c>
    </row>
    <row r="249" spans="3:17" x14ac:dyDescent="0.25">
      <c r="C249" s="43" t="str">
        <f>IFERROR(VLOOKUP(B249,'ECN-ECO_DATA'!B:C,2,FALSE),"")</f>
        <v/>
      </c>
      <c r="D249" s="43" t="str">
        <f>IFERROR(VLOOKUP(B249,'ECN-ECO_DATA'!B:X,23,FALSE),"")</f>
        <v/>
      </c>
      <c r="E249" s="44" t="str">
        <f>IFERROR(VLOOKUP(B249,'ECN-ECO_DATA'!B:G,5,FALSE),"")</f>
        <v/>
      </c>
      <c r="F249" s="44" t="str">
        <f>IFERROR((IF(VLOOKUP(B249,'ECN-ECO_DATA'!B:G,6,FALSE)="","",VLOOKUP(B249,'ECN-ECO_DATA'!B:G,6,FALSE))),"")</f>
        <v/>
      </c>
      <c r="H249" s="45" t="str">
        <f>IFERROR(VLOOKUP(B249,'ECN-ECO_DATA'!B:G,4,FALSE),"")</f>
        <v/>
      </c>
      <c r="I249" s="46" t="str">
        <f>IFERROR(IF(VLOOKUP(B249,'ECN-ECO_DATA'!B:G,6,FALSE)="","Not started",IF(VLOOKUP(B249,'ECN-ECO_DATA'!B:J,7,FALSE)="","Awaiting First Approval",IF(VLOOKUP(B249,'ECN-ECO_DATA'!B:J,8,FALSE)="","Awaiting Quality Check Approval",IF(VLOOKUP(B249,'ECN-ECO_DATA'!B:J,9,FALSE)="","Awaiting Last Approval",IF(VLOOKUP(B249,'ECN-ECO_DATA'!B:J,9,FALSE)&lt;&gt;"","Approved","Unknown"))))),"")</f>
        <v/>
      </c>
      <c r="K249" s="47" t="str">
        <f>IFERROR(VLOOKUP(B249,'ECN-ECO_DATA'!B:W,22,FALSE),"")</f>
        <v/>
      </c>
      <c r="L249" s="43" t="str">
        <f>IFERROR(IF(VLOOKUP(B249,'ECN-ECO_DATA'!B:AB,27,FALSE)=0,"",VLOOKUP(B249,'ECN-ECO_DATA'!B:AB,27,FALSE)),"")</f>
        <v/>
      </c>
      <c r="M249" s="43" t="str">
        <f>IFERROR(VLOOKUP(B249,'ECN-ECO_DATA'!B:AE,30,FALSE),"")</f>
        <v/>
      </c>
      <c r="N249" s="59" t="str">
        <f>IFERROR(IF((VLOOKUP(B249,'ECN-ECO_DATA'!B:AD,20,FALSE)-VLOOKUP(B249,'ECN-ECO_DATA'!B:AD,18,FALSE))&gt;0,(VLOOKUP(B249,'ECN-ECO_DATA'!B:AD,20,FALSE)-VLOOKUP(B249,'ECN-ECO_DATA'!B:AD,18,FALSE)),""),"")</f>
        <v/>
      </c>
      <c r="O249" s="59"/>
      <c r="P249" s="59" t="str">
        <f>IFERROR(VLOOKUP(B249,'ECN-ECO_DATA'!B:P,13,FALSE),"")</f>
        <v/>
      </c>
      <c r="Q249" s="43" t="str">
        <f>IFERROR(VLOOKUP(B249,'ECN-ECO_DATA'!B:P,15,FALSE),"")</f>
        <v/>
      </c>
    </row>
    <row r="250" spans="3:17" x14ac:dyDescent="0.25">
      <c r="C250" s="43" t="str">
        <f>IFERROR(VLOOKUP(B250,'ECN-ECO_DATA'!B:C,2,FALSE),"")</f>
        <v/>
      </c>
      <c r="D250" s="43" t="str">
        <f>IFERROR(VLOOKUP(B250,'ECN-ECO_DATA'!B:X,23,FALSE),"")</f>
        <v/>
      </c>
      <c r="E250" s="44" t="str">
        <f>IFERROR(VLOOKUP(B250,'ECN-ECO_DATA'!B:G,5,FALSE),"")</f>
        <v/>
      </c>
      <c r="F250" s="44" t="str">
        <f>IFERROR((IF(VLOOKUP(B250,'ECN-ECO_DATA'!B:G,6,FALSE)="","",VLOOKUP(B250,'ECN-ECO_DATA'!B:G,6,FALSE))),"")</f>
        <v/>
      </c>
      <c r="H250" s="45" t="str">
        <f>IFERROR(VLOOKUP(B250,'ECN-ECO_DATA'!B:G,4,FALSE),"")</f>
        <v/>
      </c>
      <c r="I250" s="46" t="str">
        <f>IFERROR(IF(VLOOKUP(B250,'ECN-ECO_DATA'!B:G,6,FALSE)="","Not started",IF(VLOOKUP(B250,'ECN-ECO_DATA'!B:J,7,FALSE)="","Awaiting First Approval",IF(VLOOKUP(B250,'ECN-ECO_DATA'!B:J,8,FALSE)="","Awaiting Quality Check Approval",IF(VLOOKUP(B250,'ECN-ECO_DATA'!B:J,9,FALSE)="","Awaiting Last Approval",IF(VLOOKUP(B250,'ECN-ECO_DATA'!B:J,9,FALSE)&lt;&gt;"","Approved","Unknown"))))),"")</f>
        <v/>
      </c>
      <c r="K250" s="47" t="str">
        <f>IFERROR(VLOOKUP(B250,'ECN-ECO_DATA'!B:W,22,FALSE),"")</f>
        <v/>
      </c>
      <c r="L250" s="43" t="str">
        <f>IFERROR(IF(VLOOKUP(B250,'ECN-ECO_DATA'!B:AB,27,FALSE)=0,"",VLOOKUP(B250,'ECN-ECO_DATA'!B:AB,27,FALSE)),"")</f>
        <v/>
      </c>
      <c r="M250" s="43" t="str">
        <f>IFERROR(VLOOKUP(B250,'ECN-ECO_DATA'!B:AE,30,FALSE),"")</f>
        <v/>
      </c>
      <c r="N250" s="59" t="str">
        <f>IFERROR(IF((VLOOKUP(B250,'ECN-ECO_DATA'!B:AD,20,FALSE)-VLOOKUP(B250,'ECN-ECO_DATA'!B:AD,18,FALSE))&gt;0,(VLOOKUP(B250,'ECN-ECO_DATA'!B:AD,20,FALSE)-VLOOKUP(B250,'ECN-ECO_DATA'!B:AD,18,FALSE)),""),"")</f>
        <v/>
      </c>
      <c r="O250" s="59"/>
      <c r="P250" s="59" t="str">
        <f>IFERROR(VLOOKUP(B250,'ECN-ECO_DATA'!B:P,13,FALSE),"")</f>
        <v/>
      </c>
      <c r="Q250" s="43" t="str">
        <f>IFERROR(VLOOKUP(B250,'ECN-ECO_DATA'!B:P,15,FALSE),"")</f>
        <v/>
      </c>
    </row>
    <row r="251" spans="3:17" x14ac:dyDescent="0.25">
      <c r="C251" s="43" t="str">
        <f>IFERROR(VLOOKUP(B251,'ECN-ECO_DATA'!B:C,2,FALSE),"")</f>
        <v/>
      </c>
      <c r="D251" s="43" t="str">
        <f>IFERROR(VLOOKUP(B251,'ECN-ECO_DATA'!B:X,23,FALSE),"")</f>
        <v/>
      </c>
      <c r="E251" s="44" t="str">
        <f>IFERROR(VLOOKUP(B251,'ECN-ECO_DATA'!B:G,5,FALSE),"")</f>
        <v/>
      </c>
      <c r="F251" s="44" t="str">
        <f>IFERROR((IF(VLOOKUP(B251,'ECN-ECO_DATA'!B:G,6,FALSE)="","",VLOOKUP(B251,'ECN-ECO_DATA'!B:G,6,FALSE))),"")</f>
        <v/>
      </c>
      <c r="H251" s="45" t="str">
        <f>IFERROR(VLOOKUP(B251,'ECN-ECO_DATA'!B:G,4,FALSE),"")</f>
        <v/>
      </c>
      <c r="I251" s="46" t="str">
        <f>IFERROR(IF(VLOOKUP(B251,'ECN-ECO_DATA'!B:G,6,FALSE)="","Not started",IF(VLOOKUP(B251,'ECN-ECO_DATA'!B:J,7,FALSE)="","Awaiting First Approval",IF(VLOOKUP(B251,'ECN-ECO_DATA'!B:J,8,FALSE)="","Awaiting Quality Check Approval",IF(VLOOKUP(B251,'ECN-ECO_DATA'!B:J,9,FALSE)="","Awaiting Last Approval",IF(VLOOKUP(B251,'ECN-ECO_DATA'!B:J,9,FALSE)&lt;&gt;"","Approved","Unknown"))))),"")</f>
        <v/>
      </c>
      <c r="K251" s="47" t="str">
        <f>IFERROR(VLOOKUP(B251,'ECN-ECO_DATA'!B:W,22,FALSE),"")</f>
        <v/>
      </c>
      <c r="L251" s="43" t="str">
        <f>IFERROR(IF(VLOOKUP(B251,'ECN-ECO_DATA'!B:AB,27,FALSE)=0,"",VLOOKUP(B251,'ECN-ECO_DATA'!B:AB,27,FALSE)),"")</f>
        <v/>
      </c>
      <c r="M251" s="43" t="str">
        <f>IFERROR(VLOOKUP(B251,'ECN-ECO_DATA'!B:AE,30,FALSE),"")</f>
        <v/>
      </c>
      <c r="N251" s="59" t="str">
        <f>IFERROR(IF((VLOOKUP(B251,'ECN-ECO_DATA'!B:AD,20,FALSE)-VLOOKUP(B251,'ECN-ECO_DATA'!B:AD,18,FALSE))&gt;0,(VLOOKUP(B251,'ECN-ECO_DATA'!B:AD,20,FALSE)-VLOOKUP(B251,'ECN-ECO_DATA'!B:AD,18,FALSE)),""),"")</f>
        <v/>
      </c>
      <c r="O251" s="59"/>
      <c r="P251" s="59" t="str">
        <f>IFERROR(VLOOKUP(B251,'ECN-ECO_DATA'!B:P,13,FALSE),"")</f>
        <v/>
      </c>
      <c r="Q251" s="43" t="str">
        <f>IFERROR(VLOOKUP(B251,'ECN-ECO_DATA'!B:P,15,FALSE),"")</f>
        <v/>
      </c>
    </row>
    <row r="252" spans="3:17" x14ac:dyDescent="0.25">
      <c r="C252" s="43" t="str">
        <f>IFERROR(VLOOKUP(B252,'ECN-ECO_DATA'!B:C,2,FALSE),"")</f>
        <v/>
      </c>
      <c r="D252" s="43" t="str">
        <f>IFERROR(VLOOKUP(B252,'ECN-ECO_DATA'!B:X,23,FALSE),"")</f>
        <v/>
      </c>
      <c r="E252" s="44" t="str">
        <f>IFERROR(VLOOKUP(B252,'ECN-ECO_DATA'!B:G,5,FALSE),"")</f>
        <v/>
      </c>
      <c r="F252" s="44" t="str">
        <f>IFERROR((IF(VLOOKUP(B252,'ECN-ECO_DATA'!B:G,6,FALSE)="","",VLOOKUP(B252,'ECN-ECO_DATA'!B:G,6,FALSE))),"")</f>
        <v/>
      </c>
      <c r="H252" s="45" t="str">
        <f>IFERROR(VLOOKUP(B252,'ECN-ECO_DATA'!B:G,4,FALSE),"")</f>
        <v/>
      </c>
      <c r="I252" s="46" t="str">
        <f>IFERROR(IF(VLOOKUP(B252,'ECN-ECO_DATA'!B:G,6,FALSE)="","Not started",IF(VLOOKUP(B252,'ECN-ECO_DATA'!B:J,7,FALSE)="","Awaiting First Approval",IF(VLOOKUP(B252,'ECN-ECO_DATA'!B:J,8,FALSE)="","Awaiting Quality Check Approval",IF(VLOOKUP(B252,'ECN-ECO_DATA'!B:J,9,FALSE)="","Awaiting Last Approval",IF(VLOOKUP(B252,'ECN-ECO_DATA'!B:J,9,FALSE)&lt;&gt;"","Approved","Unknown"))))),"")</f>
        <v/>
      </c>
      <c r="K252" s="47" t="str">
        <f>IFERROR(VLOOKUP(B252,'ECN-ECO_DATA'!B:W,22,FALSE),"")</f>
        <v/>
      </c>
      <c r="L252" s="43" t="str">
        <f>IFERROR(IF(VLOOKUP(B252,'ECN-ECO_DATA'!B:AB,27,FALSE)=0,"",VLOOKUP(B252,'ECN-ECO_DATA'!B:AB,27,FALSE)),"")</f>
        <v/>
      </c>
      <c r="M252" s="43" t="str">
        <f>IFERROR(VLOOKUP(B252,'ECN-ECO_DATA'!B:AE,30,FALSE),"")</f>
        <v/>
      </c>
      <c r="N252" s="59" t="str">
        <f>IFERROR(IF((VLOOKUP(B252,'ECN-ECO_DATA'!B:AD,20,FALSE)-VLOOKUP(B252,'ECN-ECO_DATA'!B:AD,18,FALSE))&gt;0,(VLOOKUP(B252,'ECN-ECO_DATA'!B:AD,20,FALSE)-VLOOKUP(B252,'ECN-ECO_DATA'!B:AD,18,FALSE)),""),"")</f>
        <v/>
      </c>
      <c r="O252" s="59"/>
      <c r="P252" s="59" t="str">
        <f>IFERROR(VLOOKUP(B252,'ECN-ECO_DATA'!B:P,13,FALSE),"")</f>
        <v/>
      </c>
      <c r="Q252" s="43" t="str">
        <f>IFERROR(VLOOKUP(B252,'ECN-ECO_DATA'!B:P,15,FALSE),"")</f>
        <v/>
      </c>
    </row>
    <row r="253" spans="3:17" x14ac:dyDescent="0.25">
      <c r="C253" s="43" t="str">
        <f>IFERROR(VLOOKUP(B253,'ECN-ECO_DATA'!B:C,2,FALSE),"")</f>
        <v/>
      </c>
      <c r="D253" s="43" t="str">
        <f>IFERROR(VLOOKUP(B253,'ECN-ECO_DATA'!B:X,23,FALSE),"")</f>
        <v/>
      </c>
      <c r="E253" s="44" t="str">
        <f>IFERROR(VLOOKUP(B253,'ECN-ECO_DATA'!B:G,5,FALSE),"")</f>
        <v/>
      </c>
      <c r="F253" s="44" t="str">
        <f>IFERROR((IF(VLOOKUP(B253,'ECN-ECO_DATA'!B:G,6,FALSE)="","",VLOOKUP(B253,'ECN-ECO_DATA'!B:G,6,FALSE))),"")</f>
        <v/>
      </c>
      <c r="H253" s="45" t="str">
        <f>IFERROR(VLOOKUP(B253,'ECN-ECO_DATA'!B:G,4,FALSE),"")</f>
        <v/>
      </c>
      <c r="I253" s="46" t="str">
        <f>IFERROR(IF(VLOOKUP(B253,'ECN-ECO_DATA'!B:G,6,FALSE)="","Not started",IF(VLOOKUP(B253,'ECN-ECO_DATA'!B:J,7,FALSE)="","Awaiting First Approval",IF(VLOOKUP(B253,'ECN-ECO_DATA'!B:J,8,FALSE)="","Awaiting Quality Check Approval",IF(VLOOKUP(B253,'ECN-ECO_DATA'!B:J,9,FALSE)="","Awaiting Last Approval",IF(VLOOKUP(B253,'ECN-ECO_DATA'!B:J,9,FALSE)&lt;&gt;"","Approved","Unknown"))))),"")</f>
        <v/>
      </c>
      <c r="K253" s="47" t="str">
        <f>IFERROR(VLOOKUP(B253,'ECN-ECO_DATA'!B:W,22,FALSE),"")</f>
        <v/>
      </c>
      <c r="L253" s="43" t="str">
        <f>IFERROR(IF(VLOOKUP(B253,'ECN-ECO_DATA'!B:AB,27,FALSE)=0,"",VLOOKUP(B253,'ECN-ECO_DATA'!B:AB,27,FALSE)),"")</f>
        <v/>
      </c>
      <c r="M253" s="43" t="str">
        <f>IFERROR(VLOOKUP(B253,'ECN-ECO_DATA'!B:AE,30,FALSE),"")</f>
        <v/>
      </c>
      <c r="N253" s="59" t="str">
        <f>IFERROR(IF((VLOOKUP(B253,'ECN-ECO_DATA'!B:AD,20,FALSE)-VLOOKUP(B253,'ECN-ECO_DATA'!B:AD,18,FALSE))&gt;0,(VLOOKUP(B253,'ECN-ECO_DATA'!B:AD,20,FALSE)-VLOOKUP(B253,'ECN-ECO_DATA'!B:AD,18,FALSE)),""),"")</f>
        <v/>
      </c>
      <c r="O253" s="59"/>
      <c r="P253" s="59" t="str">
        <f>IFERROR(VLOOKUP(B253,'ECN-ECO_DATA'!B:P,13,FALSE),"")</f>
        <v/>
      </c>
      <c r="Q253" s="43" t="str">
        <f>IFERROR(VLOOKUP(B253,'ECN-ECO_DATA'!B:P,15,FALSE),"")</f>
        <v/>
      </c>
    </row>
    <row r="254" spans="3:17" x14ac:dyDescent="0.25">
      <c r="C254" s="43" t="str">
        <f>IFERROR(VLOOKUP(B254,'ECN-ECO_DATA'!B:C,2,FALSE),"")</f>
        <v/>
      </c>
      <c r="D254" s="43" t="str">
        <f>IFERROR(VLOOKUP(B254,'ECN-ECO_DATA'!B:X,23,FALSE),"")</f>
        <v/>
      </c>
      <c r="E254" s="44" t="str">
        <f>IFERROR(VLOOKUP(B254,'ECN-ECO_DATA'!B:G,5,FALSE),"")</f>
        <v/>
      </c>
      <c r="F254" s="44" t="str">
        <f>IFERROR((IF(VLOOKUP(B254,'ECN-ECO_DATA'!B:G,6,FALSE)="","",VLOOKUP(B254,'ECN-ECO_DATA'!B:G,6,FALSE))),"")</f>
        <v/>
      </c>
      <c r="H254" s="45" t="str">
        <f>IFERROR(VLOOKUP(B254,'ECN-ECO_DATA'!B:G,4,FALSE),"")</f>
        <v/>
      </c>
      <c r="I254" s="46" t="str">
        <f>IFERROR(IF(VLOOKUP(B254,'ECN-ECO_DATA'!B:G,6,FALSE)="","Not started",IF(VLOOKUP(B254,'ECN-ECO_DATA'!B:J,7,FALSE)="","Awaiting First Approval",IF(VLOOKUP(B254,'ECN-ECO_DATA'!B:J,8,FALSE)="","Awaiting Quality Check Approval",IF(VLOOKUP(B254,'ECN-ECO_DATA'!B:J,9,FALSE)="","Awaiting Last Approval",IF(VLOOKUP(B254,'ECN-ECO_DATA'!B:J,9,FALSE)&lt;&gt;"","Approved","Unknown"))))),"")</f>
        <v/>
      </c>
      <c r="K254" s="47" t="str">
        <f>IFERROR(VLOOKUP(B254,'ECN-ECO_DATA'!B:W,22,FALSE),"")</f>
        <v/>
      </c>
      <c r="L254" s="43" t="str">
        <f>IFERROR(IF(VLOOKUP(B254,'ECN-ECO_DATA'!B:AB,27,FALSE)=0,"",VLOOKUP(B254,'ECN-ECO_DATA'!B:AB,27,FALSE)),"")</f>
        <v/>
      </c>
      <c r="M254" s="43" t="str">
        <f>IFERROR(VLOOKUP(B254,'ECN-ECO_DATA'!B:AE,30,FALSE),"")</f>
        <v/>
      </c>
      <c r="N254" s="59" t="str">
        <f>IFERROR(IF((VLOOKUP(B254,'ECN-ECO_DATA'!B:AD,20,FALSE)-VLOOKUP(B254,'ECN-ECO_DATA'!B:AD,18,FALSE))&gt;0,(VLOOKUP(B254,'ECN-ECO_DATA'!B:AD,20,FALSE)-VLOOKUP(B254,'ECN-ECO_DATA'!B:AD,18,FALSE)),""),"")</f>
        <v/>
      </c>
      <c r="O254" s="59"/>
      <c r="P254" s="59" t="str">
        <f>IFERROR(VLOOKUP(B254,'ECN-ECO_DATA'!B:P,13,FALSE),"")</f>
        <v/>
      </c>
      <c r="Q254" s="43" t="str">
        <f>IFERROR(VLOOKUP(B254,'ECN-ECO_DATA'!B:P,15,FALSE),"")</f>
        <v/>
      </c>
    </row>
    <row r="255" spans="3:17" x14ac:dyDescent="0.25">
      <c r="C255" s="43" t="str">
        <f>IFERROR(VLOOKUP(B255,'ECN-ECO_DATA'!B:C,2,FALSE),"")</f>
        <v/>
      </c>
      <c r="D255" s="43" t="str">
        <f>IFERROR(VLOOKUP(B255,'ECN-ECO_DATA'!B:X,23,FALSE),"")</f>
        <v/>
      </c>
      <c r="E255" s="44" t="str">
        <f>IFERROR(VLOOKUP(B255,'ECN-ECO_DATA'!B:G,5,FALSE),"")</f>
        <v/>
      </c>
      <c r="F255" s="44" t="str">
        <f>IFERROR((IF(VLOOKUP(B255,'ECN-ECO_DATA'!B:G,6,FALSE)="","",VLOOKUP(B255,'ECN-ECO_DATA'!B:G,6,FALSE))),"")</f>
        <v/>
      </c>
      <c r="H255" s="45" t="str">
        <f>IFERROR(VLOOKUP(B255,'ECN-ECO_DATA'!B:G,4,FALSE),"")</f>
        <v/>
      </c>
      <c r="I255" s="46" t="str">
        <f>IFERROR(IF(VLOOKUP(B255,'ECN-ECO_DATA'!B:G,6,FALSE)="","Not started",IF(VLOOKUP(B255,'ECN-ECO_DATA'!B:J,7,FALSE)="","Awaiting First Approval",IF(VLOOKUP(B255,'ECN-ECO_DATA'!B:J,8,FALSE)="","Awaiting Quality Check Approval",IF(VLOOKUP(B255,'ECN-ECO_DATA'!B:J,9,FALSE)="","Awaiting Last Approval",IF(VLOOKUP(B255,'ECN-ECO_DATA'!B:J,9,FALSE)&lt;&gt;"","Approved","Unknown"))))),"")</f>
        <v/>
      </c>
      <c r="K255" s="47" t="str">
        <f>IFERROR(VLOOKUP(B255,'ECN-ECO_DATA'!B:W,22,FALSE),"")</f>
        <v/>
      </c>
      <c r="L255" s="43" t="str">
        <f>IFERROR(IF(VLOOKUP(B255,'ECN-ECO_DATA'!B:AB,27,FALSE)=0,"",VLOOKUP(B255,'ECN-ECO_DATA'!B:AB,27,FALSE)),"")</f>
        <v/>
      </c>
      <c r="M255" s="43" t="str">
        <f>IFERROR(VLOOKUP(B255,'ECN-ECO_DATA'!B:AE,30,FALSE),"")</f>
        <v/>
      </c>
      <c r="N255" s="59" t="str">
        <f>IFERROR(IF((VLOOKUP(B255,'ECN-ECO_DATA'!B:AD,20,FALSE)-VLOOKUP(B255,'ECN-ECO_DATA'!B:AD,18,FALSE))&gt;0,(VLOOKUP(B255,'ECN-ECO_DATA'!B:AD,20,FALSE)-VLOOKUP(B255,'ECN-ECO_DATA'!B:AD,18,FALSE)),""),"")</f>
        <v/>
      </c>
      <c r="O255" s="59"/>
      <c r="P255" s="59" t="str">
        <f>IFERROR(VLOOKUP(B255,'ECN-ECO_DATA'!B:P,13,FALSE),"")</f>
        <v/>
      </c>
      <c r="Q255" s="43" t="str">
        <f>IFERROR(VLOOKUP(B255,'ECN-ECO_DATA'!B:P,15,FALSE),"")</f>
        <v/>
      </c>
    </row>
    <row r="256" spans="3:17" x14ac:dyDescent="0.25">
      <c r="C256" s="43" t="str">
        <f>IFERROR(VLOOKUP(B256,'ECN-ECO_DATA'!B:C,2,FALSE),"")</f>
        <v/>
      </c>
      <c r="D256" s="43" t="str">
        <f>IFERROR(VLOOKUP(B256,'ECN-ECO_DATA'!B:X,23,FALSE),"")</f>
        <v/>
      </c>
      <c r="E256" s="44" t="str">
        <f>IFERROR(VLOOKUP(B256,'ECN-ECO_DATA'!B:G,5,FALSE),"")</f>
        <v/>
      </c>
      <c r="F256" s="44" t="str">
        <f>IFERROR((IF(VLOOKUP(B256,'ECN-ECO_DATA'!B:G,6,FALSE)="","",VLOOKUP(B256,'ECN-ECO_DATA'!B:G,6,FALSE))),"")</f>
        <v/>
      </c>
      <c r="H256" s="45" t="str">
        <f>IFERROR(VLOOKUP(B256,'ECN-ECO_DATA'!B:G,4,FALSE),"")</f>
        <v/>
      </c>
      <c r="I256" s="46" t="str">
        <f>IFERROR(IF(VLOOKUP(B256,'ECN-ECO_DATA'!B:G,6,FALSE)="","Not started",IF(VLOOKUP(B256,'ECN-ECO_DATA'!B:J,7,FALSE)="","Awaiting First Approval",IF(VLOOKUP(B256,'ECN-ECO_DATA'!B:J,8,FALSE)="","Awaiting Quality Check Approval",IF(VLOOKUP(B256,'ECN-ECO_DATA'!B:J,9,FALSE)="","Awaiting Last Approval",IF(VLOOKUP(B256,'ECN-ECO_DATA'!B:J,9,FALSE)&lt;&gt;"","Approved","Unknown"))))),"")</f>
        <v/>
      </c>
      <c r="K256" s="47" t="str">
        <f>IFERROR(VLOOKUP(B256,'ECN-ECO_DATA'!B:W,22,FALSE),"")</f>
        <v/>
      </c>
      <c r="L256" s="43" t="str">
        <f>IFERROR(IF(VLOOKUP(B256,'ECN-ECO_DATA'!B:AB,27,FALSE)=0,"",VLOOKUP(B256,'ECN-ECO_DATA'!B:AB,27,FALSE)),"")</f>
        <v/>
      </c>
      <c r="M256" s="43" t="str">
        <f>IFERROR(VLOOKUP(B256,'ECN-ECO_DATA'!B:AE,30,FALSE),"")</f>
        <v/>
      </c>
      <c r="N256" s="59" t="str">
        <f>IFERROR(IF((VLOOKUP(B256,'ECN-ECO_DATA'!B:AD,20,FALSE)-VLOOKUP(B256,'ECN-ECO_DATA'!B:AD,18,FALSE))&gt;0,(VLOOKUP(B256,'ECN-ECO_DATA'!B:AD,20,FALSE)-VLOOKUP(B256,'ECN-ECO_DATA'!B:AD,18,FALSE)),""),"")</f>
        <v/>
      </c>
      <c r="O256" s="59"/>
      <c r="P256" s="59" t="str">
        <f>IFERROR(VLOOKUP(B256,'ECN-ECO_DATA'!B:P,13,FALSE),"")</f>
        <v/>
      </c>
      <c r="Q256" s="43" t="str">
        <f>IFERROR(VLOOKUP(B256,'ECN-ECO_DATA'!B:P,15,FALSE),"")</f>
        <v/>
      </c>
    </row>
    <row r="257" spans="3:17" x14ac:dyDescent="0.25">
      <c r="C257" s="43" t="str">
        <f>IFERROR(VLOOKUP(B257,'ECN-ECO_DATA'!B:C,2,FALSE),"")</f>
        <v/>
      </c>
      <c r="D257" s="43" t="str">
        <f>IFERROR(VLOOKUP(B257,'ECN-ECO_DATA'!B:X,23,FALSE),"")</f>
        <v/>
      </c>
      <c r="E257" s="44" t="str">
        <f>IFERROR(VLOOKUP(B257,'ECN-ECO_DATA'!B:G,5,FALSE),"")</f>
        <v/>
      </c>
      <c r="F257" s="44" t="str">
        <f>IFERROR((IF(VLOOKUP(B257,'ECN-ECO_DATA'!B:G,6,FALSE)="","",VLOOKUP(B257,'ECN-ECO_DATA'!B:G,6,FALSE))),"")</f>
        <v/>
      </c>
      <c r="H257" s="45" t="str">
        <f>IFERROR(VLOOKUP(B257,'ECN-ECO_DATA'!B:G,4,FALSE),"")</f>
        <v/>
      </c>
      <c r="I257" s="46" t="str">
        <f>IFERROR(IF(VLOOKUP(B257,'ECN-ECO_DATA'!B:G,6,FALSE)="","Not started",IF(VLOOKUP(B257,'ECN-ECO_DATA'!B:J,7,FALSE)="","Awaiting First Approval",IF(VLOOKUP(B257,'ECN-ECO_DATA'!B:J,8,FALSE)="","Awaiting Quality Check Approval",IF(VLOOKUP(B257,'ECN-ECO_DATA'!B:J,9,FALSE)="","Awaiting Last Approval",IF(VLOOKUP(B257,'ECN-ECO_DATA'!B:J,9,FALSE)&lt;&gt;"","Approved","Unknown"))))),"")</f>
        <v/>
      </c>
      <c r="K257" s="47" t="str">
        <f>IFERROR(VLOOKUP(B257,'ECN-ECO_DATA'!B:W,22,FALSE),"")</f>
        <v/>
      </c>
      <c r="L257" s="43" t="str">
        <f>IFERROR(IF(VLOOKUP(B257,'ECN-ECO_DATA'!B:AB,27,FALSE)=0,"",VLOOKUP(B257,'ECN-ECO_DATA'!B:AB,27,FALSE)),"")</f>
        <v/>
      </c>
      <c r="M257" s="43" t="str">
        <f>IFERROR(VLOOKUP(B257,'ECN-ECO_DATA'!B:AE,30,FALSE),"")</f>
        <v/>
      </c>
      <c r="N257" s="59" t="str">
        <f>IFERROR(IF((VLOOKUP(B257,'ECN-ECO_DATA'!B:AD,20,FALSE)-VLOOKUP(B257,'ECN-ECO_DATA'!B:AD,18,FALSE))&gt;0,(VLOOKUP(B257,'ECN-ECO_DATA'!B:AD,20,FALSE)-VLOOKUP(B257,'ECN-ECO_DATA'!B:AD,18,FALSE)),""),"")</f>
        <v/>
      </c>
      <c r="O257" s="59"/>
      <c r="P257" s="59" t="str">
        <f>IFERROR(VLOOKUP(B257,'ECN-ECO_DATA'!B:P,13,FALSE),"")</f>
        <v/>
      </c>
      <c r="Q257" s="43" t="str">
        <f>IFERROR(VLOOKUP(B257,'ECN-ECO_DATA'!B:P,15,FALSE),"")</f>
        <v/>
      </c>
    </row>
    <row r="258" spans="3:17" x14ac:dyDescent="0.25">
      <c r="C258" s="43" t="str">
        <f>IFERROR(VLOOKUP(B258,'ECN-ECO_DATA'!B:C,2,FALSE),"")</f>
        <v/>
      </c>
      <c r="D258" s="43" t="str">
        <f>IFERROR(VLOOKUP(B258,'ECN-ECO_DATA'!B:X,23,FALSE),"")</f>
        <v/>
      </c>
      <c r="E258" s="44" t="str">
        <f>IFERROR(VLOOKUP(B258,'ECN-ECO_DATA'!B:G,5,FALSE),"")</f>
        <v/>
      </c>
      <c r="F258" s="44" t="str">
        <f>IFERROR((IF(VLOOKUP(B258,'ECN-ECO_DATA'!B:G,6,FALSE)="","",VLOOKUP(B258,'ECN-ECO_DATA'!B:G,6,FALSE))),"")</f>
        <v/>
      </c>
      <c r="H258" s="45" t="str">
        <f>IFERROR(VLOOKUP(B258,'ECN-ECO_DATA'!B:G,4,FALSE),"")</f>
        <v/>
      </c>
      <c r="I258" s="46" t="str">
        <f>IFERROR(IF(VLOOKUP(B258,'ECN-ECO_DATA'!B:G,6,FALSE)="","Not started",IF(VLOOKUP(B258,'ECN-ECO_DATA'!B:J,7,FALSE)="","Awaiting First Approval",IF(VLOOKUP(B258,'ECN-ECO_DATA'!B:J,8,FALSE)="","Awaiting Quality Check Approval",IF(VLOOKUP(B258,'ECN-ECO_DATA'!B:J,9,FALSE)="","Awaiting Last Approval",IF(VLOOKUP(B258,'ECN-ECO_DATA'!B:J,9,FALSE)&lt;&gt;"","Approved","Unknown"))))),"")</f>
        <v/>
      </c>
      <c r="K258" s="47" t="str">
        <f>IFERROR(VLOOKUP(B258,'ECN-ECO_DATA'!B:W,22,FALSE),"")</f>
        <v/>
      </c>
      <c r="L258" s="43" t="str">
        <f>IFERROR(IF(VLOOKUP(B258,'ECN-ECO_DATA'!B:AB,27,FALSE)=0,"",VLOOKUP(B258,'ECN-ECO_DATA'!B:AB,27,FALSE)),"")</f>
        <v/>
      </c>
      <c r="M258" s="43" t="str">
        <f>IFERROR(VLOOKUP(B258,'ECN-ECO_DATA'!B:AE,30,FALSE),"")</f>
        <v/>
      </c>
      <c r="N258" s="59" t="str">
        <f>IFERROR(IF((VLOOKUP(B258,'ECN-ECO_DATA'!B:AD,20,FALSE)-VLOOKUP(B258,'ECN-ECO_DATA'!B:AD,18,FALSE))&gt;0,(VLOOKUP(B258,'ECN-ECO_DATA'!B:AD,20,FALSE)-VLOOKUP(B258,'ECN-ECO_DATA'!B:AD,18,FALSE)),""),"")</f>
        <v/>
      </c>
      <c r="O258" s="59"/>
      <c r="P258" s="59" t="str">
        <f>IFERROR(VLOOKUP(B258,'ECN-ECO_DATA'!B:P,13,FALSE),"")</f>
        <v/>
      </c>
      <c r="Q258" s="43" t="str">
        <f>IFERROR(VLOOKUP(B258,'ECN-ECO_DATA'!B:P,15,FALSE),"")</f>
        <v/>
      </c>
    </row>
    <row r="259" spans="3:17" x14ac:dyDescent="0.25">
      <c r="C259" s="43" t="str">
        <f>IFERROR(VLOOKUP(B259,'ECN-ECO_DATA'!B:C,2,FALSE),"")</f>
        <v/>
      </c>
      <c r="D259" s="43" t="str">
        <f>IFERROR(VLOOKUP(B259,'ECN-ECO_DATA'!B:X,23,FALSE),"")</f>
        <v/>
      </c>
      <c r="E259" s="44" t="str">
        <f>IFERROR(VLOOKUP(B259,'ECN-ECO_DATA'!B:G,5,FALSE),"")</f>
        <v/>
      </c>
      <c r="F259" s="44" t="str">
        <f>IFERROR((IF(VLOOKUP(B259,'ECN-ECO_DATA'!B:G,6,FALSE)="","",VLOOKUP(B259,'ECN-ECO_DATA'!B:G,6,FALSE))),"")</f>
        <v/>
      </c>
      <c r="H259" s="45" t="str">
        <f>IFERROR(VLOOKUP(B259,'ECN-ECO_DATA'!B:G,4,FALSE),"")</f>
        <v/>
      </c>
      <c r="I259" s="46" t="str">
        <f>IFERROR(IF(VLOOKUP(B259,'ECN-ECO_DATA'!B:G,6,FALSE)="","Not started",IF(VLOOKUP(B259,'ECN-ECO_DATA'!B:J,7,FALSE)="","Awaiting First Approval",IF(VLOOKUP(B259,'ECN-ECO_DATA'!B:J,8,FALSE)="","Awaiting Quality Check Approval",IF(VLOOKUP(B259,'ECN-ECO_DATA'!B:J,9,FALSE)="","Awaiting Last Approval",IF(VLOOKUP(B259,'ECN-ECO_DATA'!B:J,9,FALSE)&lt;&gt;"","Approved","Unknown"))))),"")</f>
        <v/>
      </c>
      <c r="K259" s="47" t="str">
        <f>IFERROR(VLOOKUP(B259,'ECN-ECO_DATA'!B:W,22,FALSE),"")</f>
        <v/>
      </c>
      <c r="L259" s="43" t="str">
        <f>IFERROR(IF(VLOOKUP(B259,'ECN-ECO_DATA'!B:AB,27,FALSE)=0,"",VLOOKUP(B259,'ECN-ECO_DATA'!B:AB,27,FALSE)),"")</f>
        <v/>
      </c>
      <c r="M259" s="43" t="str">
        <f>IFERROR(VLOOKUP(B259,'ECN-ECO_DATA'!B:AE,30,FALSE),"")</f>
        <v/>
      </c>
      <c r="N259" s="59" t="str">
        <f>IFERROR(IF((VLOOKUP(B259,'ECN-ECO_DATA'!B:AD,20,FALSE)-VLOOKUP(B259,'ECN-ECO_DATA'!B:AD,18,FALSE))&gt;0,(VLOOKUP(B259,'ECN-ECO_DATA'!B:AD,20,FALSE)-VLOOKUP(B259,'ECN-ECO_DATA'!B:AD,18,FALSE)),""),"")</f>
        <v/>
      </c>
      <c r="O259" s="59"/>
      <c r="P259" s="59" t="str">
        <f>IFERROR(VLOOKUP(B259,'ECN-ECO_DATA'!B:P,13,FALSE),"")</f>
        <v/>
      </c>
      <c r="Q259" s="43" t="str">
        <f>IFERROR(VLOOKUP(B259,'ECN-ECO_DATA'!B:P,15,FALSE),"")</f>
        <v/>
      </c>
    </row>
    <row r="260" spans="3:17" x14ac:dyDescent="0.25">
      <c r="C260" s="43" t="str">
        <f>IFERROR(VLOOKUP(B260,'ECN-ECO_DATA'!B:C,2,FALSE),"")</f>
        <v/>
      </c>
      <c r="D260" s="43" t="str">
        <f>IFERROR(VLOOKUP(B260,'ECN-ECO_DATA'!B:X,23,FALSE),"")</f>
        <v/>
      </c>
      <c r="E260" s="44" t="str">
        <f>IFERROR(VLOOKUP(B260,'ECN-ECO_DATA'!B:G,5,FALSE),"")</f>
        <v/>
      </c>
      <c r="F260" s="44" t="str">
        <f>IFERROR((IF(VLOOKUP(B260,'ECN-ECO_DATA'!B:G,6,FALSE)="","",VLOOKUP(B260,'ECN-ECO_DATA'!B:G,6,FALSE))),"")</f>
        <v/>
      </c>
      <c r="H260" s="45" t="str">
        <f>IFERROR(VLOOKUP(B260,'ECN-ECO_DATA'!B:G,4,FALSE),"")</f>
        <v/>
      </c>
      <c r="I260" s="46" t="str">
        <f>IFERROR(IF(VLOOKUP(B260,'ECN-ECO_DATA'!B:G,6,FALSE)="","Not started",IF(VLOOKUP(B260,'ECN-ECO_DATA'!B:J,7,FALSE)="","Awaiting First Approval",IF(VLOOKUP(B260,'ECN-ECO_DATA'!B:J,8,FALSE)="","Awaiting Quality Check Approval",IF(VLOOKUP(B260,'ECN-ECO_DATA'!B:J,9,FALSE)="","Awaiting Last Approval",IF(VLOOKUP(B260,'ECN-ECO_DATA'!B:J,9,FALSE)&lt;&gt;"","Approved","Unknown"))))),"")</f>
        <v/>
      </c>
      <c r="K260" s="47" t="str">
        <f>IFERROR(VLOOKUP(B260,'ECN-ECO_DATA'!B:W,22,FALSE),"")</f>
        <v/>
      </c>
      <c r="L260" s="43" t="str">
        <f>IFERROR(IF(VLOOKUP(B260,'ECN-ECO_DATA'!B:AB,27,FALSE)=0,"",VLOOKUP(B260,'ECN-ECO_DATA'!B:AB,27,FALSE)),"")</f>
        <v/>
      </c>
      <c r="M260" s="43" t="str">
        <f>IFERROR(VLOOKUP(B260,'ECN-ECO_DATA'!B:AE,30,FALSE),"")</f>
        <v/>
      </c>
      <c r="N260" s="59" t="str">
        <f>IFERROR(IF((VLOOKUP(B260,'ECN-ECO_DATA'!B:AD,20,FALSE)-VLOOKUP(B260,'ECN-ECO_DATA'!B:AD,18,FALSE))&gt;0,(VLOOKUP(B260,'ECN-ECO_DATA'!B:AD,20,FALSE)-VLOOKUP(B260,'ECN-ECO_DATA'!B:AD,18,FALSE)),""),"")</f>
        <v/>
      </c>
      <c r="O260" s="59"/>
      <c r="P260" s="59" t="str">
        <f>IFERROR(VLOOKUP(B260,'ECN-ECO_DATA'!B:P,13,FALSE),"")</f>
        <v/>
      </c>
      <c r="Q260" s="43" t="str">
        <f>IFERROR(VLOOKUP(B260,'ECN-ECO_DATA'!B:P,15,FALSE),"")</f>
        <v/>
      </c>
    </row>
    <row r="261" spans="3:17" x14ac:dyDescent="0.25">
      <c r="C261" s="43" t="str">
        <f>IFERROR(VLOOKUP(B261,'ECN-ECO_DATA'!B:C,2,FALSE),"")</f>
        <v/>
      </c>
      <c r="D261" s="43" t="str">
        <f>IFERROR(VLOOKUP(B261,'ECN-ECO_DATA'!B:X,23,FALSE),"")</f>
        <v/>
      </c>
      <c r="E261" s="44" t="str">
        <f>IFERROR(VLOOKUP(B261,'ECN-ECO_DATA'!B:G,5,FALSE),"")</f>
        <v/>
      </c>
      <c r="F261" s="44" t="str">
        <f>IFERROR((IF(VLOOKUP(B261,'ECN-ECO_DATA'!B:G,6,FALSE)="","",VLOOKUP(B261,'ECN-ECO_DATA'!B:G,6,FALSE))),"")</f>
        <v/>
      </c>
      <c r="H261" s="45" t="str">
        <f>IFERROR(VLOOKUP(B261,'ECN-ECO_DATA'!B:G,4,FALSE),"")</f>
        <v/>
      </c>
      <c r="I261" s="46" t="str">
        <f>IFERROR(IF(VLOOKUP(B261,'ECN-ECO_DATA'!B:G,6,FALSE)="","Not started",IF(VLOOKUP(B261,'ECN-ECO_DATA'!B:J,7,FALSE)="","Awaiting First Approval",IF(VLOOKUP(B261,'ECN-ECO_DATA'!B:J,8,FALSE)="","Awaiting Quality Check Approval",IF(VLOOKUP(B261,'ECN-ECO_DATA'!B:J,9,FALSE)="","Awaiting Last Approval",IF(VLOOKUP(B261,'ECN-ECO_DATA'!B:J,9,FALSE)&lt;&gt;"","Approved","Unknown"))))),"")</f>
        <v/>
      </c>
      <c r="K261" s="47" t="str">
        <f>IFERROR(VLOOKUP(B261,'ECN-ECO_DATA'!B:W,22,FALSE),"")</f>
        <v/>
      </c>
      <c r="L261" s="43" t="str">
        <f>IFERROR(IF(VLOOKUP(B261,'ECN-ECO_DATA'!B:AB,27,FALSE)=0,"",VLOOKUP(B261,'ECN-ECO_DATA'!B:AB,27,FALSE)),"")</f>
        <v/>
      </c>
      <c r="M261" s="43" t="str">
        <f>IFERROR(VLOOKUP(B261,'ECN-ECO_DATA'!B:AE,30,FALSE),"")</f>
        <v/>
      </c>
      <c r="N261" s="59" t="str">
        <f>IFERROR(IF((VLOOKUP(B261,'ECN-ECO_DATA'!B:AD,20,FALSE)-VLOOKUP(B261,'ECN-ECO_DATA'!B:AD,18,FALSE))&gt;0,(VLOOKUP(B261,'ECN-ECO_DATA'!B:AD,20,FALSE)-VLOOKUP(B261,'ECN-ECO_DATA'!B:AD,18,FALSE)),""),"")</f>
        <v/>
      </c>
      <c r="O261" s="59"/>
      <c r="P261" s="59" t="str">
        <f>IFERROR(VLOOKUP(B261,'ECN-ECO_DATA'!B:P,13,FALSE),"")</f>
        <v/>
      </c>
      <c r="Q261" s="43" t="str">
        <f>IFERROR(VLOOKUP(B261,'ECN-ECO_DATA'!B:P,15,FALSE),"")</f>
        <v/>
      </c>
    </row>
    <row r="262" spans="3:17" x14ac:dyDescent="0.25">
      <c r="C262" s="43" t="str">
        <f>IFERROR(VLOOKUP(B262,'ECN-ECO_DATA'!B:C,2,FALSE),"")</f>
        <v/>
      </c>
      <c r="D262" s="43" t="str">
        <f>IFERROR(VLOOKUP(B262,'ECN-ECO_DATA'!B:X,23,FALSE),"")</f>
        <v/>
      </c>
      <c r="E262" s="44" t="str">
        <f>IFERROR(VLOOKUP(B262,'ECN-ECO_DATA'!B:G,5,FALSE),"")</f>
        <v/>
      </c>
      <c r="F262" s="44" t="str">
        <f>IFERROR((IF(VLOOKUP(B262,'ECN-ECO_DATA'!B:G,6,FALSE)="","",VLOOKUP(B262,'ECN-ECO_DATA'!B:G,6,FALSE))),"")</f>
        <v/>
      </c>
      <c r="H262" s="45" t="str">
        <f>IFERROR(VLOOKUP(B262,'ECN-ECO_DATA'!B:G,4,FALSE),"")</f>
        <v/>
      </c>
      <c r="I262" s="46" t="str">
        <f>IFERROR(IF(VLOOKUP(B262,'ECN-ECO_DATA'!B:G,6,FALSE)="","Not started",IF(VLOOKUP(B262,'ECN-ECO_DATA'!B:J,7,FALSE)="","Awaiting First Approval",IF(VLOOKUP(B262,'ECN-ECO_DATA'!B:J,8,FALSE)="","Awaiting Quality Check Approval",IF(VLOOKUP(B262,'ECN-ECO_DATA'!B:J,9,FALSE)="","Awaiting Last Approval",IF(VLOOKUP(B262,'ECN-ECO_DATA'!B:J,9,FALSE)&lt;&gt;"","Approved","Unknown"))))),"")</f>
        <v/>
      </c>
      <c r="K262" s="47" t="str">
        <f>IFERROR(VLOOKUP(B262,'ECN-ECO_DATA'!B:W,22,FALSE),"")</f>
        <v/>
      </c>
      <c r="L262" s="43" t="str">
        <f>IFERROR(IF(VLOOKUP(B262,'ECN-ECO_DATA'!B:AB,27,FALSE)=0,"",VLOOKUP(B262,'ECN-ECO_DATA'!B:AB,27,FALSE)),"")</f>
        <v/>
      </c>
      <c r="M262" s="43" t="str">
        <f>IFERROR(VLOOKUP(B262,'ECN-ECO_DATA'!B:AE,30,FALSE),"")</f>
        <v/>
      </c>
      <c r="N262" s="59" t="str">
        <f>IFERROR(IF((VLOOKUP(B262,'ECN-ECO_DATA'!B:AD,20,FALSE)-VLOOKUP(B262,'ECN-ECO_DATA'!B:AD,18,FALSE))&gt;0,(VLOOKUP(B262,'ECN-ECO_DATA'!B:AD,20,FALSE)-VLOOKUP(B262,'ECN-ECO_DATA'!B:AD,18,FALSE)),""),"")</f>
        <v/>
      </c>
      <c r="O262" s="59"/>
      <c r="P262" s="59" t="str">
        <f>IFERROR(VLOOKUP(B262,'ECN-ECO_DATA'!B:P,13,FALSE),"")</f>
        <v/>
      </c>
      <c r="Q262" s="43" t="str">
        <f>IFERROR(VLOOKUP(B262,'ECN-ECO_DATA'!B:P,15,FALSE),"")</f>
        <v/>
      </c>
    </row>
    <row r="263" spans="3:17" x14ac:dyDescent="0.25">
      <c r="C263" s="43" t="str">
        <f>IFERROR(VLOOKUP(B263,'ECN-ECO_DATA'!B:C,2,FALSE),"")</f>
        <v/>
      </c>
      <c r="D263" s="43" t="str">
        <f>IFERROR(VLOOKUP(B263,'ECN-ECO_DATA'!B:X,23,FALSE),"")</f>
        <v/>
      </c>
      <c r="E263" s="44" t="str">
        <f>IFERROR(VLOOKUP(B263,'ECN-ECO_DATA'!B:G,5,FALSE),"")</f>
        <v/>
      </c>
      <c r="F263" s="44" t="str">
        <f>IFERROR((IF(VLOOKUP(B263,'ECN-ECO_DATA'!B:G,6,FALSE)="","",VLOOKUP(B263,'ECN-ECO_DATA'!B:G,6,FALSE))),"")</f>
        <v/>
      </c>
      <c r="H263" s="45" t="str">
        <f>IFERROR(VLOOKUP(B263,'ECN-ECO_DATA'!B:G,4,FALSE),"")</f>
        <v/>
      </c>
      <c r="I263" s="46" t="str">
        <f>IFERROR(IF(VLOOKUP(B263,'ECN-ECO_DATA'!B:G,6,FALSE)="","Not started",IF(VLOOKUP(B263,'ECN-ECO_DATA'!B:J,7,FALSE)="","Awaiting First Approval",IF(VLOOKUP(B263,'ECN-ECO_DATA'!B:J,8,FALSE)="","Awaiting Quality Check Approval",IF(VLOOKUP(B263,'ECN-ECO_DATA'!B:J,9,FALSE)="","Awaiting Last Approval",IF(VLOOKUP(B263,'ECN-ECO_DATA'!B:J,9,FALSE)&lt;&gt;"","Approved","Unknown"))))),"")</f>
        <v/>
      </c>
      <c r="K263" s="47" t="str">
        <f>IFERROR(VLOOKUP(B263,'ECN-ECO_DATA'!B:W,22,FALSE),"")</f>
        <v/>
      </c>
      <c r="L263" s="43" t="str">
        <f>IFERROR(IF(VLOOKUP(B263,'ECN-ECO_DATA'!B:AB,27,FALSE)=0,"",VLOOKUP(B263,'ECN-ECO_DATA'!B:AB,27,FALSE)),"")</f>
        <v/>
      </c>
      <c r="M263" s="43" t="str">
        <f>IFERROR(VLOOKUP(B263,'ECN-ECO_DATA'!B:AE,30,FALSE),"")</f>
        <v/>
      </c>
      <c r="N263" s="59" t="str">
        <f>IFERROR(IF((VLOOKUP(B263,'ECN-ECO_DATA'!B:AD,20,FALSE)-VLOOKUP(B263,'ECN-ECO_DATA'!B:AD,18,FALSE))&gt;0,(VLOOKUP(B263,'ECN-ECO_DATA'!B:AD,20,FALSE)-VLOOKUP(B263,'ECN-ECO_DATA'!B:AD,18,FALSE)),""),"")</f>
        <v/>
      </c>
      <c r="O263" s="59"/>
      <c r="P263" s="59" t="str">
        <f>IFERROR(VLOOKUP(B263,'ECN-ECO_DATA'!B:P,13,FALSE),"")</f>
        <v/>
      </c>
      <c r="Q263" s="43" t="str">
        <f>IFERROR(VLOOKUP(B263,'ECN-ECO_DATA'!B:P,15,FALSE),"")</f>
        <v/>
      </c>
    </row>
    <row r="264" spans="3:17" x14ac:dyDescent="0.25">
      <c r="C264" s="43" t="str">
        <f>IFERROR(VLOOKUP(B264,'ECN-ECO_DATA'!B:C,2,FALSE),"")</f>
        <v/>
      </c>
      <c r="D264" s="43" t="str">
        <f>IFERROR(VLOOKUP(B264,'ECN-ECO_DATA'!B:X,23,FALSE),"")</f>
        <v/>
      </c>
      <c r="E264" s="44" t="str">
        <f>IFERROR(VLOOKUP(B264,'ECN-ECO_DATA'!B:G,5,FALSE),"")</f>
        <v/>
      </c>
      <c r="F264" s="44" t="str">
        <f>IFERROR((IF(VLOOKUP(B264,'ECN-ECO_DATA'!B:G,6,FALSE)="","",VLOOKUP(B264,'ECN-ECO_DATA'!B:G,6,FALSE))),"")</f>
        <v/>
      </c>
      <c r="H264" s="45" t="str">
        <f>IFERROR(VLOOKUP(B264,'ECN-ECO_DATA'!B:G,4,FALSE),"")</f>
        <v/>
      </c>
      <c r="I264" s="46" t="str">
        <f>IFERROR(IF(VLOOKUP(B264,'ECN-ECO_DATA'!B:G,6,FALSE)="","Not started",IF(VLOOKUP(B264,'ECN-ECO_DATA'!B:J,7,FALSE)="","Awaiting First Approval",IF(VLOOKUP(B264,'ECN-ECO_DATA'!B:J,8,FALSE)="","Awaiting Quality Check Approval",IF(VLOOKUP(B264,'ECN-ECO_DATA'!B:J,9,FALSE)="","Awaiting Last Approval",IF(VLOOKUP(B264,'ECN-ECO_DATA'!B:J,9,FALSE)&lt;&gt;"","Approved","Unknown"))))),"")</f>
        <v/>
      </c>
      <c r="K264" s="47" t="str">
        <f>IFERROR(VLOOKUP(B264,'ECN-ECO_DATA'!B:W,22,FALSE),"")</f>
        <v/>
      </c>
      <c r="L264" s="43" t="str">
        <f>IFERROR(IF(VLOOKUP(B264,'ECN-ECO_DATA'!B:AB,27,FALSE)=0,"",VLOOKUP(B264,'ECN-ECO_DATA'!B:AB,27,FALSE)),"")</f>
        <v/>
      </c>
      <c r="M264" s="43" t="str">
        <f>IFERROR(VLOOKUP(B264,'ECN-ECO_DATA'!B:AE,30,FALSE),"")</f>
        <v/>
      </c>
      <c r="N264" s="59" t="str">
        <f>IFERROR(IF((VLOOKUP(B264,'ECN-ECO_DATA'!B:AD,20,FALSE)-VLOOKUP(B264,'ECN-ECO_DATA'!B:AD,18,FALSE))&gt;0,(VLOOKUP(B264,'ECN-ECO_DATA'!B:AD,20,FALSE)-VLOOKUP(B264,'ECN-ECO_DATA'!B:AD,18,FALSE)),""),"")</f>
        <v/>
      </c>
      <c r="O264" s="59"/>
      <c r="P264" s="59" t="str">
        <f>IFERROR(VLOOKUP(B264,'ECN-ECO_DATA'!B:P,13,FALSE),"")</f>
        <v/>
      </c>
      <c r="Q264" s="43" t="str">
        <f>IFERROR(VLOOKUP(B264,'ECN-ECO_DATA'!B:P,15,FALSE),"")</f>
        <v/>
      </c>
    </row>
    <row r="265" spans="3:17" x14ac:dyDescent="0.25">
      <c r="C265" s="43" t="str">
        <f>IFERROR(VLOOKUP(B265,'ECN-ECO_DATA'!B:C,2,FALSE),"")</f>
        <v/>
      </c>
      <c r="D265" s="43" t="str">
        <f>IFERROR(VLOOKUP(B265,'ECN-ECO_DATA'!B:X,23,FALSE),"")</f>
        <v/>
      </c>
      <c r="E265" s="44" t="str">
        <f>IFERROR(VLOOKUP(B265,'ECN-ECO_DATA'!B:G,5,FALSE),"")</f>
        <v/>
      </c>
      <c r="F265" s="44" t="str">
        <f>IFERROR((IF(VLOOKUP(B265,'ECN-ECO_DATA'!B:G,6,FALSE)="","",VLOOKUP(B265,'ECN-ECO_DATA'!B:G,6,FALSE))),"")</f>
        <v/>
      </c>
      <c r="H265" s="45" t="str">
        <f>IFERROR(VLOOKUP(B265,'ECN-ECO_DATA'!B:G,4,FALSE),"")</f>
        <v/>
      </c>
      <c r="I265" s="46" t="str">
        <f>IFERROR(IF(VLOOKUP(B265,'ECN-ECO_DATA'!B:G,6,FALSE)="","Not started",IF(VLOOKUP(B265,'ECN-ECO_DATA'!B:J,7,FALSE)="","Awaiting First Approval",IF(VLOOKUP(B265,'ECN-ECO_DATA'!B:J,8,FALSE)="","Awaiting Quality Check Approval",IF(VLOOKUP(B265,'ECN-ECO_DATA'!B:J,9,FALSE)="","Awaiting Last Approval",IF(VLOOKUP(B265,'ECN-ECO_DATA'!B:J,9,FALSE)&lt;&gt;"","Approved","Unknown"))))),"")</f>
        <v/>
      </c>
      <c r="K265" s="47" t="str">
        <f>IFERROR(VLOOKUP(B265,'ECN-ECO_DATA'!B:W,22,FALSE),"")</f>
        <v/>
      </c>
      <c r="L265" s="43" t="str">
        <f>IFERROR(IF(VLOOKUP(B265,'ECN-ECO_DATA'!B:AB,27,FALSE)=0,"",VLOOKUP(B265,'ECN-ECO_DATA'!B:AB,27,FALSE)),"")</f>
        <v/>
      </c>
      <c r="M265" s="43" t="str">
        <f>IFERROR(VLOOKUP(B265,'ECN-ECO_DATA'!B:AE,30,FALSE),"")</f>
        <v/>
      </c>
      <c r="N265" s="59" t="str">
        <f>IFERROR(IF((VLOOKUP(B265,'ECN-ECO_DATA'!B:AD,20,FALSE)-VLOOKUP(B265,'ECN-ECO_DATA'!B:AD,18,FALSE))&gt;0,(VLOOKUP(B265,'ECN-ECO_DATA'!B:AD,20,FALSE)-VLOOKUP(B265,'ECN-ECO_DATA'!B:AD,18,FALSE)),""),"")</f>
        <v/>
      </c>
      <c r="O265" s="59"/>
      <c r="P265" s="59" t="str">
        <f>IFERROR(VLOOKUP(B265,'ECN-ECO_DATA'!B:P,13,FALSE),"")</f>
        <v/>
      </c>
      <c r="Q265" s="43" t="str">
        <f>IFERROR(VLOOKUP(B265,'ECN-ECO_DATA'!B:P,15,FALSE),"")</f>
        <v/>
      </c>
    </row>
    <row r="266" spans="3:17" x14ac:dyDescent="0.25">
      <c r="C266" s="43" t="str">
        <f>IFERROR(VLOOKUP(B266,'ECN-ECO_DATA'!B:C,2,FALSE),"")</f>
        <v/>
      </c>
      <c r="D266" s="43" t="str">
        <f>IFERROR(VLOOKUP(B266,'ECN-ECO_DATA'!B:X,23,FALSE),"")</f>
        <v/>
      </c>
      <c r="E266" s="44" t="str">
        <f>IFERROR(VLOOKUP(B266,'ECN-ECO_DATA'!B:G,5,FALSE),"")</f>
        <v/>
      </c>
      <c r="F266" s="44" t="str">
        <f>IFERROR((IF(VLOOKUP(B266,'ECN-ECO_DATA'!B:G,6,FALSE)="","",VLOOKUP(B266,'ECN-ECO_DATA'!B:G,6,FALSE))),"")</f>
        <v/>
      </c>
      <c r="H266" s="45" t="str">
        <f>IFERROR(VLOOKUP(B266,'ECN-ECO_DATA'!B:G,4,FALSE),"")</f>
        <v/>
      </c>
      <c r="I266" s="46" t="str">
        <f>IFERROR(IF(VLOOKUP(B266,'ECN-ECO_DATA'!B:G,6,FALSE)="","Not started",IF(VLOOKUP(B266,'ECN-ECO_DATA'!B:J,7,FALSE)="","Awaiting First Approval",IF(VLOOKUP(B266,'ECN-ECO_DATA'!B:J,8,FALSE)="","Awaiting Quality Check Approval",IF(VLOOKUP(B266,'ECN-ECO_DATA'!B:J,9,FALSE)="","Awaiting Last Approval",IF(VLOOKUP(B266,'ECN-ECO_DATA'!B:J,9,FALSE)&lt;&gt;"","Approved","Unknown"))))),"")</f>
        <v/>
      </c>
      <c r="K266" s="47" t="str">
        <f>IFERROR(VLOOKUP(B266,'ECN-ECO_DATA'!B:W,22,FALSE),"")</f>
        <v/>
      </c>
      <c r="L266" s="43" t="str">
        <f>IFERROR(IF(VLOOKUP(B266,'ECN-ECO_DATA'!B:AB,27,FALSE)=0,"",VLOOKUP(B266,'ECN-ECO_DATA'!B:AB,27,FALSE)),"")</f>
        <v/>
      </c>
      <c r="M266" s="43" t="str">
        <f>IFERROR(VLOOKUP(B266,'ECN-ECO_DATA'!B:AE,30,FALSE),"")</f>
        <v/>
      </c>
      <c r="N266" s="59" t="str">
        <f>IFERROR(IF((VLOOKUP(B266,'ECN-ECO_DATA'!B:AD,20,FALSE)-VLOOKUP(B266,'ECN-ECO_DATA'!B:AD,18,FALSE))&gt;0,(VLOOKUP(B266,'ECN-ECO_DATA'!B:AD,20,FALSE)-VLOOKUP(B266,'ECN-ECO_DATA'!B:AD,18,FALSE)),""),"")</f>
        <v/>
      </c>
      <c r="O266" s="59"/>
      <c r="P266" s="59" t="str">
        <f>IFERROR(VLOOKUP(B266,'ECN-ECO_DATA'!B:P,13,FALSE),"")</f>
        <v/>
      </c>
      <c r="Q266" s="43" t="str">
        <f>IFERROR(VLOOKUP(B266,'ECN-ECO_DATA'!B:P,15,FALSE),"")</f>
        <v/>
      </c>
    </row>
    <row r="267" spans="3:17" x14ac:dyDescent="0.25">
      <c r="C267" s="43" t="str">
        <f>IFERROR(VLOOKUP(B267,'ECN-ECO_DATA'!B:C,2,FALSE),"")</f>
        <v/>
      </c>
      <c r="D267" s="43" t="str">
        <f>IFERROR(VLOOKUP(B267,'ECN-ECO_DATA'!B:X,23,FALSE),"")</f>
        <v/>
      </c>
      <c r="E267" s="44" t="str">
        <f>IFERROR(VLOOKUP(B267,'ECN-ECO_DATA'!B:G,5,FALSE),"")</f>
        <v/>
      </c>
      <c r="F267" s="44" t="str">
        <f>IFERROR((IF(VLOOKUP(B267,'ECN-ECO_DATA'!B:G,6,FALSE)="","",VLOOKUP(B267,'ECN-ECO_DATA'!B:G,6,FALSE))),"")</f>
        <v/>
      </c>
      <c r="H267" s="45" t="str">
        <f>IFERROR(VLOOKUP(B267,'ECN-ECO_DATA'!B:G,4,FALSE),"")</f>
        <v/>
      </c>
      <c r="I267" s="46" t="str">
        <f>IFERROR(IF(VLOOKUP(B267,'ECN-ECO_DATA'!B:G,6,FALSE)="","Not started",IF(VLOOKUP(B267,'ECN-ECO_DATA'!B:J,7,FALSE)="","Awaiting First Approval",IF(VLOOKUP(B267,'ECN-ECO_DATA'!B:J,8,FALSE)="","Awaiting Quality Check Approval",IF(VLOOKUP(B267,'ECN-ECO_DATA'!B:J,9,FALSE)="","Awaiting Last Approval",IF(VLOOKUP(B267,'ECN-ECO_DATA'!B:J,9,FALSE)&lt;&gt;"","Approved","Unknown"))))),"")</f>
        <v/>
      </c>
      <c r="K267" s="47" t="str">
        <f>IFERROR(VLOOKUP(B267,'ECN-ECO_DATA'!B:W,22,FALSE),"")</f>
        <v/>
      </c>
      <c r="L267" s="43" t="str">
        <f>IFERROR(IF(VLOOKUP(B267,'ECN-ECO_DATA'!B:AB,27,FALSE)=0,"",VLOOKUP(B267,'ECN-ECO_DATA'!B:AB,27,FALSE)),"")</f>
        <v/>
      </c>
      <c r="M267" s="43" t="str">
        <f>IFERROR(VLOOKUP(B267,'ECN-ECO_DATA'!B:AE,30,FALSE),"")</f>
        <v/>
      </c>
      <c r="N267" s="59" t="str">
        <f>IFERROR(IF((VLOOKUP(B267,'ECN-ECO_DATA'!B:AD,20,FALSE)-VLOOKUP(B267,'ECN-ECO_DATA'!B:AD,18,FALSE))&gt;0,(VLOOKUP(B267,'ECN-ECO_DATA'!B:AD,20,FALSE)-VLOOKUP(B267,'ECN-ECO_DATA'!B:AD,18,FALSE)),""),"")</f>
        <v/>
      </c>
      <c r="O267" s="59"/>
      <c r="P267" s="59" t="str">
        <f>IFERROR(VLOOKUP(B267,'ECN-ECO_DATA'!B:P,13,FALSE),"")</f>
        <v/>
      </c>
      <c r="Q267" s="43" t="str">
        <f>IFERROR(VLOOKUP(B267,'ECN-ECO_DATA'!B:P,15,FALSE),"")</f>
        <v/>
      </c>
    </row>
    <row r="268" spans="3:17" x14ac:dyDescent="0.25">
      <c r="C268" s="43" t="str">
        <f>IFERROR(VLOOKUP(B268,'ECN-ECO_DATA'!B:C,2,FALSE),"")</f>
        <v/>
      </c>
      <c r="D268" s="43" t="str">
        <f>IFERROR(VLOOKUP(B268,'ECN-ECO_DATA'!B:X,23,FALSE),"")</f>
        <v/>
      </c>
      <c r="E268" s="44" t="str">
        <f>IFERROR(VLOOKUP(B268,'ECN-ECO_DATA'!B:G,5,FALSE),"")</f>
        <v/>
      </c>
      <c r="F268" s="44" t="str">
        <f>IFERROR((IF(VLOOKUP(B268,'ECN-ECO_DATA'!B:G,6,FALSE)="","",VLOOKUP(B268,'ECN-ECO_DATA'!B:G,6,FALSE))),"")</f>
        <v/>
      </c>
      <c r="H268" s="45" t="str">
        <f>IFERROR(VLOOKUP(B268,'ECN-ECO_DATA'!B:G,4,FALSE),"")</f>
        <v/>
      </c>
      <c r="I268" s="46" t="str">
        <f>IFERROR(IF(VLOOKUP(B268,'ECN-ECO_DATA'!B:G,6,FALSE)="","Not started",IF(VLOOKUP(B268,'ECN-ECO_DATA'!B:J,7,FALSE)="","Awaiting First Approval",IF(VLOOKUP(B268,'ECN-ECO_DATA'!B:J,8,FALSE)="","Awaiting Quality Check Approval",IF(VLOOKUP(B268,'ECN-ECO_DATA'!B:J,9,FALSE)="","Awaiting Last Approval",IF(VLOOKUP(B268,'ECN-ECO_DATA'!B:J,9,FALSE)&lt;&gt;"","Approved","Unknown"))))),"")</f>
        <v/>
      </c>
      <c r="K268" s="47" t="str">
        <f>IFERROR(VLOOKUP(B268,'ECN-ECO_DATA'!B:W,22,FALSE),"")</f>
        <v/>
      </c>
      <c r="L268" s="43" t="str">
        <f>IFERROR(IF(VLOOKUP(B268,'ECN-ECO_DATA'!B:AB,27,FALSE)=0,"",VLOOKUP(B268,'ECN-ECO_DATA'!B:AB,27,FALSE)),"")</f>
        <v/>
      </c>
      <c r="M268" s="43" t="str">
        <f>IFERROR(VLOOKUP(B268,'ECN-ECO_DATA'!B:AE,30,FALSE),"")</f>
        <v/>
      </c>
      <c r="N268" s="59" t="str">
        <f>IFERROR(IF((VLOOKUP(B268,'ECN-ECO_DATA'!B:AD,20,FALSE)-VLOOKUP(B268,'ECN-ECO_DATA'!B:AD,18,FALSE))&gt;0,(VLOOKUP(B268,'ECN-ECO_DATA'!B:AD,20,FALSE)-VLOOKUP(B268,'ECN-ECO_DATA'!B:AD,18,FALSE)),""),"")</f>
        <v/>
      </c>
      <c r="O268" s="59"/>
      <c r="P268" s="59" t="str">
        <f>IFERROR(VLOOKUP(B268,'ECN-ECO_DATA'!B:P,13,FALSE),"")</f>
        <v/>
      </c>
      <c r="Q268" s="43" t="str">
        <f>IFERROR(VLOOKUP(B268,'ECN-ECO_DATA'!B:P,15,FALSE),"")</f>
        <v/>
      </c>
    </row>
    <row r="269" spans="3:17" x14ac:dyDescent="0.25">
      <c r="C269" s="43" t="str">
        <f>IFERROR(VLOOKUP(B269,'ECN-ECO_DATA'!B:C,2,FALSE),"")</f>
        <v/>
      </c>
      <c r="D269" s="43" t="str">
        <f>IFERROR(VLOOKUP(B269,'ECN-ECO_DATA'!B:X,23,FALSE),"")</f>
        <v/>
      </c>
      <c r="E269" s="44" t="str">
        <f>IFERROR(VLOOKUP(B269,'ECN-ECO_DATA'!B:G,5,FALSE),"")</f>
        <v/>
      </c>
      <c r="F269" s="44" t="str">
        <f>IFERROR((IF(VLOOKUP(B269,'ECN-ECO_DATA'!B:G,6,FALSE)="","",VLOOKUP(B269,'ECN-ECO_DATA'!B:G,6,FALSE))),"")</f>
        <v/>
      </c>
      <c r="H269" s="45" t="str">
        <f>IFERROR(VLOOKUP(B269,'ECN-ECO_DATA'!B:G,4,FALSE),"")</f>
        <v/>
      </c>
      <c r="I269" s="46" t="str">
        <f>IFERROR(IF(VLOOKUP(B269,'ECN-ECO_DATA'!B:G,6,FALSE)="","Not started",IF(VLOOKUP(B269,'ECN-ECO_DATA'!B:J,7,FALSE)="","Awaiting First Approval",IF(VLOOKUP(B269,'ECN-ECO_DATA'!B:J,8,FALSE)="","Awaiting Quality Check Approval",IF(VLOOKUP(B269,'ECN-ECO_DATA'!B:J,9,FALSE)="","Awaiting Last Approval",IF(VLOOKUP(B269,'ECN-ECO_DATA'!B:J,9,FALSE)&lt;&gt;"","Approved","Unknown"))))),"")</f>
        <v/>
      </c>
      <c r="K269" s="47" t="str">
        <f>IFERROR(VLOOKUP(B269,'ECN-ECO_DATA'!B:W,22,FALSE),"")</f>
        <v/>
      </c>
      <c r="L269" s="43" t="str">
        <f>IFERROR(IF(VLOOKUP(B269,'ECN-ECO_DATA'!B:AB,27,FALSE)=0,"",VLOOKUP(B269,'ECN-ECO_DATA'!B:AB,27,FALSE)),"")</f>
        <v/>
      </c>
      <c r="M269" s="43" t="str">
        <f>IFERROR(VLOOKUP(B269,'ECN-ECO_DATA'!B:AE,30,FALSE),"")</f>
        <v/>
      </c>
      <c r="N269" s="59" t="str">
        <f>IFERROR(IF((VLOOKUP(B269,'ECN-ECO_DATA'!B:AD,20,FALSE)-VLOOKUP(B269,'ECN-ECO_DATA'!B:AD,18,FALSE))&gt;0,(VLOOKUP(B269,'ECN-ECO_DATA'!B:AD,20,FALSE)-VLOOKUP(B269,'ECN-ECO_DATA'!B:AD,18,FALSE)),""),"")</f>
        <v/>
      </c>
      <c r="O269" s="59"/>
      <c r="P269" s="59" t="str">
        <f>IFERROR(VLOOKUP(B269,'ECN-ECO_DATA'!B:P,13,FALSE),"")</f>
        <v/>
      </c>
      <c r="Q269" s="43" t="str">
        <f>IFERROR(VLOOKUP(B269,'ECN-ECO_DATA'!B:P,15,FALSE),"")</f>
        <v/>
      </c>
    </row>
    <row r="270" spans="3:17" x14ac:dyDescent="0.25">
      <c r="C270" s="43" t="str">
        <f>IFERROR(VLOOKUP(B270,'ECN-ECO_DATA'!B:C,2,FALSE),"")</f>
        <v/>
      </c>
      <c r="D270" s="43" t="str">
        <f>IFERROR(VLOOKUP(B270,'ECN-ECO_DATA'!B:X,23,FALSE),"")</f>
        <v/>
      </c>
      <c r="E270" s="44" t="str">
        <f>IFERROR(VLOOKUP(B270,'ECN-ECO_DATA'!B:G,5,FALSE),"")</f>
        <v/>
      </c>
      <c r="F270" s="44" t="str">
        <f>IFERROR((IF(VLOOKUP(B270,'ECN-ECO_DATA'!B:G,6,FALSE)="","",VLOOKUP(B270,'ECN-ECO_DATA'!B:G,6,FALSE))),"")</f>
        <v/>
      </c>
      <c r="H270" s="45" t="str">
        <f>IFERROR(VLOOKUP(B270,'ECN-ECO_DATA'!B:G,4,FALSE),"")</f>
        <v/>
      </c>
      <c r="I270" s="46" t="str">
        <f>IFERROR(IF(VLOOKUP(B270,'ECN-ECO_DATA'!B:G,6,FALSE)="","Not started",IF(VLOOKUP(B270,'ECN-ECO_DATA'!B:J,7,FALSE)="","Awaiting First Approval",IF(VLOOKUP(B270,'ECN-ECO_DATA'!B:J,8,FALSE)="","Awaiting Quality Check Approval",IF(VLOOKUP(B270,'ECN-ECO_DATA'!B:J,9,FALSE)="","Awaiting Last Approval",IF(VLOOKUP(B270,'ECN-ECO_DATA'!B:J,9,FALSE)&lt;&gt;"","Approved","Unknown"))))),"")</f>
        <v/>
      </c>
      <c r="K270" s="47" t="str">
        <f>IFERROR(VLOOKUP(B270,'ECN-ECO_DATA'!B:W,22,FALSE),"")</f>
        <v/>
      </c>
      <c r="L270" s="43" t="str">
        <f>IFERROR(IF(VLOOKUP(B270,'ECN-ECO_DATA'!B:AB,27,FALSE)=0,"",VLOOKUP(B270,'ECN-ECO_DATA'!B:AB,27,FALSE)),"")</f>
        <v/>
      </c>
      <c r="M270" s="43" t="str">
        <f>IFERROR(VLOOKUP(B270,'ECN-ECO_DATA'!B:AE,30,FALSE),"")</f>
        <v/>
      </c>
      <c r="N270" s="59" t="str">
        <f>IFERROR(IF((VLOOKUP(B270,'ECN-ECO_DATA'!B:AD,20,FALSE)-VLOOKUP(B270,'ECN-ECO_DATA'!B:AD,18,FALSE))&gt;0,(VLOOKUP(B270,'ECN-ECO_DATA'!B:AD,20,FALSE)-VLOOKUP(B270,'ECN-ECO_DATA'!B:AD,18,FALSE)),""),"")</f>
        <v/>
      </c>
      <c r="O270" s="59"/>
      <c r="P270" s="59" t="str">
        <f>IFERROR(VLOOKUP(B270,'ECN-ECO_DATA'!B:P,13,FALSE),"")</f>
        <v/>
      </c>
      <c r="Q270" s="43" t="str">
        <f>IFERROR(VLOOKUP(B270,'ECN-ECO_DATA'!B:P,15,FALSE),"")</f>
        <v/>
      </c>
    </row>
    <row r="271" spans="3:17" x14ac:dyDescent="0.25">
      <c r="C271" s="43" t="str">
        <f>IFERROR(VLOOKUP(B271,'ECN-ECO_DATA'!B:C,2,FALSE),"")</f>
        <v/>
      </c>
      <c r="D271" s="43" t="str">
        <f>IFERROR(VLOOKUP(B271,'ECN-ECO_DATA'!B:X,23,FALSE),"")</f>
        <v/>
      </c>
      <c r="E271" s="44" t="str">
        <f>IFERROR(VLOOKUP(B271,'ECN-ECO_DATA'!B:G,5,FALSE),"")</f>
        <v/>
      </c>
      <c r="F271" s="44" t="str">
        <f>IFERROR((IF(VLOOKUP(B271,'ECN-ECO_DATA'!B:G,6,FALSE)="","",VLOOKUP(B271,'ECN-ECO_DATA'!B:G,6,FALSE))),"")</f>
        <v/>
      </c>
      <c r="H271" s="45" t="str">
        <f>IFERROR(VLOOKUP(B271,'ECN-ECO_DATA'!B:G,4,FALSE),"")</f>
        <v/>
      </c>
      <c r="I271" s="46" t="str">
        <f>IFERROR(IF(VLOOKUP(B271,'ECN-ECO_DATA'!B:G,6,FALSE)="","Not started",IF(VLOOKUP(B271,'ECN-ECO_DATA'!B:J,7,FALSE)="","Awaiting First Approval",IF(VLOOKUP(B271,'ECN-ECO_DATA'!B:J,8,FALSE)="","Awaiting Quality Check Approval",IF(VLOOKUP(B271,'ECN-ECO_DATA'!B:J,9,FALSE)="","Awaiting Last Approval",IF(VLOOKUP(B271,'ECN-ECO_DATA'!B:J,9,FALSE)&lt;&gt;"","Approved","Unknown"))))),"")</f>
        <v/>
      </c>
      <c r="K271" s="47" t="str">
        <f>IFERROR(VLOOKUP(B271,'ECN-ECO_DATA'!B:W,22,FALSE),"")</f>
        <v/>
      </c>
      <c r="L271" s="43" t="str">
        <f>IFERROR(IF(VLOOKUP(B271,'ECN-ECO_DATA'!B:AB,27,FALSE)=0,"",VLOOKUP(B271,'ECN-ECO_DATA'!B:AB,27,FALSE)),"")</f>
        <v/>
      </c>
      <c r="M271" s="43" t="str">
        <f>IFERROR(VLOOKUP(B271,'ECN-ECO_DATA'!B:AE,30,FALSE),"")</f>
        <v/>
      </c>
      <c r="N271" s="59" t="str">
        <f>IFERROR(IF((VLOOKUP(B271,'ECN-ECO_DATA'!B:AD,20,FALSE)-VLOOKUP(B271,'ECN-ECO_DATA'!B:AD,18,FALSE))&gt;0,(VLOOKUP(B271,'ECN-ECO_DATA'!B:AD,20,FALSE)-VLOOKUP(B271,'ECN-ECO_DATA'!B:AD,18,FALSE)),""),"")</f>
        <v/>
      </c>
      <c r="O271" s="59"/>
      <c r="P271" s="59" t="str">
        <f>IFERROR(VLOOKUP(B271,'ECN-ECO_DATA'!B:P,13,FALSE),"")</f>
        <v/>
      </c>
      <c r="Q271" s="43" t="str">
        <f>IFERROR(VLOOKUP(B271,'ECN-ECO_DATA'!B:P,15,FALSE),"")</f>
        <v/>
      </c>
    </row>
    <row r="272" spans="3:17" x14ac:dyDescent="0.25">
      <c r="C272" s="43" t="str">
        <f>IFERROR(VLOOKUP(B272,'ECN-ECO_DATA'!B:C,2,FALSE),"")</f>
        <v/>
      </c>
      <c r="D272" s="43" t="str">
        <f>IFERROR(VLOOKUP(B272,'ECN-ECO_DATA'!B:X,23,FALSE),"")</f>
        <v/>
      </c>
      <c r="E272" s="44" t="str">
        <f>IFERROR(VLOOKUP(B272,'ECN-ECO_DATA'!B:G,5,FALSE),"")</f>
        <v/>
      </c>
      <c r="F272" s="44" t="str">
        <f>IFERROR((IF(VLOOKUP(B272,'ECN-ECO_DATA'!B:G,6,FALSE)="","",VLOOKUP(B272,'ECN-ECO_DATA'!B:G,6,FALSE))),"")</f>
        <v/>
      </c>
      <c r="H272" s="45" t="str">
        <f>IFERROR(VLOOKUP(B272,'ECN-ECO_DATA'!B:G,4,FALSE),"")</f>
        <v/>
      </c>
      <c r="I272" s="46" t="str">
        <f>IFERROR(IF(VLOOKUP(B272,'ECN-ECO_DATA'!B:G,6,FALSE)="","Not started",IF(VLOOKUP(B272,'ECN-ECO_DATA'!B:J,7,FALSE)="","Awaiting First Approval",IF(VLOOKUP(B272,'ECN-ECO_DATA'!B:J,8,FALSE)="","Awaiting Quality Check Approval",IF(VLOOKUP(B272,'ECN-ECO_DATA'!B:J,9,FALSE)="","Awaiting Last Approval",IF(VLOOKUP(B272,'ECN-ECO_DATA'!B:J,9,FALSE)&lt;&gt;"","Approved","Unknown"))))),"")</f>
        <v/>
      </c>
      <c r="K272" s="47" t="str">
        <f>IFERROR(VLOOKUP(B272,'ECN-ECO_DATA'!B:W,22,FALSE),"")</f>
        <v/>
      </c>
      <c r="L272" s="43" t="str">
        <f>IFERROR(IF(VLOOKUP(B272,'ECN-ECO_DATA'!B:AB,27,FALSE)=0,"",VLOOKUP(B272,'ECN-ECO_DATA'!B:AB,27,FALSE)),"")</f>
        <v/>
      </c>
      <c r="M272" s="43" t="str">
        <f>IFERROR(VLOOKUP(B272,'ECN-ECO_DATA'!B:AE,30,FALSE),"")</f>
        <v/>
      </c>
      <c r="N272" s="59" t="str">
        <f>IFERROR(IF((VLOOKUP(B272,'ECN-ECO_DATA'!B:AD,20,FALSE)-VLOOKUP(B272,'ECN-ECO_DATA'!B:AD,18,FALSE))&gt;0,(VLOOKUP(B272,'ECN-ECO_DATA'!B:AD,20,FALSE)-VLOOKUP(B272,'ECN-ECO_DATA'!B:AD,18,FALSE)),""),"")</f>
        <v/>
      </c>
      <c r="O272" s="59"/>
      <c r="P272" s="59" t="str">
        <f>IFERROR(VLOOKUP(B272,'ECN-ECO_DATA'!B:P,13,FALSE),"")</f>
        <v/>
      </c>
      <c r="Q272" s="43" t="str">
        <f>IFERROR(VLOOKUP(B272,'ECN-ECO_DATA'!B:P,15,FALSE),"")</f>
        <v/>
      </c>
    </row>
    <row r="273" spans="3:17" x14ac:dyDescent="0.25">
      <c r="C273" s="43" t="str">
        <f>IFERROR(VLOOKUP(B273,'ECN-ECO_DATA'!B:C,2,FALSE),"")</f>
        <v/>
      </c>
      <c r="D273" s="43" t="str">
        <f>IFERROR(VLOOKUP(B273,'ECN-ECO_DATA'!B:X,23,FALSE),"")</f>
        <v/>
      </c>
      <c r="E273" s="44" t="str">
        <f>IFERROR(VLOOKUP(B273,'ECN-ECO_DATA'!B:G,5,FALSE),"")</f>
        <v/>
      </c>
      <c r="F273" s="44" t="str">
        <f>IFERROR((IF(VLOOKUP(B273,'ECN-ECO_DATA'!B:G,6,FALSE)="","",VLOOKUP(B273,'ECN-ECO_DATA'!B:G,6,FALSE))),"")</f>
        <v/>
      </c>
      <c r="H273" s="45" t="str">
        <f>IFERROR(VLOOKUP(B273,'ECN-ECO_DATA'!B:G,4,FALSE),"")</f>
        <v/>
      </c>
      <c r="I273" s="46" t="str">
        <f>IFERROR(IF(VLOOKUP(B273,'ECN-ECO_DATA'!B:G,6,FALSE)="","Not started",IF(VLOOKUP(B273,'ECN-ECO_DATA'!B:J,7,FALSE)="","Awaiting First Approval",IF(VLOOKUP(B273,'ECN-ECO_DATA'!B:J,8,FALSE)="","Awaiting Quality Check Approval",IF(VLOOKUP(B273,'ECN-ECO_DATA'!B:J,9,FALSE)="","Awaiting Last Approval",IF(VLOOKUP(B273,'ECN-ECO_DATA'!B:J,9,FALSE)&lt;&gt;"","Approved","Unknown"))))),"")</f>
        <v/>
      </c>
      <c r="K273" s="47" t="str">
        <f>IFERROR(VLOOKUP(B273,'ECN-ECO_DATA'!B:W,22,FALSE),"")</f>
        <v/>
      </c>
      <c r="L273" s="43" t="str">
        <f>IFERROR(IF(VLOOKUP(B273,'ECN-ECO_DATA'!B:AB,27,FALSE)=0,"",VLOOKUP(B273,'ECN-ECO_DATA'!B:AB,27,FALSE)),"")</f>
        <v/>
      </c>
      <c r="M273" s="43" t="str">
        <f>IFERROR(VLOOKUP(B273,'ECN-ECO_DATA'!B:AE,30,FALSE),"")</f>
        <v/>
      </c>
      <c r="N273" s="59" t="str">
        <f>IFERROR(IF((VLOOKUP(B273,'ECN-ECO_DATA'!B:AD,20,FALSE)-VLOOKUP(B273,'ECN-ECO_DATA'!B:AD,18,FALSE))&gt;0,(VLOOKUP(B273,'ECN-ECO_DATA'!B:AD,20,FALSE)-VLOOKUP(B273,'ECN-ECO_DATA'!B:AD,18,FALSE)),""),"")</f>
        <v/>
      </c>
      <c r="O273" s="59"/>
      <c r="P273" s="59" t="str">
        <f>IFERROR(VLOOKUP(B273,'ECN-ECO_DATA'!B:P,13,FALSE),"")</f>
        <v/>
      </c>
      <c r="Q273" s="43" t="str">
        <f>IFERROR(VLOOKUP(B273,'ECN-ECO_DATA'!B:P,15,FALSE),"")</f>
        <v/>
      </c>
    </row>
    <row r="274" spans="3:17" x14ac:dyDescent="0.25">
      <c r="C274" s="43" t="str">
        <f>IFERROR(VLOOKUP(B274,'ECN-ECO_DATA'!B:C,2,FALSE),"")</f>
        <v/>
      </c>
      <c r="D274" s="43" t="str">
        <f>IFERROR(VLOOKUP(B274,'ECN-ECO_DATA'!B:X,23,FALSE),"")</f>
        <v/>
      </c>
      <c r="E274" s="44" t="str">
        <f>IFERROR(VLOOKUP(B274,'ECN-ECO_DATA'!B:G,5,FALSE),"")</f>
        <v/>
      </c>
      <c r="F274" s="44" t="str">
        <f>IFERROR((IF(VLOOKUP(B274,'ECN-ECO_DATA'!B:G,6,FALSE)="","",VLOOKUP(B274,'ECN-ECO_DATA'!B:G,6,FALSE))),"")</f>
        <v/>
      </c>
      <c r="H274" s="45" t="str">
        <f>IFERROR(VLOOKUP(B274,'ECN-ECO_DATA'!B:G,4,FALSE),"")</f>
        <v/>
      </c>
      <c r="I274" s="46" t="str">
        <f>IFERROR(IF(VLOOKUP(B274,'ECN-ECO_DATA'!B:G,6,FALSE)="","Not started",IF(VLOOKUP(B274,'ECN-ECO_DATA'!B:J,7,FALSE)="","Awaiting First Approval",IF(VLOOKUP(B274,'ECN-ECO_DATA'!B:J,8,FALSE)="","Awaiting Quality Check Approval",IF(VLOOKUP(B274,'ECN-ECO_DATA'!B:J,9,FALSE)="","Awaiting Last Approval",IF(VLOOKUP(B274,'ECN-ECO_DATA'!B:J,9,FALSE)&lt;&gt;"","Approved","Unknown"))))),"")</f>
        <v/>
      </c>
      <c r="K274" s="47" t="str">
        <f>IFERROR(VLOOKUP(B274,'ECN-ECO_DATA'!B:W,22,FALSE),"")</f>
        <v/>
      </c>
      <c r="L274" s="43" t="str">
        <f>IFERROR(IF(VLOOKUP(B274,'ECN-ECO_DATA'!B:AB,27,FALSE)=0,"",VLOOKUP(B274,'ECN-ECO_DATA'!B:AB,27,FALSE)),"")</f>
        <v/>
      </c>
      <c r="M274" s="43" t="str">
        <f>IFERROR(VLOOKUP(B274,'ECN-ECO_DATA'!B:AE,30,FALSE),"")</f>
        <v/>
      </c>
      <c r="N274" s="59" t="str">
        <f>IFERROR(IF((VLOOKUP(B274,'ECN-ECO_DATA'!B:AD,20,FALSE)-VLOOKUP(B274,'ECN-ECO_DATA'!B:AD,18,FALSE))&gt;0,(VLOOKUP(B274,'ECN-ECO_DATA'!B:AD,20,FALSE)-VLOOKUP(B274,'ECN-ECO_DATA'!B:AD,18,FALSE)),""),"")</f>
        <v/>
      </c>
      <c r="O274" s="59"/>
      <c r="P274" s="59" t="str">
        <f>IFERROR(VLOOKUP(B274,'ECN-ECO_DATA'!B:P,13,FALSE),"")</f>
        <v/>
      </c>
      <c r="Q274" s="43" t="str">
        <f>IFERROR(VLOOKUP(B274,'ECN-ECO_DATA'!B:P,15,FALSE),"")</f>
        <v/>
      </c>
    </row>
    <row r="275" spans="3:17" x14ac:dyDescent="0.25">
      <c r="C275" s="43" t="str">
        <f>IFERROR(VLOOKUP(B275,'ECN-ECO_DATA'!B:C,2,FALSE),"")</f>
        <v/>
      </c>
      <c r="D275" s="43" t="str">
        <f>IFERROR(VLOOKUP(B275,'ECN-ECO_DATA'!B:X,23,FALSE),"")</f>
        <v/>
      </c>
      <c r="E275" s="44" t="str">
        <f>IFERROR(VLOOKUP(B275,'ECN-ECO_DATA'!B:G,5,FALSE),"")</f>
        <v/>
      </c>
      <c r="F275" s="44" t="str">
        <f>IFERROR((IF(VLOOKUP(B275,'ECN-ECO_DATA'!B:G,6,FALSE)="","",VLOOKUP(B275,'ECN-ECO_DATA'!B:G,6,FALSE))),"")</f>
        <v/>
      </c>
      <c r="H275" s="45" t="str">
        <f>IFERROR(VLOOKUP(B275,'ECN-ECO_DATA'!B:G,4,FALSE),"")</f>
        <v/>
      </c>
      <c r="I275" s="46" t="str">
        <f>IFERROR(IF(VLOOKUP(B275,'ECN-ECO_DATA'!B:G,6,FALSE)="","Not started",IF(VLOOKUP(B275,'ECN-ECO_DATA'!B:J,7,FALSE)="","Awaiting First Approval",IF(VLOOKUP(B275,'ECN-ECO_DATA'!B:J,8,FALSE)="","Awaiting Quality Check Approval",IF(VLOOKUP(B275,'ECN-ECO_DATA'!B:J,9,FALSE)="","Awaiting Last Approval",IF(VLOOKUP(B275,'ECN-ECO_DATA'!B:J,9,FALSE)&lt;&gt;"","Approved","Unknown"))))),"")</f>
        <v/>
      </c>
      <c r="K275" s="47" t="str">
        <f>IFERROR(VLOOKUP(B275,'ECN-ECO_DATA'!B:W,22,FALSE),"")</f>
        <v/>
      </c>
      <c r="L275" s="43" t="str">
        <f>IFERROR(IF(VLOOKUP(B275,'ECN-ECO_DATA'!B:AB,27,FALSE)=0,"",VLOOKUP(B275,'ECN-ECO_DATA'!B:AB,27,FALSE)),"")</f>
        <v/>
      </c>
      <c r="M275" s="43" t="str">
        <f>IFERROR(VLOOKUP(B275,'ECN-ECO_DATA'!B:AE,30,FALSE),"")</f>
        <v/>
      </c>
      <c r="N275" s="59" t="str">
        <f>IFERROR(IF((VLOOKUP(B275,'ECN-ECO_DATA'!B:AD,20,FALSE)-VLOOKUP(B275,'ECN-ECO_DATA'!B:AD,18,FALSE))&gt;0,(VLOOKUP(B275,'ECN-ECO_DATA'!B:AD,20,FALSE)-VLOOKUP(B275,'ECN-ECO_DATA'!B:AD,18,FALSE)),""),"")</f>
        <v/>
      </c>
      <c r="O275" s="59"/>
      <c r="P275" s="59" t="str">
        <f>IFERROR(VLOOKUP(B275,'ECN-ECO_DATA'!B:P,13,FALSE),"")</f>
        <v/>
      </c>
      <c r="Q275" s="43" t="str">
        <f>IFERROR(VLOOKUP(B275,'ECN-ECO_DATA'!B:P,15,FALSE),"")</f>
        <v/>
      </c>
    </row>
    <row r="276" spans="3:17" x14ac:dyDescent="0.25">
      <c r="C276" s="43" t="str">
        <f>IFERROR(VLOOKUP(B276,'ECN-ECO_DATA'!B:C,2,FALSE),"")</f>
        <v/>
      </c>
      <c r="D276" s="43" t="str">
        <f>IFERROR(VLOOKUP(B276,'ECN-ECO_DATA'!B:X,23,FALSE),"")</f>
        <v/>
      </c>
      <c r="E276" s="44" t="str">
        <f>IFERROR(VLOOKUP(B276,'ECN-ECO_DATA'!B:G,5,FALSE),"")</f>
        <v/>
      </c>
      <c r="F276" s="44" t="str">
        <f>IFERROR((IF(VLOOKUP(B276,'ECN-ECO_DATA'!B:G,6,FALSE)="","",VLOOKUP(B276,'ECN-ECO_DATA'!B:G,6,FALSE))),"")</f>
        <v/>
      </c>
      <c r="H276" s="45" t="str">
        <f>IFERROR(VLOOKUP(B276,'ECN-ECO_DATA'!B:G,4,FALSE),"")</f>
        <v/>
      </c>
      <c r="I276" s="46" t="str">
        <f>IFERROR(IF(VLOOKUP(B276,'ECN-ECO_DATA'!B:G,6,FALSE)="","Not started",IF(VLOOKUP(B276,'ECN-ECO_DATA'!B:J,7,FALSE)="","Awaiting First Approval",IF(VLOOKUP(B276,'ECN-ECO_DATA'!B:J,8,FALSE)="","Awaiting Quality Check Approval",IF(VLOOKUP(B276,'ECN-ECO_DATA'!B:J,9,FALSE)="","Awaiting Last Approval",IF(VLOOKUP(B276,'ECN-ECO_DATA'!B:J,9,FALSE)&lt;&gt;"","Approved","Unknown"))))),"")</f>
        <v/>
      </c>
      <c r="K276" s="47" t="str">
        <f>IFERROR(VLOOKUP(B276,'ECN-ECO_DATA'!B:W,22,FALSE),"")</f>
        <v/>
      </c>
      <c r="L276" s="43" t="str">
        <f>IFERROR(IF(VLOOKUP(B276,'ECN-ECO_DATA'!B:AB,27,FALSE)=0,"",VLOOKUP(B276,'ECN-ECO_DATA'!B:AB,27,FALSE)),"")</f>
        <v/>
      </c>
      <c r="M276" s="43" t="str">
        <f>IFERROR(VLOOKUP(B276,'ECN-ECO_DATA'!B:AE,30,FALSE),"")</f>
        <v/>
      </c>
      <c r="N276" s="59" t="str">
        <f>IFERROR(IF((VLOOKUP(B276,'ECN-ECO_DATA'!B:AD,20,FALSE)-VLOOKUP(B276,'ECN-ECO_DATA'!B:AD,18,FALSE))&gt;0,(VLOOKUP(B276,'ECN-ECO_DATA'!B:AD,20,FALSE)-VLOOKUP(B276,'ECN-ECO_DATA'!B:AD,18,FALSE)),""),"")</f>
        <v/>
      </c>
      <c r="O276" s="59"/>
      <c r="P276" s="59" t="str">
        <f>IFERROR(VLOOKUP(B276,'ECN-ECO_DATA'!B:P,13,FALSE),"")</f>
        <v/>
      </c>
      <c r="Q276" s="43" t="str">
        <f>IFERROR(VLOOKUP(B276,'ECN-ECO_DATA'!B:P,15,FALSE),"")</f>
        <v/>
      </c>
    </row>
    <row r="277" spans="3:17" x14ac:dyDescent="0.25">
      <c r="C277" s="43" t="str">
        <f>IFERROR(VLOOKUP(B277,'ECN-ECO_DATA'!B:C,2,FALSE),"")</f>
        <v/>
      </c>
      <c r="D277" s="43" t="str">
        <f>IFERROR(VLOOKUP(B277,'ECN-ECO_DATA'!B:X,23,FALSE),"")</f>
        <v/>
      </c>
      <c r="E277" s="44" t="str">
        <f>IFERROR(VLOOKUP(B277,'ECN-ECO_DATA'!B:G,5,FALSE),"")</f>
        <v/>
      </c>
      <c r="F277" s="44" t="str">
        <f>IFERROR((IF(VLOOKUP(B277,'ECN-ECO_DATA'!B:G,6,FALSE)="","",VLOOKUP(B277,'ECN-ECO_DATA'!B:G,6,FALSE))),"")</f>
        <v/>
      </c>
      <c r="H277" s="45" t="str">
        <f>IFERROR(VLOOKUP(B277,'ECN-ECO_DATA'!B:G,4,FALSE),"")</f>
        <v/>
      </c>
      <c r="I277" s="46" t="str">
        <f>IFERROR(IF(VLOOKUP(B277,'ECN-ECO_DATA'!B:G,6,FALSE)="","Not started",IF(VLOOKUP(B277,'ECN-ECO_DATA'!B:J,7,FALSE)="","Awaiting First Approval",IF(VLOOKUP(B277,'ECN-ECO_DATA'!B:J,8,FALSE)="","Awaiting Quality Check Approval",IF(VLOOKUP(B277,'ECN-ECO_DATA'!B:J,9,FALSE)="","Awaiting Last Approval",IF(VLOOKUP(B277,'ECN-ECO_DATA'!B:J,9,FALSE)&lt;&gt;"","Approved","Unknown"))))),"")</f>
        <v/>
      </c>
      <c r="K277" s="47" t="str">
        <f>IFERROR(VLOOKUP(B277,'ECN-ECO_DATA'!B:W,22,FALSE),"")</f>
        <v/>
      </c>
      <c r="L277" s="43" t="str">
        <f>IFERROR(IF(VLOOKUP(B277,'ECN-ECO_DATA'!B:AB,27,FALSE)=0,"",VLOOKUP(B277,'ECN-ECO_DATA'!B:AB,27,FALSE)),"")</f>
        <v/>
      </c>
      <c r="M277" s="43" t="str">
        <f>IFERROR(VLOOKUP(B277,'ECN-ECO_DATA'!B:AE,30,FALSE),"")</f>
        <v/>
      </c>
      <c r="N277" s="59" t="str">
        <f>IFERROR(IF((VLOOKUP(B277,'ECN-ECO_DATA'!B:AD,20,FALSE)-VLOOKUP(B277,'ECN-ECO_DATA'!B:AD,18,FALSE))&gt;0,(VLOOKUP(B277,'ECN-ECO_DATA'!B:AD,20,FALSE)-VLOOKUP(B277,'ECN-ECO_DATA'!B:AD,18,FALSE)),""),"")</f>
        <v/>
      </c>
      <c r="O277" s="59"/>
      <c r="P277" s="59" t="str">
        <f>IFERROR(VLOOKUP(B277,'ECN-ECO_DATA'!B:P,13,FALSE),"")</f>
        <v/>
      </c>
      <c r="Q277" s="43" t="str">
        <f>IFERROR(VLOOKUP(B277,'ECN-ECO_DATA'!B:P,15,FALSE),"")</f>
        <v/>
      </c>
    </row>
    <row r="278" spans="3:17" x14ac:dyDescent="0.25">
      <c r="C278" s="43" t="str">
        <f>IFERROR(VLOOKUP(B278,'ECN-ECO_DATA'!B:C,2,FALSE),"")</f>
        <v/>
      </c>
      <c r="D278" s="43" t="str">
        <f>IFERROR(VLOOKUP(B278,'ECN-ECO_DATA'!B:X,23,FALSE),"")</f>
        <v/>
      </c>
      <c r="E278" s="44" t="str">
        <f>IFERROR(VLOOKUP(B278,'ECN-ECO_DATA'!B:G,5,FALSE),"")</f>
        <v/>
      </c>
      <c r="F278" s="44" t="str">
        <f>IFERROR((IF(VLOOKUP(B278,'ECN-ECO_DATA'!B:G,6,FALSE)="","",VLOOKUP(B278,'ECN-ECO_DATA'!B:G,6,FALSE))),"")</f>
        <v/>
      </c>
      <c r="H278" s="45" t="str">
        <f>IFERROR(VLOOKUP(B278,'ECN-ECO_DATA'!B:G,4,FALSE),"")</f>
        <v/>
      </c>
      <c r="I278" s="46" t="str">
        <f>IFERROR(IF(VLOOKUP(B278,'ECN-ECO_DATA'!B:G,6,FALSE)="","Not started",IF(VLOOKUP(B278,'ECN-ECO_DATA'!B:J,7,FALSE)="","Awaiting First Approval",IF(VLOOKUP(B278,'ECN-ECO_DATA'!B:J,8,FALSE)="","Awaiting Quality Check Approval",IF(VLOOKUP(B278,'ECN-ECO_DATA'!B:J,9,FALSE)="","Awaiting Last Approval",IF(VLOOKUP(B278,'ECN-ECO_DATA'!B:J,9,FALSE)&lt;&gt;"","Approved","Unknown"))))),"")</f>
        <v/>
      </c>
      <c r="K278" s="47" t="str">
        <f>IFERROR(VLOOKUP(B278,'ECN-ECO_DATA'!B:W,22,FALSE),"")</f>
        <v/>
      </c>
      <c r="L278" s="43" t="str">
        <f>IFERROR(IF(VLOOKUP(B278,'ECN-ECO_DATA'!B:AB,27,FALSE)=0,"",VLOOKUP(B278,'ECN-ECO_DATA'!B:AB,27,FALSE)),"")</f>
        <v/>
      </c>
      <c r="M278" s="43" t="str">
        <f>IFERROR(VLOOKUP(B278,'ECN-ECO_DATA'!B:AE,30,FALSE),"")</f>
        <v/>
      </c>
      <c r="N278" s="59" t="str">
        <f>IFERROR(IF((VLOOKUP(B278,'ECN-ECO_DATA'!B:AD,20,FALSE)-VLOOKUP(B278,'ECN-ECO_DATA'!B:AD,18,FALSE))&gt;0,(VLOOKUP(B278,'ECN-ECO_DATA'!B:AD,20,FALSE)-VLOOKUP(B278,'ECN-ECO_DATA'!B:AD,18,FALSE)),""),"")</f>
        <v/>
      </c>
      <c r="O278" s="59"/>
      <c r="P278" s="59" t="str">
        <f>IFERROR(VLOOKUP(B278,'ECN-ECO_DATA'!B:P,13,FALSE),"")</f>
        <v/>
      </c>
      <c r="Q278" s="43" t="str">
        <f>IFERROR(VLOOKUP(B278,'ECN-ECO_DATA'!B:P,15,FALSE),"")</f>
        <v/>
      </c>
    </row>
    <row r="279" spans="3:17" x14ac:dyDescent="0.25">
      <c r="C279" s="43" t="str">
        <f>IFERROR(VLOOKUP(B279,'ECN-ECO_DATA'!B:C,2,FALSE),"")</f>
        <v/>
      </c>
      <c r="D279" s="43" t="str">
        <f>IFERROR(VLOOKUP(B279,'ECN-ECO_DATA'!B:X,23,FALSE),"")</f>
        <v/>
      </c>
      <c r="E279" s="44" t="str">
        <f>IFERROR(VLOOKUP(B279,'ECN-ECO_DATA'!B:G,5,FALSE),"")</f>
        <v/>
      </c>
      <c r="F279" s="44" t="str">
        <f>IFERROR((IF(VLOOKUP(B279,'ECN-ECO_DATA'!B:G,6,FALSE)="","",VLOOKUP(B279,'ECN-ECO_DATA'!B:G,6,FALSE))),"")</f>
        <v/>
      </c>
      <c r="H279" s="45" t="str">
        <f>IFERROR(VLOOKUP(B279,'ECN-ECO_DATA'!B:G,4,FALSE),"")</f>
        <v/>
      </c>
      <c r="I279" s="46" t="str">
        <f>IFERROR(IF(VLOOKUP(B279,'ECN-ECO_DATA'!B:G,6,FALSE)="","Not started",IF(VLOOKUP(B279,'ECN-ECO_DATA'!B:J,7,FALSE)="","Awaiting First Approval",IF(VLOOKUP(B279,'ECN-ECO_DATA'!B:J,8,FALSE)="","Awaiting Quality Check Approval",IF(VLOOKUP(B279,'ECN-ECO_DATA'!B:J,9,FALSE)="","Awaiting Last Approval",IF(VLOOKUP(B279,'ECN-ECO_DATA'!B:J,9,FALSE)&lt;&gt;"","Approved","Unknown"))))),"")</f>
        <v/>
      </c>
      <c r="K279" s="47" t="str">
        <f>IFERROR(VLOOKUP(B279,'ECN-ECO_DATA'!B:W,22,FALSE),"")</f>
        <v/>
      </c>
      <c r="L279" s="43" t="str">
        <f>IFERROR(IF(VLOOKUP(B279,'ECN-ECO_DATA'!B:AB,27,FALSE)=0,"",VLOOKUP(B279,'ECN-ECO_DATA'!B:AB,27,FALSE)),"")</f>
        <v/>
      </c>
      <c r="M279" s="43" t="str">
        <f>IFERROR(VLOOKUP(B279,'ECN-ECO_DATA'!B:AE,30,FALSE),"")</f>
        <v/>
      </c>
      <c r="N279" s="59" t="str">
        <f>IFERROR(IF((VLOOKUP(B279,'ECN-ECO_DATA'!B:AD,20,FALSE)-VLOOKUP(B279,'ECN-ECO_DATA'!B:AD,18,FALSE))&gt;0,(VLOOKUP(B279,'ECN-ECO_DATA'!B:AD,20,FALSE)-VLOOKUP(B279,'ECN-ECO_DATA'!B:AD,18,FALSE)),""),"")</f>
        <v/>
      </c>
      <c r="O279" s="59"/>
      <c r="P279" s="59" t="str">
        <f>IFERROR(VLOOKUP(B279,'ECN-ECO_DATA'!B:P,13,FALSE),"")</f>
        <v/>
      </c>
      <c r="Q279" s="43" t="str">
        <f>IFERROR(VLOOKUP(B279,'ECN-ECO_DATA'!B:P,15,FALSE),"")</f>
        <v/>
      </c>
    </row>
    <row r="280" spans="3:17" x14ac:dyDescent="0.25">
      <c r="C280" s="43" t="str">
        <f>IFERROR(VLOOKUP(B280,'ECN-ECO_DATA'!B:C,2,FALSE),"")</f>
        <v/>
      </c>
      <c r="D280" s="43" t="str">
        <f>IFERROR(VLOOKUP(B280,'ECN-ECO_DATA'!B:X,23,FALSE),"")</f>
        <v/>
      </c>
      <c r="E280" s="44" t="str">
        <f>IFERROR(VLOOKUP(B280,'ECN-ECO_DATA'!B:G,5,FALSE),"")</f>
        <v/>
      </c>
      <c r="F280" s="44" t="str">
        <f>IFERROR((IF(VLOOKUP(B280,'ECN-ECO_DATA'!B:G,6,FALSE)="","",VLOOKUP(B280,'ECN-ECO_DATA'!B:G,6,FALSE))),"")</f>
        <v/>
      </c>
      <c r="H280" s="45" t="str">
        <f>IFERROR(VLOOKUP(B280,'ECN-ECO_DATA'!B:G,4,FALSE),"")</f>
        <v/>
      </c>
      <c r="I280" s="46" t="str">
        <f>IFERROR(IF(VLOOKUP(B280,'ECN-ECO_DATA'!B:G,6,FALSE)="","Not started",IF(VLOOKUP(B280,'ECN-ECO_DATA'!B:J,7,FALSE)="","Awaiting First Approval",IF(VLOOKUP(B280,'ECN-ECO_DATA'!B:J,8,FALSE)="","Awaiting Quality Check Approval",IF(VLOOKUP(B280,'ECN-ECO_DATA'!B:J,9,FALSE)="","Awaiting Last Approval",IF(VLOOKUP(B280,'ECN-ECO_DATA'!B:J,9,FALSE)&lt;&gt;"","Approved","Unknown"))))),"")</f>
        <v/>
      </c>
      <c r="K280" s="47" t="str">
        <f>IFERROR(VLOOKUP(B280,'ECN-ECO_DATA'!B:W,22,FALSE),"")</f>
        <v/>
      </c>
      <c r="L280" s="43" t="str">
        <f>IFERROR(IF(VLOOKUP(B280,'ECN-ECO_DATA'!B:AB,27,FALSE)=0,"",VLOOKUP(B280,'ECN-ECO_DATA'!B:AB,27,FALSE)),"")</f>
        <v/>
      </c>
      <c r="M280" s="43" t="str">
        <f>IFERROR(VLOOKUP(B280,'ECN-ECO_DATA'!B:AE,30,FALSE),"")</f>
        <v/>
      </c>
      <c r="N280" s="59" t="str">
        <f>IFERROR(IF((VLOOKUP(B280,'ECN-ECO_DATA'!B:AD,20,FALSE)-VLOOKUP(B280,'ECN-ECO_DATA'!B:AD,18,FALSE))&gt;0,(VLOOKUP(B280,'ECN-ECO_DATA'!B:AD,20,FALSE)-VLOOKUP(B280,'ECN-ECO_DATA'!B:AD,18,FALSE)),""),"")</f>
        <v/>
      </c>
      <c r="O280" s="59"/>
      <c r="P280" s="59" t="str">
        <f>IFERROR(VLOOKUP(B280,'ECN-ECO_DATA'!B:P,13,FALSE),"")</f>
        <v/>
      </c>
      <c r="Q280" s="43" t="str">
        <f>IFERROR(VLOOKUP(B280,'ECN-ECO_DATA'!B:P,15,FALSE),"")</f>
        <v/>
      </c>
    </row>
    <row r="281" spans="3:17" x14ac:dyDescent="0.25">
      <c r="C281" s="43" t="str">
        <f>IFERROR(VLOOKUP(B281,'ECN-ECO_DATA'!B:C,2,FALSE),"")</f>
        <v/>
      </c>
      <c r="D281" s="43" t="str">
        <f>IFERROR(VLOOKUP(B281,'ECN-ECO_DATA'!B:X,23,FALSE),"")</f>
        <v/>
      </c>
      <c r="E281" s="44" t="str">
        <f>IFERROR(VLOOKUP(B281,'ECN-ECO_DATA'!B:G,5,FALSE),"")</f>
        <v/>
      </c>
      <c r="F281" s="44" t="str">
        <f>IFERROR((IF(VLOOKUP(B281,'ECN-ECO_DATA'!B:G,6,FALSE)="","",VLOOKUP(B281,'ECN-ECO_DATA'!B:G,6,FALSE))),"")</f>
        <v/>
      </c>
      <c r="H281" s="45" t="str">
        <f>IFERROR(VLOOKUP(B281,'ECN-ECO_DATA'!B:G,4,FALSE),"")</f>
        <v/>
      </c>
      <c r="I281" s="46" t="str">
        <f>IFERROR(IF(VLOOKUP(B281,'ECN-ECO_DATA'!B:G,6,FALSE)="","Not started",IF(VLOOKUP(B281,'ECN-ECO_DATA'!B:J,7,FALSE)="","Awaiting First Approval",IF(VLOOKUP(B281,'ECN-ECO_DATA'!B:J,8,FALSE)="","Awaiting Quality Check Approval",IF(VLOOKUP(B281,'ECN-ECO_DATA'!B:J,9,FALSE)="","Awaiting Last Approval",IF(VLOOKUP(B281,'ECN-ECO_DATA'!B:J,9,FALSE)&lt;&gt;"","Approved","Unknown"))))),"")</f>
        <v/>
      </c>
      <c r="K281" s="47" t="str">
        <f>IFERROR(VLOOKUP(B281,'ECN-ECO_DATA'!B:W,22,FALSE),"")</f>
        <v/>
      </c>
      <c r="L281" s="43" t="str">
        <f>IFERROR(IF(VLOOKUP(B281,'ECN-ECO_DATA'!B:AB,27,FALSE)=0,"",VLOOKUP(B281,'ECN-ECO_DATA'!B:AB,27,FALSE)),"")</f>
        <v/>
      </c>
      <c r="M281" s="43" t="str">
        <f>IFERROR(VLOOKUP(B281,'ECN-ECO_DATA'!B:AE,30,FALSE),"")</f>
        <v/>
      </c>
      <c r="N281" s="59" t="str">
        <f>IFERROR(IF((VLOOKUP(B281,'ECN-ECO_DATA'!B:AD,20,FALSE)-VLOOKUP(B281,'ECN-ECO_DATA'!B:AD,18,FALSE))&gt;0,(VLOOKUP(B281,'ECN-ECO_DATA'!B:AD,20,FALSE)-VLOOKUP(B281,'ECN-ECO_DATA'!B:AD,18,FALSE)),""),"")</f>
        <v/>
      </c>
      <c r="O281" s="59"/>
      <c r="P281" s="59" t="str">
        <f>IFERROR(VLOOKUP(B281,'ECN-ECO_DATA'!B:P,13,FALSE),"")</f>
        <v/>
      </c>
      <c r="Q281" s="43" t="str">
        <f>IFERROR(VLOOKUP(B281,'ECN-ECO_DATA'!B:P,15,FALSE),"")</f>
        <v/>
      </c>
    </row>
    <row r="282" spans="3:17" x14ac:dyDescent="0.25">
      <c r="C282" s="43" t="str">
        <f>IFERROR(VLOOKUP(B282,'ECN-ECO_DATA'!B:C,2,FALSE),"")</f>
        <v/>
      </c>
      <c r="D282" s="43" t="str">
        <f>IFERROR(VLOOKUP(B282,'ECN-ECO_DATA'!B:X,23,FALSE),"")</f>
        <v/>
      </c>
      <c r="E282" s="44" t="str">
        <f>IFERROR(VLOOKUP(B282,'ECN-ECO_DATA'!B:G,5,FALSE),"")</f>
        <v/>
      </c>
      <c r="F282" s="44" t="str">
        <f>IFERROR((IF(VLOOKUP(B282,'ECN-ECO_DATA'!B:G,6,FALSE)="","",VLOOKUP(B282,'ECN-ECO_DATA'!B:G,6,FALSE))),"")</f>
        <v/>
      </c>
      <c r="H282" s="45" t="str">
        <f>IFERROR(VLOOKUP(B282,'ECN-ECO_DATA'!B:G,4,FALSE),"")</f>
        <v/>
      </c>
      <c r="I282" s="46" t="str">
        <f>IFERROR(IF(VLOOKUP(B282,'ECN-ECO_DATA'!B:G,6,FALSE)="","Not started",IF(VLOOKUP(B282,'ECN-ECO_DATA'!B:J,7,FALSE)="","Awaiting First Approval",IF(VLOOKUP(B282,'ECN-ECO_DATA'!B:J,8,FALSE)="","Awaiting Quality Check Approval",IF(VLOOKUP(B282,'ECN-ECO_DATA'!B:J,9,FALSE)="","Awaiting Last Approval",IF(VLOOKUP(B282,'ECN-ECO_DATA'!B:J,9,FALSE)&lt;&gt;"","Approved","Unknown"))))),"")</f>
        <v/>
      </c>
      <c r="K282" s="47" t="str">
        <f>IFERROR(VLOOKUP(B282,'ECN-ECO_DATA'!B:W,22,FALSE),"")</f>
        <v/>
      </c>
      <c r="L282" s="43" t="str">
        <f>IFERROR(IF(VLOOKUP(B282,'ECN-ECO_DATA'!B:AB,27,FALSE)=0,"",VLOOKUP(B282,'ECN-ECO_DATA'!B:AB,27,FALSE)),"")</f>
        <v/>
      </c>
      <c r="M282" s="43" t="str">
        <f>IFERROR(VLOOKUP(B282,'ECN-ECO_DATA'!B:AE,30,FALSE),"")</f>
        <v/>
      </c>
      <c r="N282" s="59" t="str">
        <f>IFERROR(IF((VLOOKUP(B282,'ECN-ECO_DATA'!B:AD,20,FALSE)-VLOOKUP(B282,'ECN-ECO_DATA'!B:AD,18,FALSE))&gt;0,(VLOOKUP(B282,'ECN-ECO_DATA'!B:AD,20,FALSE)-VLOOKUP(B282,'ECN-ECO_DATA'!B:AD,18,FALSE)),""),"")</f>
        <v/>
      </c>
      <c r="O282" s="59"/>
      <c r="P282" s="59" t="str">
        <f>IFERROR(VLOOKUP(B282,'ECN-ECO_DATA'!B:P,13,FALSE),"")</f>
        <v/>
      </c>
      <c r="Q282" s="43" t="str">
        <f>IFERROR(VLOOKUP(B282,'ECN-ECO_DATA'!B:P,15,FALSE),"")</f>
        <v/>
      </c>
    </row>
    <row r="283" spans="3:17" x14ac:dyDescent="0.25">
      <c r="C283" s="43" t="str">
        <f>IFERROR(VLOOKUP(B283,'ECN-ECO_DATA'!B:C,2,FALSE),"")</f>
        <v/>
      </c>
      <c r="D283" s="43" t="str">
        <f>IFERROR(VLOOKUP(B283,'ECN-ECO_DATA'!B:X,23,FALSE),"")</f>
        <v/>
      </c>
      <c r="E283" s="44" t="str">
        <f>IFERROR(VLOOKUP(B283,'ECN-ECO_DATA'!B:G,5,FALSE),"")</f>
        <v/>
      </c>
      <c r="F283" s="44" t="str">
        <f>IFERROR((IF(VLOOKUP(B283,'ECN-ECO_DATA'!B:G,6,FALSE)="","",VLOOKUP(B283,'ECN-ECO_DATA'!B:G,6,FALSE))),"")</f>
        <v/>
      </c>
      <c r="H283" s="45" t="str">
        <f>IFERROR(VLOOKUP(B283,'ECN-ECO_DATA'!B:G,4,FALSE),"")</f>
        <v/>
      </c>
      <c r="I283" s="46" t="str">
        <f>IFERROR(IF(VLOOKUP(B283,'ECN-ECO_DATA'!B:G,6,FALSE)="","Not started",IF(VLOOKUP(B283,'ECN-ECO_DATA'!B:J,7,FALSE)="","Awaiting First Approval",IF(VLOOKUP(B283,'ECN-ECO_DATA'!B:J,8,FALSE)="","Awaiting Quality Check Approval",IF(VLOOKUP(B283,'ECN-ECO_DATA'!B:J,9,FALSE)="","Awaiting Last Approval",IF(VLOOKUP(B283,'ECN-ECO_DATA'!B:J,9,FALSE)&lt;&gt;"","Approved","Unknown"))))),"")</f>
        <v/>
      </c>
      <c r="K283" s="47" t="str">
        <f>IFERROR(VLOOKUP(B283,'ECN-ECO_DATA'!B:W,22,FALSE),"")</f>
        <v/>
      </c>
      <c r="L283" s="43" t="str">
        <f>IFERROR(IF(VLOOKUP(B283,'ECN-ECO_DATA'!B:AB,27,FALSE)=0,"",VLOOKUP(B283,'ECN-ECO_DATA'!B:AB,27,FALSE)),"")</f>
        <v/>
      </c>
      <c r="M283" s="43" t="str">
        <f>IFERROR(VLOOKUP(B283,'ECN-ECO_DATA'!B:AE,30,FALSE),"")</f>
        <v/>
      </c>
      <c r="N283" s="59" t="str">
        <f>IFERROR(IF((VLOOKUP(B283,'ECN-ECO_DATA'!B:AD,20,FALSE)-VLOOKUP(B283,'ECN-ECO_DATA'!B:AD,18,FALSE))&gt;0,(VLOOKUP(B283,'ECN-ECO_DATA'!B:AD,20,FALSE)-VLOOKUP(B283,'ECN-ECO_DATA'!B:AD,18,FALSE)),""),"")</f>
        <v/>
      </c>
      <c r="O283" s="59"/>
      <c r="P283" s="59" t="str">
        <f>IFERROR(VLOOKUP(B283,'ECN-ECO_DATA'!B:P,13,FALSE),"")</f>
        <v/>
      </c>
      <c r="Q283" s="43" t="str">
        <f>IFERROR(VLOOKUP(B283,'ECN-ECO_DATA'!B:P,15,FALSE),"")</f>
        <v/>
      </c>
    </row>
    <row r="284" spans="3:17" x14ac:dyDescent="0.25">
      <c r="C284" s="43" t="str">
        <f>IFERROR(VLOOKUP(B284,'ECN-ECO_DATA'!B:C,2,FALSE),"")</f>
        <v/>
      </c>
      <c r="D284" s="43" t="str">
        <f>IFERROR(VLOOKUP(B284,'ECN-ECO_DATA'!B:X,23,FALSE),"")</f>
        <v/>
      </c>
      <c r="E284" s="44" t="str">
        <f>IFERROR(VLOOKUP(B284,'ECN-ECO_DATA'!B:G,5,FALSE),"")</f>
        <v/>
      </c>
      <c r="F284" s="44" t="str">
        <f>IFERROR((IF(VLOOKUP(B284,'ECN-ECO_DATA'!B:G,6,FALSE)="","",VLOOKUP(B284,'ECN-ECO_DATA'!B:G,6,FALSE))),"")</f>
        <v/>
      </c>
      <c r="H284" s="45" t="str">
        <f>IFERROR(VLOOKUP(B284,'ECN-ECO_DATA'!B:G,4,FALSE),"")</f>
        <v/>
      </c>
      <c r="I284" s="46" t="str">
        <f>IFERROR(IF(VLOOKUP(B284,'ECN-ECO_DATA'!B:G,6,FALSE)="","Not started",IF(VLOOKUP(B284,'ECN-ECO_DATA'!B:J,7,FALSE)="","Awaiting First Approval",IF(VLOOKUP(B284,'ECN-ECO_DATA'!B:J,8,FALSE)="","Awaiting Quality Check Approval",IF(VLOOKUP(B284,'ECN-ECO_DATA'!B:J,9,FALSE)="","Awaiting Last Approval",IF(VLOOKUP(B284,'ECN-ECO_DATA'!B:J,9,FALSE)&lt;&gt;"","Approved","Unknown"))))),"")</f>
        <v/>
      </c>
      <c r="K284" s="47" t="str">
        <f>IFERROR(VLOOKUP(B284,'ECN-ECO_DATA'!B:W,22,FALSE),"")</f>
        <v/>
      </c>
      <c r="L284" s="43" t="str">
        <f>IFERROR(IF(VLOOKUP(B284,'ECN-ECO_DATA'!B:AB,27,FALSE)=0,"",VLOOKUP(B284,'ECN-ECO_DATA'!B:AB,27,FALSE)),"")</f>
        <v/>
      </c>
      <c r="M284" s="43" t="str">
        <f>IFERROR(VLOOKUP(B284,'ECN-ECO_DATA'!B:AE,30,FALSE),"")</f>
        <v/>
      </c>
      <c r="N284" s="59" t="str">
        <f>IFERROR(IF((VLOOKUP(B284,'ECN-ECO_DATA'!B:AD,20,FALSE)-VLOOKUP(B284,'ECN-ECO_DATA'!B:AD,18,FALSE))&gt;0,(VLOOKUP(B284,'ECN-ECO_DATA'!B:AD,20,FALSE)-VLOOKUP(B284,'ECN-ECO_DATA'!B:AD,18,FALSE)),""),"")</f>
        <v/>
      </c>
      <c r="O284" s="59"/>
      <c r="P284" s="59" t="str">
        <f>IFERROR(VLOOKUP(B284,'ECN-ECO_DATA'!B:P,13,FALSE),"")</f>
        <v/>
      </c>
      <c r="Q284" s="43" t="str">
        <f>IFERROR(VLOOKUP(B284,'ECN-ECO_DATA'!B:P,15,FALSE),"")</f>
        <v/>
      </c>
    </row>
    <row r="285" spans="3:17" x14ac:dyDescent="0.25">
      <c r="C285" s="43" t="str">
        <f>IFERROR(VLOOKUP(B285,'ECN-ECO_DATA'!B:C,2,FALSE),"")</f>
        <v/>
      </c>
      <c r="D285" s="43" t="str">
        <f>IFERROR(VLOOKUP(B285,'ECN-ECO_DATA'!B:X,23,FALSE),"")</f>
        <v/>
      </c>
      <c r="E285" s="44" t="str">
        <f>IFERROR(VLOOKUP(B285,'ECN-ECO_DATA'!B:G,5,FALSE),"")</f>
        <v/>
      </c>
      <c r="F285" s="44" t="str">
        <f>IFERROR((IF(VLOOKUP(B285,'ECN-ECO_DATA'!B:G,6,FALSE)="","",VLOOKUP(B285,'ECN-ECO_DATA'!B:G,6,FALSE))),"")</f>
        <v/>
      </c>
      <c r="H285" s="45" t="str">
        <f>IFERROR(VLOOKUP(B285,'ECN-ECO_DATA'!B:G,4,FALSE),"")</f>
        <v/>
      </c>
      <c r="I285" s="46" t="str">
        <f>IFERROR(IF(VLOOKUP(B285,'ECN-ECO_DATA'!B:G,6,FALSE)="","Not started",IF(VLOOKUP(B285,'ECN-ECO_DATA'!B:J,7,FALSE)="","Awaiting First Approval",IF(VLOOKUP(B285,'ECN-ECO_DATA'!B:J,8,FALSE)="","Awaiting Quality Check Approval",IF(VLOOKUP(B285,'ECN-ECO_DATA'!B:J,9,FALSE)="","Awaiting Last Approval",IF(VLOOKUP(B285,'ECN-ECO_DATA'!B:J,9,FALSE)&lt;&gt;"","Approved","Unknown"))))),"")</f>
        <v/>
      </c>
      <c r="K285" s="47" t="str">
        <f>IFERROR(VLOOKUP(B285,'ECN-ECO_DATA'!B:W,22,FALSE),"")</f>
        <v/>
      </c>
      <c r="L285" s="43" t="str">
        <f>IFERROR(IF(VLOOKUP(B285,'ECN-ECO_DATA'!B:AB,27,FALSE)=0,"",VLOOKUP(B285,'ECN-ECO_DATA'!B:AB,27,FALSE)),"")</f>
        <v/>
      </c>
      <c r="M285" s="43" t="str">
        <f>IFERROR(VLOOKUP(B285,'ECN-ECO_DATA'!B:AE,30,FALSE),"")</f>
        <v/>
      </c>
      <c r="N285" s="59" t="str">
        <f>IFERROR(IF((VLOOKUP(B285,'ECN-ECO_DATA'!B:AD,20,FALSE)-VLOOKUP(B285,'ECN-ECO_DATA'!B:AD,18,FALSE))&gt;0,(VLOOKUP(B285,'ECN-ECO_DATA'!B:AD,20,FALSE)-VLOOKUP(B285,'ECN-ECO_DATA'!B:AD,18,FALSE)),""),"")</f>
        <v/>
      </c>
      <c r="O285" s="59"/>
      <c r="P285" s="59" t="str">
        <f>IFERROR(VLOOKUP(B285,'ECN-ECO_DATA'!B:P,13,FALSE),"")</f>
        <v/>
      </c>
      <c r="Q285" s="43" t="str">
        <f>IFERROR(VLOOKUP(B285,'ECN-ECO_DATA'!B:P,15,FALSE),"")</f>
        <v/>
      </c>
    </row>
    <row r="286" spans="3:17" x14ac:dyDescent="0.25">
      <c r="C286" s="43" t="str">
        <f>IFERROR(VLOOKUP(B286,'ECN-ECO_DATA'!B:C,2,FALSE),"")</f>
        <v/>
      </c>
      <c r="D286" s="43" t="str">
        <f>IFERROR(VLOOKUP(B286,'ECN-ECO_DATA'!B:X,23,FALSE),"")</f>
        <v/>
      </c>
      <c r="E286" s="44" t="str">
        <f>IFERROR(VLOOKUP(B286,'ECN-ECO_DATA'!B:G,5,FALSE),"")</f>
        <v/>
      </c>
      <c r="F286" s="44" t="str">
        <f>IFERROR((IF(VLOOKUP(B286,'ECN-ECO_DATA'!B:G,6,FALSE)="","",VLOOKUP(B286,'ECN-ECO_DATA'!B:G,6,FALSE))),"")</f>
        <v/>
      </c>
      <c r="H286" s="45" t="str">
        <f>IFERROR(VLOOKUP(B286,'ECN-ECO_DATA'!B:G,4,FALSE),"")</f>
        <v/>
      </c>
      <c r="I286" s="46" t="str">
        <f>IFERROR(IF(VLOOKUP(B286,'ECN-ECO_DATA'!B:G,6,FALSE)="","Not started",IF(VLOOKUP(B286,'ECN-ECO_DATA'!B:J,7,FALSE)="","Awaiting First Approval",IF(VLOOKUP(B286,'ECN-ECO_DATA'!B:J,8,FALSE)="","Awaiting Quality Check Approval",IF(VLOOKUP(B286,'ECN-ECO_DATA'!B:J,9,FALSE)="","Awaiting Last Approval",IF(VLOOKUP(B286,'ECN-ECO_DATA'!B:J,9,FALSE)&lt;&gt;"","Approved","Unknown"))))),"")</f>
        <v/>
      </c>
      <c r="K286" s="47" t="str">
        <f>IFERROR(VLOOKUP(B286,'ECN-ECO_DATA'!B:W,22,FALSE),"")</f>
        <v/>
      </c>
      <c r="L286" s="43" t="str">
        <f>IFERROR(IF(VLOOKUP(B286,'ECN-ECO_DATA'!B:AB,27,FALSE)=0,"",VLOOKUP(B286,'ECN-ECO_DATA'!B:AB,27,FALSE)),"")</f>
        <v/>
      </c>
      <c r="M286" s="43" t="str">
        <f>IFERROR(VLOOKUP(B286,'ECN-ECO_DATA'!B:AE,30,FALSE),"")</f>
        <v/>
      </c>
      <c r="N286" s="59" t="str">
        <f>IFERROR(IF((VLOOKUP(B286,'ECN-ECO_DATA'!B:AD,20,FALSE)-VLOOKUP(B286,'ECN-ECO_DATA'!B:AD,18,FALSE))&gt;0,(VLOOKUP(B286,'ECN-ECO_DATA'!B:AD,20,FALSE)-VLOOKUP(B286,'ECN-ECO_DATA'!B:AD,18,FALSE)),""),"")</f>
        <v/>
      </c>
      <c r="O286" s="59"/>
      <c r="P286" s="59" t="str">
        <f>IFERROR(VLOOKUP(B286,'ECN-ECO_DATA'!B:P,13,FALSE),"")</f>
        <v/>
      </c>
      <c r="Q286" s="43" t="str">
        <f>IFERROR(VLOOKUP(B286,'ECN-ECO_DATA'!B:P,15,FALSE),"")</f>
        <v/>
      </c>
    </row>
    <row r="287" spans="3:17" x14ac:dyDescent="0.25">
      <c r="C287" s="43" t="str">
        <f>IFERROR(VLOOKUP(B287,'ECN-ECO_DATA'!B:C,2,FALSE),"")</f>
        <v/>
      </c>
      <c r="D287" s="43" t="str">
        <f>IFERROR(VLOOKUP(B287,'ECN-ECO_DATA'!B:X,23,FALSE),"")</f>
        <v/>
      </c>
      <c r="E287" s="44" t="str">
        <f>IFERROR(VLOOKUP(B287,'ECN-ECO_DATA'!B:G,5,FALSE),"")</f>
        <v/>
      </c>
      <c r="F287" s="44" t="str">
        <f>IFERROR((IF(VLOOKUP(B287,'ECN-ECO_DATA'!B:G,6,FALSE)="","",VLOOKUP(B287,'ECN-ECO_DATA'!B:G,6,FALSE))),"")</f>
        <v/>
      </c>
      <c r="H287" s="45" t="str">
        <f>IFERROR(VLOOKUP(B287,'ECN-ECO_DATA'!B:G,4,FALSE),"")</f>
        <v/>
      </c>
      <c r="I287" s="46" t="str">
        <f>IFERROR(IF(VLOOKUP(B287,'ECN-ECO_DATA'!B:G,6,FALSE)="","Not started",IF(VLOOKUP(B287,'ECN-ECO_DATA'!B:J,7,FALSE)="","Awaiting First Approval",IF(VLOOKUP(B287,'ECN-ECO_DATA'!B:J,8,FALSE)="","Awaiting Quality Check Approval",IF(VLOOKUP(B287,'ECN-ECO_DATA'!B:J,9,FALSE)="","Awaiting Last Approval",IF(VLOOKUP(B287,'ECN-ECO_DATA'!B:J,9,FALSE)&lt;&gt;"","Approved","Unknown"))))),"")</f>
        <v/>
      </c>
      <c r="K287" s="47" t="str">
        <f>IFERROR(VLOOKUP(B287,'ECN-ECO_DATA'!B:W,22,FALSE),"")</f>
        <v/>
      </c>
      <c r="L287" s="43" t="str">
        <f>IFERROR(IF(VLOOKUP(B287,'ECN-ECO_DATA'!B:AB,27,FALSE)=0,"",VLOOKUP(B287,'ECN-ECO_DATA'!B:AB,27,FALSE)),"")</f>
        <v/>
      </c>
      <c r="M287" s="43" t="str">
        <f>IFERROR(VLOOKUP(B287,'ECN-ECO_DATA'!B:AE,30,FALSE),"")</f>
        <v/>
      </c>
      <c r="N287" s="59" t="str">
        <f>IFERROR(IF((VLOOKUP(B287,'ECN-ECO_DATA'!B:AD,20,FALSE)-VLOOKUP(B287,'ECN-ECO_DATA'!B:AD,18,FALSE))&gt;0,(VLOOKUP(B287,'ECN-ECO_DATA'!B:AD,20,FALSE)-VLOOKUP(B287,'ECN-ECO_DATA'!B:AD,18,FALSE)),""),"")</f>
        <v/>
      </c>
      <c r="O287" s="59"/>
      <c r="P287" s="59" t="str">
        <f>IFERROR(VLOOKUP(B287,'ECN-ECO_DATA'!B:P,13,FALSE),"")</f>
        <v/>
      </c>
      <c r="Q287" s="43" t="str">
        <f>IFERROR(VLOOKUP(B287,'ECN-ECO_DATA'!B:P,15,FALSE),"")</f>
        <v/>
      </c>
    </row>
    <row r="288" spans="3:17" x14ac:dyDescent="0.25">
      <c r="C288" s="43" t="str">
        <f>IFERROR(VLOOKUP(B288,'ECN-ECO_DATA'!B:C,2,FALSE),"")</f>
        <v/>
      </c>
      <c r="D288" s="43" t="str">
        <f>IFERROR(VLOOKUP(B288,'ECN-ECO_DATA'!B:X,23,FALSE),"")</f>
        <v/>
      </c>
      <c r="E288" s="44" t="str">
        <f>IFERROR(VLOOKUP(B288,'ECN-ECO_DATA'!B:G,5,FALSE),"")</f>
        <v/>
      </c>
      <c r="F288" s="44" t="str">
        <f>IFERROR((IF(VLOOKUP(B288,'ECN-ECO_DATA'!B:G,6,FALSE)="","",VLOOKUP(B288,'ECN-ECO_DATA'!B:G,6,FALSE))),"")</f>
        <v/>
      </c>
      <c r="H288" s="45" t="str">
        <f>IFERROR(VLOOKUP(B288,'ECN-ECO_DATA'!B:G,4,FALSE),"")</f>
        <v/>
      </c>
      <c r="I288" s="46" t="str">
        <f>IFERROR(IF(VLOOKUP(B288,'ECN-ECO_DATA'!B:G,6,FALSE)="","Not started",IF(VLOOKUP(B288,'ECN-ECO_DATA'!B:J,7,FALSE)="","Awaiting First Approval",IF(VLOOKUP(B288,'ECN-ECO_DATA'!B:J,8,FALSE)="","Awaiting Quality Check Approval",IF(VLOOKUP(B288,'ECN-ECO_DATA'!B:J,9,FALSE)="","Awaiting Last Approval",IF(VLOOKUP(B288,'ECN-ECO_DATA'!B:J,9,FALSE)&lt;&gt;"","Approved","Unknown"))))),"")</f>
        <v/>
      </c>
      <c r="K288" s="47" t="str">
        <f>IFERROR(VLOOKUP(B288,'ECN-ECO_DATA'!B:W,22,FALSE),"")</f>
        <v/>
      </c>
      <c r="L288" s="43" t="str">
        <f>IFERROR(IF(VLOOKUP(B288,'ECN-ECO_DATA'!B:AB,27,FALSE)=0,"",VLOOKUP(B288,'ECN-ECO_DATA'!B:AB,27,FALSE)),"")</f>
        <v/>
      </c>
      <c r="M288" s="43" t="str">
        <f>IFERROR(VLOOKUP(B288,'ECN-ECO_DATA'!B:AE,30,FALSE),"")</f>
        <v/>
      </c>
      <c r="N288" s="59" t="str">
        <f>IFERROR(IF((VLOOKUP(B288,'ECN-ECO_DATA'!B:AD,20,FALSE)-VLOOKUP(B288,'ECN-ECO_DATA'!B:AD,18,FALSE))&gt;0,(VLOOKUP(B288,'ECN-ECO_DATA'!B:AD,20,FALSE)-VLOOKUP(B288,'ECN-ECO_DATA'!B:AD,18,FALSE)),""),"")</f>
        <v/>
      </c>
      <c r="O288" s="59"/>
      <c r="P288" s="59" t="str">
        <f>IFERROR(VLOOKUP(B288,'ECN-ECO_DATA'!B:P,13,FALSE),"")</f>
        <v/>
      </c>
      <c r="Q288" s="43" t="str">
        <f>IFERROR(VLOOKUP(B288,'ECN-ECO_DATA'!B:P,15,FALSE),"")</f>
        <v/>
      </c>
    </row>
    <row r="289" spans="3:17" x14ac:dyDescent="0.25">
      <c r="C289" s="43" t="str">
        <f>IFERROR(VLOOKUP(B289,'ECN-ECO_DATA'!B:C,2,FALSE),"")</f>
        <v/>
      </c>
      <c r="D289" s="43" t="str">
        <f>IFERROR(VLOOKUP(B289,'ECN-ECO_DATA'!B:X,23,FALSE),"")</f>
        <v/>
      </c>
      <c r="E289" s="44" t="str">
        <f>IFERROR(VLOOKUP(B289,'ECN-ECO_DATA'!B:G,5,FALSE),"")</f>
        <v/>
      </c>
      <c r="F289" s="44" t="str">
        <f>IFERROR((IF(VLOOKUP(B289,'ECN-ECO_DATA'!B:G,6,FALSE)="","",VLOOKUP(B289,'ECN-ECO_DATA'!B:G,6,FALSE))),"")</f>
        <v/>
      </c>
      <c r="H289" s="45" t="str">
        <f>IFERROR(VLOOKUP(B289,'ECN-ECO_DATA'!B:G,4,FALSE),"")</f>
        <v/>
      </c>
      <c r="I289" s="46" t="str">
        <f>IFERROR(IF(VLOOKUP(B289,'ECN-ECO_DATA'!B:G,6,FALSE)="","Not started",IF(VLOOKUP(B289,'ECN-ECO_DATA'!B:J,7,FALSE)="","Awaiting First Approval",IF(VLOOKUP(B289,'ECN-ECO_DATA'!B:J,8,FALSE)="","Awaiting Quality Check Approval",IF(VLOOKUP(B289,'ECN-ECO_DATA'!B:J,9,FALSE)="","Awaiting Last Approval",IF(VLOOKUP(B289,'ECN-ECO_DATA'!B:J,9,FALSE)&lt;&gt;"","Approved","Unknown"))))),"")</f>
        <v/>
      </c>
      <c r="K289" s="47" t="str">
        <f>IFERROR(VLOOKUP(B289,'ECN-ECO_DATA'!B:W,22,FALSE),"")</f>
        <v/>
      </c>
      <c r="L289" s="43" t="str">
        <f>IFERROR(IF(VLOOKUP(B289,'ECN-ECO_DATA'!B:AB,27,FALSE)=0,"",VLOOKUP(B289,'ECN-ECO_DATA'!B:AB,27,FALSE)),"")</f>
        <v/>
      </c>
      <c r="M289" s="43" t="str">
        <f>IFERROR(VLOOKUP(B289,'ECN-ECO_DATA'!B:AE,30,FALSE),"")</f>
        <v/>
      </c>
      <c r="N289" s="59" t="str">
        <f>IFERROR(IF((VLOOKUP(B289,'ECN-ECO_DATA'!B:AD,20,FALSE)-VLOOKUP(B289,'ECN-ECO_DATA'!B:AD,18,FALSE))&gt;0,(VLOOKUP(B289,'ECN-ECO_DATA'!B:AD,20,FALSE)-VLOOKUP(B289,'ECN-ECO_DATA'!B:AD,18,FALSE)),""),"")</f>
        <v/>
      </c>
      <c r="O289" s="59"/>
      <c r="P289" s="59" t="str">
        <f>IFERROR(VLOOKUP(B289,'ECN-ECO_DATA'!B:P,13,FALSE),"")</f>
        <v/>
      </c>
      <c r="Q289" s="43" t="str">
        <f>IFERROR(VLOOKUP(B289,'ECN-ECO_DATA'!B:P,15,FALSE),"")</f>
        <v/>
      </c>
    </row>
    <row r="290" spans="3:17" x14ac:dyDescent="0.25">
      <c r="C290" s="43" t="str">
        <f>IFERROR(VLOOKUP(B290,'ECN-ECO_DATA'!B:C,2,FALSE),"")</f>
        <v/>
      </c>
      <c r="D290" s="43" t="str">
        <f>IFERROR(VLOOKUP(B290,'ECN-ECO_DATA'!B:X,23,FALSE),"")</f>
        <v/>
      </c>
      <c r="E290" s="44" t="str">
        <f>IFERROR(VLOOKUP(B290,'ECN-ECO_DATA'!B:G,5,FALSE),"")</f>
        <v/>
      </c>
      <c r="F290" s="44" t="str">
        <f>IFERROR((IF(VLOOKUP(B290,'ECN-ECO_DATA'!B:G,6,FALSE)="","",VLOOKUP(B290,'ECN-ECO_DATA'!B:G,6,FALSE))),"")</f>
        <v/>
      </c>
      <c r="H290" s="45" t="str">
        <f>IFERROR(VLOOKUP(B290,'ECN-ECO_DATA'!B:G,4,FALSE),"")</f>
        <v/>
      </c>
      <c r="I290" s="46" t="str">
        <f>IFERROR(IF(VLOOKUP(B290,'ECN-ECO_DATA'!B:G,6,FALSE)="","Not started",IF(VLOOKUP(B290,'ECN-ECO_DATA'!B:J,7,FALSE)="","Awaiting First Approval",IF(VLOOKUP(B290,'ECN-ECO_DATA'!B:J,8,FALSE)="","Awaiting Quality Check Approval",IF(VLOOKUP(B290,'ECN-ECO_DATA'!B:J,9,FALSE)="","Awaiting Last Approval",IF(VLOOKUP(B290,'ECN-ECO_DATA'!B:J,9,FALSE)&lt;&gt;"","Approved","Unknown"))))),"")</f>
        <v/>
      </c>
      <c r="K290" s="47" t="str">
        <f>IFERROR(VLOOKUP(B290,'ECN-ECO_DATA'!B:W,22,FALSE),"")</f>
        <v/>
      </c>
      <c r="L290" s="43" t="str">
        <f>IFERROR(IF(VLOOKUP(B290,'ECN-ECO_DATA'!B:AB,27,FALSE)=0,"",VLOOKUP(B290,'ECN-ECO_DATA'!B:AB,27,FALSE)),"")</f>
        <v/>
      </c>
      <c r="M290" s="43" t="str">
        <f>IFERROR(VLOOKUP(B290,'ECN-ECO_DATA'!B:AE,30,FALSE),"")</f>
        <v/>
      </c>
      <c r="N290" s="59" t="str">
        <f>IFERROR(IF((VLOOKUP(B290,'ECN-ECO_DATA'!B:AD,20,FALSE)-VLOOKUP(B290,'ECN-ECO_DATA'!B:AD,18,FALSE))&gt;0,(VLOOKUP(B290,'ECN-ECO_DATA'!B:AD,20,FALSE)-VLOOKUP(B290,'ECN-ECO_DATA'!B:AD,18,FALSE)),""),"")</f>
        <v/>
      </c>
      <c r="O290" s="59"/>
      <c r="P290" s="59" t="str">
        <f>IFERROR(VLOOKUP(B290,'ECN-ECO_DATA'!B:P,13,FALSE),"")</f>
        <v/>
      </c>
      <c r="Q290" s="43" t="str">
        <f>IFERROR(VLOOKUP(B290,'ECN-ECO_DATA'!B:P,15,FALSE),"")</f>
        <v/>
      </c>
    </row>
    <row r="291" spans="3:17" x14ac:dyDescent="0.25">
      <c r="C291" s="43" t="str">
        <f>IFERROR(VLOOKUP(B291,'ECN-ECO_DATA'!B:C,2,FALSE),"")</f>
        <v/>
      </c>
      <c r="D291" s="43" t="str">
        <f>IFERROR(VLOOKUP(B291,'ECN-ECO_DATA'!B:X,23,FALSE),"")</f>
        <v/>
      </c>
      <c r="E291" s="44" t="str">
        <f>IFERROR(VLOOKUP(B291,'ECN-ECO_DATA'!B:G,5,FALSE),"")</f>
        <v/>
      </c>
      <c r="F291" s="44" t="str">
        <f>IFERROR((IF(VLOOKUP(B291,'ECN-ECO_DATA'!B:G,6,FALSE)="","",VLOOKUP(B291,'ECN-ECO_DATA'!B:G,6,FALSE))),"")</f>
        <v/>
      </c>
      <c r="H291" s="45" t="str">
        <f>IFERROR(VLOOKUP(B291,'ECN-ECO_DATA'!B:G,4,FALSE),"")</f>
        <v/>
      </c>
      <c r="I291" s="46" t="str">
        <f>IFERROR(IF(VLOOKUP(B291,'ECN-ECO_DATA'!B:G,6,FALSE)="","Not started",IF(VLOOKUP(B291,'ECN-ECO_DATA'!B:J,7,FALSE)="","Awaiting First Approval",IF(VLOOKUP(B291,'ECN-ECO_DATA'!B:J,8,FALSE)="","Awaiting Quality Check Approval",IF(VLOOKUP(B291,'ECN-ECO_DATA'!B:J,9,FALSE)="","Awaiting Last Approval",IF(VLOOKUP(B291,'ECN-ECO_DATA'!B:J,9,FALSE)&lt;&gt;"","Approved","Unknown"))))),"")</f>
        <v/>
      </c>
      <c r="K291" s="47" t="str">
        <f>IFERROR(VLOOKUP(B291,'ECN-ECO_DATA'!B:W,22,FALSE),"")</f>
        <v/>
      </c>
      <c r="L291" s="43" t="str">
        <f>IFERROR(IF(VLOOKUP(B291,'ECN-ECO_DATA'!B:AB,27,FALSE)=0,"",VLOOKUP(B291,'ECN-ECO_DATA'!B:AB,27,FALSE)),"")</f>
        <v/>
      </c>
      <c r="M291" s="43" t="str">
        <f>IFERROR(VLOOKUP(B291,'ECN-ECO_DATA'!B:AE,30,FALSE),"")</f>
        <v/>
      </c>
      <c r="N291" s="59" t="str">
        <f>IFERROR(IF((VLOOKUP(B291,'ECN-ECO_DATA'!B:AD,20,FALSE)-VLOOKUP(B291,'ECN-ECO_DATA'!B:AD,18,FALSE))&gt;0,(VLOOKUP(B291,'ECN-ECO_DATA'!B:AD,20,FALSE)-VLOOKUP(B291,'ECN-ECO_DATA'!B:AD,18,FALSE)),""),"")</f>
        <v/>
      </c>
      <c r="O291" s="59"/>
      <c r="P291" s="59" t="str">
        <f>IFERROR(VLOOKUP(B291,'ECN-ECO_DATA'!B:P,13,FALSE),"")</f>
        <v/>
      </c>
      <c r="Q291" s="43" t="str">
        <f>IFERROR(VLOOKUP(B291,'ECN-ECO_DATA'!B:P,15,FALSE),"")</f>
        <v/>
      </c>
    </row>
    <row r="292" spans="3:17" x14ac:dyDescent="0.25">
      <c r="C292" s="43" t="str">
        <f>IFERROR(VLOOKUP(B292,'ECN-ECO_DATA'!B:C,2,FALSE),"")</f>
        <v/>
      </c>
      <c r="D292" s="43" t="str">
        <f>IFERROR(VLOOKUP(B292,'ECN-ECO_DATA'!B:X,23,FALSE),"")</f>
        <v/>
      </c>
      <c r="E292" s="44" t="str">
        <f>IFERROR(VLOOKUP(B292,'ECN-ECO_DATA'!B:G,5,FALSE),"")</f>
        <v/>
      </c>
      <c r="F292" s="44" t="str">
        <f>IFERROR((IF(VLOOKUP(B292,'ECN-ECO_DATA'!B:G,6,FALSE)="","",VLOOKUP(B292,'ECN-ECO_DATA'!B:G,6,FALSE))),"")</f>
        <v/>
      </c>
      <c r="H292" s="45" t="str">
        <f>IFERROR(VLOOKUP(B292,'ECN-ECO_DATA'!B:G,4,FALSE),"")</f>
        <v/>
      </c>
      <c r="I292" s="46" t="str">
        <f>IFERROR(IF(VLOOKUP(B292,'ECN-ECO_DATA'!B:G,6,FALSE)="","Not started",IF(VLOOKUP(B292,'ECN-ECO_DATA'!B:J,7,FALSE)="","Awaiting First Approval",IF(VLOOKUP(B292,'ECN-ECO_DATA'!B:J,8,FALSE)="","Awaiting Quality Check Approval",IF(VLOOKUP(B292,'ECN-ECO_DATA'!B:J,9,FALSE)="","Awaiting Last Approval",IF(VLOOKUP(B292,'ECN-ECO_DATA'!B:J,9,FALSE)&lt;&gt;"","Approved","Unknown"))))),"")</f>
        <v/>
      </c>
      <c r="K292" s="47" t="str">
        <f>IFERROR(VLOOKUP(B292,'ECN-ECO_DATA'!B:W,22,FALSE),"")</f>
        <v/>
      </c>
      <c r="L292" s="43" t="str">
        <f>IFERROR(IF(VLOOKUP(B292,'ECN-ECO_DATA'!B:AB,27,FALSE)=0,"",VLOOKUP(B292,'ECN-ECO_DATA'!B:AB,27,FALSE)),"")</f>
        <v/>
      </c>
      <c r="M292" s="43" t="str">
        <f>IFERROR(VLOOKUP(B292,'ECN-ECO_DATA'!B:AE,30,FALSE),"")</f>
        <v/>
      </c>
      <c r="N292" s="59" t="str">
        <f>IFERROR(IF((VLOOKUP(B292,'ECN-ECO_DATA'!B:AD,20,FALSE)-VLOOKUP(B292,'ECN-ECO_DATA'!B:AD,18,FALSE))&gt;0,(VLOOKUP(B292,'ECN-ECO_DATA'!B:AD,20,FALSE)-VLOOKUP(B292,'ECN-ECO_DATA'!B:AD,18,FALSE)),""),"")</f>
        <v/>
      </c>
      <c r="O292" s="59"/>
      <c r="P292" s="59" t="str">
        <f>IFERROR(VLOOKUP(B292,'ECN-ECO_DATA'!B:P,13,FALSE),"")</f>
        <v/>
      </c>
      <c r="Q292" s="43" t="str">
        <f>IFERROR(VLOOKUP(B292,'ECN-ECO_DATA'!B:P,15,FALSE),"")</f>
        <v/>
      </c>
    </row>
    <row r="293" spans="3:17" x14ac:dyDescent="0.25">
      <c r="C293" s="43" t="str">
        <f>IFERROR(VLOOKUP(B293,'ECN-ECO_DATA'!B:C,2,FALSE),"")</f>
        <v/>
      </c>
      <c r="D293" s="43" t="str">
        <f>IFERROR(VLOOKUP(B293,'ECN-ECO_DATA'!B:X,23,FALSE),"")</f>
        <v/>
      </c>
      <c r="E293" s="44" t="str">
        <f>IFERROR(VLOOKUP(B293,'ECN-ECO_DATA'!B:G,5,FALSE),"")</f>
        <v/>
      </c>
      <c r="F293" s="44" t="str">
        <f>IFERROR((IF(VLOOKUP(B293,'ECN-ECO_DATA'!B:G,6,FALSE)="","",VLOOKUP(B293,'ECN-ECO_DATA'!B:G,6,FALSE))),"")</f>
        <v/>
      </c>
      <c r="H293" s="45" t="str">
        <f>IFERROR(VLOOKUP(B293,'ECN-ECO_DATA'!B:G,4,FALSE),"")</f>
        <v/>
      </c>
      <c r="I293" s="46" t="str">
        <f>IFERROR(IF(VLOOKUP(B293,'ECN-ECO_DATA'!B:G,6,FALSE)="","Not started",IF(VLOOKUP(B293,'ECN-ECO_DATA'!B:J,7,FALSE)="","Awaiting First Approval",IF(VLOOKUP(B293,'ECN-ECO_DATA'!B:J,8,FALSE)="","Awaiting Quality Check Approval",IF(VLOOKUP(B293,'ECN-ECO_DATA'!B:J,9,FALSE)="","Awaiting Last Approval",IF(VLOOKUP(B293,'ECN-ECO_DATA'!B:J,9,FALSE)&lt;&gt;"","Approved","Unknown"))))),"")</f>
        <v/>
      </c>
      <c r="K293" s="47" t="str">
        <f>IFERROR(VLOOKUP(B293,'ECN-ECO_DATA'!B:W,22,FALSE),"")</f>
        <v/>
      </c>
      <c r="L293" s="43" t="str">
        <f>IFERROR(IF(VLOOKUP(B293,'ECN-ECO_DATA'!B:AB,27,FALSE)=0,"",VLOOKUP(B293,'ECN-ECO_DATA'!B:AB,27,FALSE)),"")</f>
        <v/>
      </c>
      <c r="M293" s="43" t="str">
        <f>IFERROR(VLOOKUP(B293,'ECN-ECO_DATA'!B:AE,30,FALSE),"")</f>
        <v/>
      </c>
      <c r="N293" s="59" t="str">
        <f>IFERROR(IF((VLOOKUP(B293,'ECN-ECO_DATA'!B:AD,20,FALSE)-VLOOKUP(B293,'ECN-ECO_DATA'!B:AD,18,FALSE))&gt;0,(VLOOKUP(B293,'ECN-ECO_DATA'!B:AD,20,FALSE)-VLOOKUP(B293,'ECN-ECO_DATA'!B:AD,18,FALSE)),""),"")</f>
        <v/>
      </c>
      <c r="O293" s="59"/>
      <c r="P293" s="59" t="str">
        <f>IFERROR(VLOOKUP(B293,'ECN-ECO_DATA'!B:P,13,FALSE),"")</f>
        <v/>
      </c>
      <c r="Q293" s="43" t="str">
        <f>IFERROR(VLOOKUP(B293,'ECN-ECO_DATA'!B:P,15,FALSE),"")</f>
        <v/>
      </c>
    </row>
    <row r="294" spans="3:17" x14ac:dyDescent="0.25">
      <c r="C294" s="43" t="str">
        <f>IFERROR(VLOOKUP(B294,'ECN-ECO_DATA'!B:C,2,FALSE),"")</f>
        <v/>
      </c>
      <c r="D294" s="43" t="str">
        <f>IFERROR(VLOOKUP(B294,'ECN-ECO_DATA'!B:X,23,FALSE),"")</f>
        <v/>
      </c>
      <c r="E294" s="44" t="str">
        <f>IFERROR(VLOOKUP(B294,'ECN-ECO_DATA'!B:G,5,FALSE),"")</f>
        <v/>
      </c>
      <c r="F294" s="44" t="str">
        <f>IFERROR((IF(VLOOKUP(B294,'ECN-ECO_DATA'!B:G,6,FALSE)="","",VLOOKUP(B294,'ECN-ECO_DATA'!B:G,6,FALSE))),"")</f>
        <v/>
      </c>
      <c r="H294" s="45" t="str">
        <f>IFERROR(VLOOKUP(B294,'ECN-ECO_DATA'!B:G,4,FALSE),"")</f>
        <v/>
      </c>
      <c r="I294" s="46" t="str">
        <f>IFERROR(IF(VLOOKUP(B294,'ECN-ECO_DATA'!B:G,6,FALSE)="","Not started",IF(VLOOKUP(B294,'ECN-ECO_DATA'!B:J,7,FALSE)="","Awaiting First Approval",IF(VLOOKUP(B294,'ECN-ECO_DATA'!B:J,8,FALSE)="","Awaiting Quality Check Approval",IF(VLOOKUP(B294,'ECN-ECO_DATA'!B:J,9,FALSE)="","Awaiting Last Approval",IF(VLOOKUP(B294,'ECN-ECO_DATA'!B:J,9,FALSE)&lt;&gt;"","Approved","Unknown"))))),"")</f>
        <v/>
      </c>
      <c r="K294" s="47" t="str">
        <f>IFERROR(VLOOKUP(B294,'ECN-ECO_DATA'!B:W,22,FALSE),"")</f>
        <v/>
      </c>
      <c r="L294" s="43" t="str">
        <f>IFERROR(IF(VLOOKUP(B294,'ECN-ECO_DATA'!B:AB,27,FALSE)=0,"",VLOOKUP(B294,'ECN-ECO_DATA'!B:AB,27,FALSE)),"")</f>
        <v/>
      </c>
      <c r="M294" s="43" t="str">
        <f>IFERROR(VLOOKUP(B294,'ECN-ECO_DATA'!B:AE,30,FALSE),"")</f>
        <v/>
      </c>
      <c r="N294" s="59" t="str">
        <f>IFERROR(IF((VLOOKUP(B294,'ECN-ECO_DATA'!B:AD,20,FALSE)-VLOOKUP(B294,'ECN-ECO_DATA'!B:AD,18,FALSE))&gt;0,(VLOOKUP(B294,'ECN-ECO_DATA'!B:AD,20,FALSE)-VLOOKUP(B294,'ECN-ECO_DATA'!B:AD,18,FALSE)),""),"")</f>
        <v/>
      </c>
      <c r="O294" s="59"/>
      <c r="P294" s="59" t="str">
        <f>IFERROR(VLOOKUP(B294,'ECN-ECO_DATA'!B:P,13,FALSE),"")</f>
        <v/>
      </c>
      <c r="Q294" s="43" t="str">
        <f>IFERROR(VLOOKUP(B294,'ECN-ECO_DATA'!B:P,15,FALSE),"")</f>
        <v/>
      </c>
    </row>
    <row r="295" spans="3:17" x14ac:dyDescent="0.25">
      <c r="C295" s="43" t="str">
        <f>IFERROR(VLOOKUP(B295,'ECN-ECO_DATA'!B:C,2,FALSE),"")</f>
        <v/>
      </c>
      <c r="D295" s="43" t="str">
        <f>IFERROR(VLOOKUP(B295,'ECN-ECO_DATA'!B:X,23,FALSE),"")</f>
        <v/>
      </c>
      <c r="E295" s="44" t="str">
        <f>IFERROR(VLOOKUP(B295,'ECN-ECO_DATA'!B:G,5,FALSE),"")</f>
        <v/>
      </c>
      <c r="F295" s="44" t="str">
        <f>IFERROR((IF(VLOOKUP(B295,'ECN-ECO_DATA'!B:G,6,FALSE)="","",VLOOKUP(B295,'ECN-ECO_DATA'!B:G,6,FALSE))),"")</f>
        <v/>
      </c>
      <c r="H295" s="45" t="str">
        <f>IFERROR(VLOOKUP(B295,'ECN-ECO_DATA'!B:G,4,FALSE),"")</f>
        <v/>
      </c>
      <c r="I295" s="46" t="str">
        <f>IFERROR(IF(VLOOKUP(B295,'ECN-ECO_DATA'!B:G,6,FALSE)="","Not started",IF(VLOOKUP(B295,'ECN-ECO_DATA'!B:J,7,FALSE)="","Awaiting First Approval",IF(VLOOKUP(B295,'ECN-ECO_DATA'!B:J,8,FALSE)="","Awaiting Quality Check Approval",IF(VLOOKUP(B295,'ECN-ECO_DATA'!B:J,9,FALSE)="","Awaiting Last Approval",IF(VLOOKUP(B295,'ECN-ECO_DATA'!B:J,9,FALSE)&lt;&gt;"","Approved","Unknown"))))),"")</f>
        <v/>
      </c>
      <c r="K295" s="47" t="str">
        <f>IFERROR(VLOOKUP(B295,'ECN-ECO_DATA'!B:W,22,FALSE),"")</f>
        <v/>
      </c>
      <c r="L295" s="43" t="str">
        <f>IFERROR(IF(VLOOKUP(B295,'ECN-ECO_DATA'!B:AB,27,FALSE)=0,"",VLOOKUP(B295,'ECN-ECO_DATA'!B:AB,27,FALSE)),"")</f>
        <v/>
      </c>
      <c r="M295" s="43" t="str">
        <f>IFERROR(VLOOKUP(B295,'ECN-ECO_DATA'!B:AE,30,FALSE),"")</f>
        <v/>
      </c>
      <c r="N295" s="59" t="str">
        <f>IFERROR(IF((VLOOKUP(B295,'ECN-ECO_DATA'!B:AD,20,FALSE)-VLOOKUP(B295,'ECN-ECO_DATA'!B:AD,18,FALSE))&gt;0,(VLOOKUP(B295,'ECN-ECO_DATA'!B:AD,20,FALSE)-VLOOKUP(B295,'ECN-ECO_DATA'!B:AD,18,FALSE)),""),"")</f>
        <v/>
      </c>
      <c r="O295" s="59"/>
      <c r="P295" s="59" t="str">
        <f>IFERROR(VLOOKUP(B295,'ECN-ECO_DATA'!B:P,13,FALSE),"")</f>
        <v/>
      </c>
      <c r="Q295" s="43" t="str">
        <f>IFERROR(VLOOKUP(B295,'ECN-ECO_DATA'!B:P,15,FALSE),"")</f>
        <v/>
      </c>
    </row>
    <row r="296" spans="3:17" x14ac:dyDescent="0.25">
      <c r="C296" s="43" t="str">
        <f>IFERROR(VLOOKUP(B296,'ECN-ECO_DATA'!B:C,2,FALSE),"")</f>
        <v/>
      </c>
      <c r="D296" s="43" t="str">
        <f>IFERROR(VLOOKUP(B296,'ECN-ECO_DATA'!B:X,23,FALSE),"")</f>
        <v/>
      </c>
      <c r="E296" s="44" t="str">
        <f>IFERROR(VLOOKUP(B296,'ECN-ECO_DATA'!B:G,5,FALSE),"")</f>
        <v/>
      </c>
      <c r="F296" s="44" t="str">
        <f>IFERROR((IF(VLOOKUP(B296,'ECN-ECO_DATA'!B:G,6,FALSE)="","",VLOOKUP(B296,'ECN-ECO_DATA'!B:G,6,FALSE))),"")</f>
        <v/>
      </c>
      <c r="H296" s="45" t="str">
        <f>IFERROR(VLOOKUP(B296,'ECN-ECO_DATA'!B:G,4,FALSE),"")</f>
        <v/>
      </c>
      <c r="I296" s="46" t="str">
        <f>IFERROR(IF(VLOOKUP(B296,'ECN-ECO_DATA'!B:G,6,FALSE)="","Not started",IF(VLOOKUP(B296,'ECN-ECO_DATA'!B:J,7,FALSE)="","Awaiting First Approval",IF(VLOOKUP(B296,'ECN-ECO_DATA'!B:J,8,FALSE)="","Awaiting Quality Check Approval",IF(VLOOKUP(B296,'ECN-ECO_DATA'!B:J,9,FALSE)="","Awaiting Last Approval",IF(VLOOKUP(B296,'ECN-ECO_DATA'!B:J,9,FALSE)&lt;&gt;"","Approved","Unknown"))))),"")</f>
        <v/>
      </c>
      <c r="K296" s="47" t="str">
        <f>IFERROR(VLOOKUP(B296,'ECN-ECO_DATA'!B:W,22,FALSE),"")</f>
        <v/>
      </c>
      <c r="L296" s="43" t="str">
        <f>IFERROR(IF(VLOOKUP(B296,'ECN-ECO_DATA'!B:AB,27,FALSE)=0,"",VLOOKUP(B296,'ECN-ECO_DATA'!B:AB,27,FALSE)),"")</f>
        <v/>
      </c>
      <c r="M296" s="43" t="str">
        <f>IFERROR(VLOOKUP(B296,'ECN-ECO_DATA'!B:AE,30,FALSE),"")</f>
        <v/>
      </c>
      <c r="N296" s="59" t="str">
        <f>IFERROR(IF((VLOOKUP(B296,'ECN-ECO_DATA'!B:AD,20,FALSE)-VLOOKUP(B296,'ECN-ECO_DATA'!B:AD,18,FALSE))&gt;0,(VLOOKUP(B296,'ECN-ECO_DATA'!B:AD,20,FALSE)-VLOOKUP(B296,'ECN-ECO_DATA'!B:AD,18,FALSE)),""),"")</f>
        <v/>
      </c>
      <c r="O296" s="59"/>
      <c r="P296" s="59" t="str">
        <f>IFERROR(VLOOKUP(B296,'ECN-ECO_DATA'!B:P,13,FALSE),"")</f>
        <v/>
      </c>
      <c r="Q296" s="43" t="str">
        <f>IFERROR(VLOOKUP(B296,'ECN-ECO_DATA'!B:P,15,FALSE),"")</f>
        <v/>
      </c>
    </row>
    <row r="297" spans="3:17" x14ac:dyDescent="0.25">
      <c r="C297" s="43" t="str">
        <f>IFERROR(VLOOKUP(B297,'ECN-ECO_DATA'!B:C,2,FALSE),"")</f>
        <v/>
      </c>
      <c r="D297" s="43" t="str">
        <f>IFERROR(VLOOKUP(B297,'ECN-ECO_DATA'!B:X,23,FALSE),"")</f>
        <v/>
      </c>
      <c r="E297" s="44" t="str">
        <f>IFERROR(VLOOKUP(B297,'ECN-ECO_DATA'!B:G,5,FALSE),"")</f>
        <v/>
      </c>
      <c r="F297" s="44" t="str">
        <f>IFERROR((IF(VLOOKUP(B297,'ECN-ECO_DATA'!B:G,6,FALSE)="","",VLOOKUP(B297,'ECN-ECO_DATA'!B:G,6,FALSE))),"")</f>
        <v/>
      </c>
      <c r="H297" s="45" t="str">
        <f>IFERROR(VLOOKUP(B297,'ECN-ECO_DATA'!B:G,4,FALSE),"")</f>
        <v/>
      </c>
      <c r="I297" s="46" t="str">
        <f>IFERROR(IF(VLOOKUP(B297,'ECN-ECO_DATA'!B:G,6,FALSE)="","Not started",IF(VLOOKUP(B297,'ECN-ECO_DATA'!B:J,7,FALSE)="","Awaiting First Approval",IF(VLOOKUP(B297,'ECN-ECO_DATA'!B:J,8,FALSE)="","Awaiting Quality Check Approval",IF(VLOOKUP(B297,'ECN-ECO_DATA'!B:J,9,FALSE)="","Awaiting Last Approval",IF(VLOOKUP(B297,'ECN-ECO_DATA'!B:J,9,FALSE)&lt;&gt;"","Approved","Unknown"))))),"")</f>
        <v/>
      </c>
      <c r="K297" s="47" t="str">
        <f>IFERROR(VLOOKUP(B297,'ECN-ECO_DATA'!B:W,22,FALSE),"")</f>
        <v/>
      </c>
      <c r="L297" s="43" t="str">
        <f>IFERROR(IF(VLOOKUP(B297,'ECN-ECO_DATA'!B:AB,27,FALSE)=0,"",VLOOKUP(B297,'ECN-ECO_DATA'!B:AB,27,FALSE)),"")</f>
        <v/>
      </c>
      <c r="M297" s="43" t="str">
        <f>IFERROR(VLOOKUP(B297,'ECN-ECO_DATA'!B:AE,30,FALSE),"")</f>
        <v/>
      </c>
      <c r="N297" s="59" t="str">
        <f>IFERROR(IF((VLOOKUP(B297,'ECN-ECO_DATA'!B:AD,20,FALSE)-VLOOKUP(B297,'ECN-ECO_DATA'!B:AD,18,FALSE))&gt;0,(VLOOKUP(B297,'ECN-ECO_DATA'!B:AD,20,FALSE)-VLOOKUP(B297,'ECN-ECO_DATA'!B:AD,18,FALSE)),""),"")</f>
        <v/>
      </c>
      <c r="O297" s="59"/>
      <c r="P297" s="59" t="str">
        <f>IFERROR(VLOOKUP(B297,'ECN-ECO_DATA'!B:P,13,FALSE),"")</f>
        <v/>
      </c>
      <c r="Q297" s="43" t="str">
        <f>IFERROR(VLOOKUP(B297,'ECN-ECO_DATA'!B:P,15,FALSE),"")</f>
        <v/>
      </c>
    </row>
    <row r="298" spans="3:17" x14ac:dyDescent="0.25">
      <c r="C298" s="43" t="str">
        <f>IFERROR(VLOOKUP(B298,'ECN-ECO_DATA'!B:C,2,FALSE),"")</f>
        <v/>
      </c>
      <c r="D298" s="43" t="str">
        <f>IFERROR(VLOOKUP(B298,'ECN-ECO_DATA'!B:X,23,FALSE),"")</f>
        <v/>
      </c>
      <c r="E298" s="44" t="str">
        <f>IFERROR(VLOOKUP(B298,'ECN-ECO_DATA'!B:G,5,FALSE),"")</f>
        <v/>
      </c>
      <c r="F298" s="44" t="str">
        <f>IFERROR((IF(VLOOKUP(B298,'ECN-ECO_DATA'!B:G,6,FALSE)="","",VLOOKUP(B298,'ECN-ECO_DATA'!B:G,6,FALSE))),"")</f>
        <v/>
      </c>
      <c r="H298" s="45" t="str">
        <f>IFERROR(VLOOKUP(B298,'ECN-ECO_DATA'!B:G,4,FALSE),"")</f>
        <v/>
      </c>
      <c r="I298" s="46" t="str">
        <f>IFERROR(IF(VLOOKUP(B298,'ECN-ECO_DATA'!B:G,6,FALSE)="","Not started",IF(VLOOKUP(B298,'ECN-ECO_DATA'!B:J,7,FALSE)="","Awaiting First Approval",IF(VLOOKUP(B298,'ECN-ECO_DATA'!B:J,8,FALSE)="","Awaiting Quality Check Approval",IF(VLOOKUP(B298,'ECN-ECO_DATA'!B:J,9,FALSE)="","Awaiting Last Approval",IF(VLOOKUP(B298,'ECN-ECO_DATA'!B:J,9,FALSE)&lt;&gt;"","Approved","Unknown"))))),"")</f>
        <v/>
      </c>
      <c r="K298" s="47" t="str">
        <f>IFERROR(VLOOKUP(B298,'ECN-ECO_DATA'!B:W,22,FALSE),"")</f>
        <v/>
      </c>
      <c r="L298" s="43" t="str">
        <f>IFERROR(IF(VLOOKUP(B298,'ECN-ECO_DATA'!B:AB,27,FALSE)=0,"",VLOOKUP(B298,'ECN-ECO_DATA'!B:AB,27,FALSE)),"")</f>
        <v/>
      </c>
      <c r="M298" s="43" t="str">
        <f>IFERROR(VLOOKUP(B298,'ECN-ECO_DATA'!B:AE,30,FALSE),"")</f>
        <v/>
      </c>
      <c r="N298" s="59" t="str">
        <f>IFERROR(IF((VLOOKUP(B298,'ECN-ECO_DATA'!B:AD,20,FALSE)-VLOOKUP(B298,'ECN-ECO_DATA'!B:AD,18,FALSE))&gt;0,(VLOOKUP(B298,'ECN-ECO_DATA'!B:AD,20,FALSE)-VLOOKUP(B298,'ECN-ECO_DATA'!B:AD,18,FALSE)),""),"")</f>
        <v/>
      </c>
      <c r="O298" s="59"/>
      <c r="P298" s="59" t="str">
        <f>IFERROR(VLOOKUP(B298,'ECN-ECO_DATA'!B:P,13,FALSE),"")</f>
        <v/>
      </c>
      <c r="Q298" s="43" t="str">
        <f>IFERROR(VLOOKUP(B298,'ECN-ECO_DATA'!B:P,15,FALSE),"")</f>
        <v/>
      </c>
    </row>
    <row r="299" spans="3:17" x14ac:dyDescent="0.25">
      <c r="C299" s="43" t="str">
        <f>IFERROR(VLOOKUP(B299,'ECN-ECO_DATA'!B:C,2,FALSE),"")</f>
        <v/>
      </c>
      <c r="D299" s="43" t="str">
        <f>IFERROR(VLOOKUP(B299,'ECN-ECO_DATA'!B:X,23,FALSE),"")</f>
        <v/>
      </c>
      <c r="E299" s="44" t="str">
        <f>IFERROR(VLOOKUP(B299,'ECN-ECO_DATA'!B:G,5,FALSE),"")</f>
        <v/>
      </c>
      <c r="F299" s="44" t="str">
        <f>IFERROR((IF(VLOOKUP(B299,'ECN-ECO_DATA'!B:G,6,FALSE)="","",VLOOKUP(B299,'ECN-ECO_DATA'!B:G,6,FALSE))),"")</f>
        <v/>
      </c>
      <c r="H299" s="45" t="str">
        <f>IFERROR(VLOOKUP(B299,'ECN-ECO_DATA'!B:G,4,FALSE),"")</f>
        <v/>
      </c>
      <c r="I299" s="46" t="str">
        <f>IFERROR(IF(VLOOKUP(B299,'ECN-ECO_DATA'!B:G,6,FALSE)="","Not started",IF(VLOOKUP(B299,'ECN-ECO_DATA'!B:J,7,FALSE)="","Awaiting First Approval",IF(VLOOKUP(B299,'ECN-ECO_DATA'!B:J,8,FALSE)="","Awaiting Quality Check Approval",IF(VLOOKUP(B299,'ECN-ECO_DATA'!B:J,9,FALSE)="","Awaiting Last Approval",IF(VLOOKUP(B299,'ECN-ECO_DATA'!B:J,9,FALSE)&lt;&gt;"","Approved","Unknown"))))),"")</f>
        <v/>
      </c>
      <c r="K299" s="47" t="str">
        <f>IFERROR(VLOOKUP(B299,'ECN-ECO_DATA'!B:W,22,FALSE),"")</f>
        <v/>
      </c>
      <c r="L299" s="43" t="str">
        <f>IFERROR(IF(VLOOKUP(B299,'ECN-ECO_DATA'!B:AB,27,FALSE)=0,"",VLOOKUP(B299,'ECN-ECO_DATA'!B:AB,27,FALSE)),"")</f>
        <v/>
      </c>
      <c r="M299" s="43" t="str">
        <f>IFERROR(VLOOKUP(B299,'ECN-ECO_DATA'!B:AE,30,FALSE),"")</f>
        <v/>
      </c>
      <c r="N299" s="59" t="str">
        <f>IFERROR(IF((VLOOKUP(B299,'ECN-ECO_DATA'!B:AD,20,FALSE)-VLOOKUP(B299,'ECN-ECO_DATA'!B:AD,18,FALSE))&gt;0,(VLOOKUP(B299,'ECN-ECO_DATA'!B:AD,20,FALSE)-VLOOKUP(B299,'ECN-ECO_DATA'!B:AD,18,FALSE)),""),"")</f>
        <v/>
      </c>
      <c r="O299" s="59"/>
      <c r="P299" s="59" t="str">
        <f>IFERROR(VLOOKUP(B299,'ECN-ECO_DATA'!B:P,13,FALSE),"")</f>
        <v/>
      </c>
      <c r="Q299" s="43" t="str">
        <f>IFERROR(VLOOKUP(B299,'ECN-ECO_DATA'!B:P,15,FALSE),"")</f>
        <v/>
      </c>
    </row>
    <row r="300" spans="3:17" x14ac:dyDescent="0.25">
      <c r="C300" s="43" t="str">
        <f>IFERROR(VLOOKUP(B300,'ECN-ECO_DATA'!B:C,2,FALSE),"")</f>
        <v/>
      </c>
      <c r="D300" s="43" t="str">
        <f>IFERROR(VLOOKUP(B300,'ECN-ECO_DATA'!B:X,23,FALSE),"")</f>
        <v/>
      </c>
      <c r="E300" s="44" t="str">
        <f>IFERROR(VLOOKUP(B300,'ECN-ECO_DATA'!B:G,5,FALSE),"")</f>
        <v/>
      </c>
      <c r="F300" s="44" t="str">
        <f>IFERROR((IF(VLOOKUP(B300,'ECN-ECO_DATA'!B:G,6,FALSE)="","",VLOOKUP(B300,'ECN-ECO_DATA'!B:G,6,FALSE))),"")</f>
        <v/>
      </c>
      <c r="H300" s="45" t="str">
        <f>IFERROR(VLOOKUP(B300,'ECN-ECO_DATA'!B:G,4,FALSE),"")</f>
        <v/>
      </c>
      <c r="I300" s="46" t="str">
        <f>IFERROR(IF(VLOOKUP(B300,'ECN-ECO_DATA'!B:G,6,FALSE)="","Not started",IF(VLOOKUP(B300,'ECN-ECO_DATA'!B:J,7,FALSE)="","Awaiting First Approval",IF(VLOOKUP(B300,'ECN-ECO_DATA'!B:J,8,FALSE)="","Awaiting Quality Check Approval",IF(VLOOKUP(B300,'ECN-ECO_DATA'!B:J,9,FALSE)="","Awaiting Last Approval",IF(VLOOKUP(B300,'ECN-ECO_DATA'!B:J,9,FALSE)&lt;&gt;"","Approved","Unknown"))))),"")</f>
        <v/>
      </c>
      <c r="K300" s="47" t="str">
        <f>IFERROR(VLOOKUP(B300,'ECN-ECO_DATA'!B:W,22,FALSE),"")</f>
        <v/>
      </c>
      <c r="L300" s="43" t="str">
        <f>IFERROR(IF(VLOOKUP(B300,'ECN-ECO_DATA'!B:AB,27,FALSE)=0,"",VLOOKUP(B300,'ECN-ECO_DATA'!B:AB,27,FALSE)),"")</f>
        <v/>
      </c>
      <c r="M300" s="43" t="str">
        <f>IFERROR(VLOOKUP(B300,'ECN-ECO_DATA'!B:AE,30,FALSE),"")</f>
        <v/>
      </c>
      <c r="N300" s="59" t="str">
        <f>IFERROR(IF((VLOOKUP(B300,'ECN-ECO_DATA'!B:AD,20,FALSE)-VLOOKUP(B300,'ECN-ECO_DATA'!B:AD,18,FALSE))&gt;0,(VLOOKUP(B300,'ECN-ECO_DATA'!B:AD,20,FALSE)-VLOOKUP(B300,'ECN-ECO_DATA'!B:AD,18,FALSE)),""),"")</f>
        <v/>
      </c>
      <c r="O300" s="59"/>
      <c r="P300" s="59" t="str">
        <f>IFERROR(VLOOKUP(B300,'ECN-ECO_DATA'!B:P,13,FALSE),"")</f>
        <v/>
      </c>
      <c r="Q300" s="43" t="str">
        <f>IFERROR(VLOOKUP(B300,'ECN-ECO_DATA'!B:P,15,FALSE),"")</f>
        <v/>
      </c>
    </row>
  </sheetData>
  <mergeCells count="1">
    <mergeCell ref="A1:C1"/>
  </mergeCells>
  <conditionalFormatting sqref="A5:Q300">
    <cfRule type="expression" dxfId="2" priority="4" stopIfTrue="1">
      <formula>MID($A5,1,3)="ECN"</formula>
    </cfRule>
    <cfRule type="expression" dxfId="1" priority="7">
      <formula>MOD(ROW(),2)</formula>
    </cfRule>
    <cfRule type="expression" dxfId="0" priority="8">
      <formula>NOT(MOD(ROW(),2))</formula>
    </cfRule>
  </conditionalFormatting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5"/>
  <dimension ref="A2:J23"/>
  <sheetViews>
    <sheetView workbookViewId="0">
      <selection activeCell="A40" sqref="A40"/>
    </sheetView>
  </sheetViews>
  <sheetFormatPr baseColWidth="10" defaultRowHeight="15" x14ac:dyDescent="0.25"/>
  <cols>
    <col min="1" max="1" width="36.28515625" style="16" customWidth="1"/>
    <col min="2" max="3" width="11.42578125" style="16"/>
    <col min="4" max="4" width="14" style="16" customWidth="1"/>
    <col min="5" max="5" width="11.42578125" style="16"/>
    <col min="6" max="6" width="4.85546875" style="16" customWidth="1"/>
    <col min="7" max="16384" width="11.42578125" style="16"/>
  </cols>
  <sheetData>
    <row r="2" spans="1:10" ht="15.75" x14ac:dyDescent="0.25">
      <c r="B2" s="38" t="str">
        <f>"Parts per ECN - NB ECN: "&amp;COUNT(STAT!I:I)</f>
        <v>Parts per ECN - NB ECN: 0</v>
      </c>
      <c r="C2" s="38"/>
      <c r="D2" s="38"/>
      <c r="E2" s="38"/>
      <c r="G2" s="37" t="str">
        <f>"Other Documents per ECN - NB ECN: "&amp;COUNT(STAT!L:L)</f>
        <v>Other Documents per ECN - NB ECN: 0</v>
      </c>
      <c r="H2" s="37"/>
      <c r="I2" s="37"/>
      <c r="J2" s="37"/>
    </row>
    <row r="3" spans="1:10" x14ac:dyDescent="0.25">
      <c r="B3" s="17" t="s">
        <v>48</v>
      </c>
      <c r="C3" s="17" t="s">
        <v>49</v>
      </c>
      <c r="D3" s="17" t="s">
        <v>50</v>
      </c>
      <c r="E3" s="17" t="s">
        <v>51</v>
      </c>
      <c r="G3" s="31" t="s">
        <v>48</v>
      </c>
      <c r="H3" s="31" t="s">
        <v>49</v>
      </c>
      <c r="I3" s="31" t="s">
        <v>50</v>
      </c>
      <c r="J3" s="31" t="s">
        <v>51</v>
      </c>
    </row>
    <row r="4" spans="1:10" x14ac:dyDescent="0.25">
      <c r="B4" s="18">
        <f>MAX(STAT!I:I)</f>
        <v>0</v>
      </c>
      <c r="C4" s="18">
        <f>MIN(STAT!I:I)</f>
        <v>0</v>
      </c>
      <c r="D4" s="18" t="e">
        <f>AVERAGE(STAT!I:I)</f>
        <v>#DIV/0!</v>
      </c>
      <c r="E4" s="18">
        <f>SUM(STAT!I:I)</f>
        <v>0</v>
      </c>
      <c r="G4" s="32">
        <f>MAX(STAT!L:L)</f>
        <v>0</v>
      </c>
      <c r="H4" s="32">
        <f>MIN(STAT!L:L)</f>
        <v>0</v>
      </c>
      <c r="I4" s="32" t="e">
        <f>AVERAGE(STAT!L:L)</f>
        <v>#DIV/0!</v>
      </c>
      <c r="J4" s="32">
        <f>SUM(STAT!L:L)</f>
        <v>0</v>
      </c>
    </row>
    <row r="6" spans="1:10" ht="15.75" x14ac:dyDescent="0.25">
      <c r="B6" s="39" t="str">
        <f>"Drawings per ECN - NB ECN: "&amp;COUNT(STAT!K:K)</f>
        <v>Drawings per ECN - NB ECN: 0</v>
      </c>
      <c r="C6" s="39"/>
      <c r="D6" s="39"/>
      <c r="E6" s="39"/>
    </row>
    <row r="7" spans="1:10" x14ac:dyDescent="0.25">
      <c r="B7" s="17" t="s">
        <v>48</v>
      </c>
      <c r="C7" s="17" t="s">
        <v>49</v>
      </c>
      <c r="D7" s="17" t="s">
        <v>50</v>
      </c>
      <c r="E7" s="17" t="s">
        <v>51</v>
      </c>
    </row>
    <row r="8" spans="1:10" x14ac:dyDescent="0.25">
      <c r="B8" s="18">
        <f>MAX(STAT!K:K)</f>
        <v>0</v>
      </c>
      <c r="C8" s="18">
        <f>MIN(STAT!K:K)</f>
        <v>0</v>
      </c>
      <c r="D8" s="18" t="e">
        <f>AVERAGE(STAT!K:K)</f>
        <v>#DIV/0!</v>
      </c>
      <c r="E8" s="18">
        <f>SUM(STAT!K:K)</f>
        <v>0</v>
      </c>
    </row>
    <row r="11" spans="1:10" ht="15.75" x14ac:dyDescent="0.25">
      <c r="B11" s="40" t="s">
        <v>52</v>
      </c>
      <c r="C11" s="40"/>
      <c r="D11" s="40"/>
    </row>
    <row r="12" spans="1:10" x14ac:dyDescent="0.25">
      <c r="B12" s="17" t="s">
        <v>53</v>
      </c>
      <c r="C12" s="17" t="s">
        <v>54</v>
      </c>
      <c r="D12" s="17" t="s">
        <v>55</v>
      </c>
    </row>
    <row r="13" spans="1:10" ht="15.75" x14ac:dyDescent="0.25">
      <c r="A13" s="19" t="str">
        <f ca="1">"Design Time - NB ECN: "&amp;COUNT(STAT!Q:Q)</f>
        <v>Design Time - NB ECN: 0</v>
      </c>
      <c r="B13" s="18">
        <f ca="1">MAX(STAT!Q:Q)</f>
        <v>0</v>
      </c>
      <c r="C13" s="18">
        <f ca="1">MIN(STAT!Q:Q)</f>
        <v>0</v>
      </c>
      <c r="D13" s="18" t="e">
        <f ca="1">AVERAGE(STAT!Q:Q)</f>
        <v>#DIV/0!</v>
      </c>
    </row>
    <row r="14" spans="1:10" ht="15.75" x14ac:dyDescent="0.25">
      <c r="A14" s="19" t="str">
        <f>"Approval Time - NB ECN: "&amp;COUNT(STAT!R:R)</f>
        <v>Approval Time - NB ECN: 0</v>
      </c>
      <c r="B14" s="18">
        <f>MAX(STAT!R:R)</f>
        <v>0</v>
      </c>
      <c r="C14" s="18">
        <f>MIN(STAT!R:R)</f>
        <v>0</v>
      </c>
      <c r="D14" s="18" t="e">
        <f>AVERAGE(STAT!R:R)</f>
        <v>#DIV/0!</v>
      </c>
    </row>
    <row r="16" spans="1:10" ht="15.75" x14ac:dyDescent="0.25">
      <c r="B16" s="41" t="s">
        <v>56</v>
      </c>
      <c r="C16" s="41"/>
      <c r="D16" s="41"/>
    </row>
    <row r="17" spans="1:4" x14ac:dyDescent="0.25">
      <c r="B17" s="17" t="s">
        <v>53</v>
      </c>
      <c r="C17" s="17" t="s">
        <v>54</v>
      </c>
      <c r="D17" s="17" t="s">
        <v>55</v>
      </c>
    </row>
    <row r="18" spans="1:4" ht="15.75" x14ac:dyDescent="0.25">
      <c r="A18" s="20" t="str">
        <f>"Data Entry - NB ECO: "&amp;COUNT(STAT!S:S)</f>
        <v>Data Entry - NB ECO: 0</v>
      </c>
      <c r="B18" s="18">
        <f>MAX(STAT!S:S)</f>
        <v>0</v>
      </c>
      <c r="C18" s="18">
        <f>MIN(STAT!S:S)</f>
        <v>0</v>
      </c>
      <c r="D18" s="18" t="e">
        <f>AVERAGE(STAT!S:S)</f>
        <v>#DIV/0!</v>
      </c>
    </row>
    <row r="19" spans="1:4" ht="15.75" x14ac:dyDescent="0.25">
      <c r="A19" s="20" t="str">
        <f>"ECO Process Time - NB ECO: "&amp;COUNT(STAT!T:T)</f>
        <v>ECO Process Time - NB ECO: 0</v>
      </c>
      <c r="B19" s="18">
        <f>MAX(STAT!T:T)</f>
        <v>0</v>
      </c>
      <c r="C19" s="18">
        <f>MIN(STAT!T:T)</f>
        <v>0</v>
      </c>
      <c r="D19" s="18" t="e">
        <f>AVERAGE(STAT!T:T)</f>
        <v>#DIV/0!</v>
      </c>
    </row>
    <row r="21" spans="1:4" ht="15.75" x14ac:dyDescent="0.25">
      <c r="B21" s="36" t="s">
        <v>58</v>
      </c>
      <c r="C21" s="36"/>
      <c r="D21" s="36"/>
    </row>
    <row r="22" spans="1:4" x14ac:dyDescent="0.25">
      <c r="B22" s="17" t="s">
        <v>53</v>
      </c>
      <c r="C22" s="17" t="s">
        <v>54</v>
      </c>
      <c r="D22" s="17" t="s">
        <v>55</v>
      </c>
    </row>
    <row r="23" spans="1:4" ht="15.75" x14ac:dyDescent="0.25">
      <c r="A23" s="21" t="str">
        <f>"Data Entry - NB ECN/ECO: "&amp;COUNT(STAT!U:U)</f>
        <v>Data Entry - NB ECN/ECO: 0</v>
      </c>
      <c r="B23" s="18">
        <f>MAX(STAT!U:U)</f>
        <v>0</v>
      </c>
      <c r="C23" s="18">
        <f>MIN(STAT!U:U)</f>
        <v>0</v>
      </c>
      <c r="D23" s="18" t="e">
        <f>AVERAGE(STAT!U:U)</f>
        <v>#DIV/0!</v>
      </c>
    </row>
  </sheetData>
  <mergeCells count="6">
    <mergeCell ref="B21:D21"/>
    <mergeCell ref="G2:J2"/>
    <mergeCell ref="B2:E2"/>
    <mergeCell ref="B6:E6"/>
    <mergeCell ref="B11:D11"/>
    <mergeCell ref="B16:D1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1:AE73"/>
  <sheetViews>
    <sheetView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P1" sqref="P1"/>
    </sheetView>
  </sheetViews>
  <sheetFormatPr baseColWidth="10" defaultRowHeight="15" x14ac:dyDescent="0.25"/>
  <cols>
    <col min="1" max="1" width="5.42578125" style="3" customWidth="1"/>
    <col min="2" max="2" width="13.28515625" style="3" bestFit="1" customWidth="1"/>
    <col min="3" max="3" width="33.7109375" style="3" customWidth="1"/>
    <col min="4" max="4" width="36.140625" style="3" customWidth="1"/>
    <col min="5" max="5" width="15.42578125" style="3" bestFit="1" customWidth="1"/>
    <col min="6" max="6" width="17.42578125" style="23" bestFit="1" customWidth="1"/>
    <col min="7" max="7" width="26.7109375" style="23" bestFit="1" customWidth="1"/>
    <col min="8" max="8" width="22.140625" style="23" bestFit="1" customWidth="1"/>
    <col min="9" max="9" width="29.140625" style="23" bestFit="1" customWidth="1"/>
    <col min="10" max="10" width="21.5703125" style="23" bestFit="1" customWidth="1"/>
    <col min="11" max="11" width="18.140625" style="3" bestFit="1" customWidth="1"/>
    <col min="12" max="12" width="15" style="3" bestFit="1" customWidth="1"/>
    <col min="13" max="13" width="20.140625" style="3" bestFit="1" customWidth="1"/>
    <col min="14" max="14" width="9.140625" style="8" bestFit="1" customWidth="1"/>
    <col min="15" max="15" width="13.28515625" style="8" bestFit="1" customWidth="1"/>
    <col min="16" max="16" width="8.85546875" style="8" bestFit="1" customWidth="1"/>
    <col min="17" max="17" width="12.28515625" style="8" bestFit="1" customWidth="1"/>
    <col min="18" max="18" width="19.5703125" style="3" customWidth="1"/>
    <col min="19" max="19" width="17.42578125" style="22" bestFit="1" customWidth="1"/>
    <col min="20" max="20" width="21.28515625" style="22" bestFit="1" customWidth="1"/>
    <col min="21" max="21" width="16.28515625" style="22" bestFit="1" customWidth="1"/>
    <col min="22" max="22" width="22" style="22" bestFit="1" customWidth="1"/>
    <col min="23" max="23" width="12.140625" style="3" bestFit="1" customWidth="1"/>
    <col min="24" max="24" width="20.140625" style="3" bestFit="1" customWidth="1"/>
    <col min="25" max="25" width="20.85546875" style="3" bestFit="1" customWidth="1"/>
    <col min="26" max="26" width="20.7109375" style="3" bestFit="1" customWidth="1"/>
    <col min="27" max="27" width="11.42578125" style="3"/>
    <col min="28" max="28" width="13.140625" style="3" bestFit="1" customWidth="1"/>
    <col min="29" max="29" width="14" style="3" bestFit="1" customWidth="1"/>
    <col min="30" max="30" width="22.7109375" style="34" bestFit="1" customWidth="1"/>
    <col min="31" max="31" width="15.28515625" style="22" bestFit="1" customWidth="1"/>
    <col min="32" max="16384" width="11.42578125" style="3"/>
  </cols>
  <sheetData>
    <row r="1" spans="2:31" s="30" customFormat="1" x14ac:dyDescent="0.25">
      <c r="B1" s="24" t="s">
        <v>12</v>
      </c>
      <c r="C1" s="24" t="s">
        <v>13</v>
      </c>
      <c r="D1" s="24" t="s">
        <v>14</v>
      </c>
      <c r="E1" s="24" t="s">
        <v>15</v>
      </c>
      <c r="F1" s="25" t="s">
        <v>16</v>
      </c>
      <c r="G1" s="25" t="s">
        <v>17</v>
      </c>
      <c r="H1" s="25" t="s">
        <v>18</v>
      </c>
      <c r="I1" s="25" t="s">
        <v>19</v>
      </c>
      <c r="J1" s="25" t="s">
        <v>20</v>
      </c>
      <c r="K1" s="24" t="s">
        <v>21</v>
      </c>
      <c r="L1" s="24" t="s">
        <v>22</v>
      </c>
      <c r="M1" s="24" t="s">
        <v>23</v>
      </c>
      <c r="N1" s="26" t="s">
        <v>24</v>
      </c>
      <c r="O1" s="26" t="s">
        <v>25</v>
      </c>
      <c r="P1" s="26" t="s">
        <v>26</v>
      </c>
      <c r="Q1" s="26" t="s">
        <v>27</v>
      </c>
      <c r="R1" s="24" t="s">
        <v>28</v>
      </c>
      <c r="S1" s="27" t="s">
        <v>29</v>
      </c>
      <c r="T1" s="28" t="s">
        <v>31</v>
      </c>
      <c r="U1" s="28" t="s">
        <v>32</v>
      </c>
      <c r="V1" s="28" t="s">
        <v>33</v>
      </c>
      <c r="W1" s="29" t="s">
        <v>34</v>
      </c>
      <c r="X1" s="29" t="s">
        <v>35</v>
      </c>
      <c r="Y1" s="29" t="s">
        <v>36</v>
      </c>
      <c r="Z1" s="29" t="s">
        <v>37</v>
      </c>
      <c r="AA1" s="30" t="s">
        <v>64</v>
      </c>
      <c r="AB1" s="30" t="s">
        <v>63</v>
      </c>
      <c r="AC1" s="30" t="s">
        <v>65</v>
      </c>
      <c r="AD1" s="33" t="s">
        <v>66</v>
      </c>
      <c r="AE1" s="35" t="s">
        <v>69</v>
      </c>
    </row>
    <row r="2" spans="2:31" x14ac:dyDescent="0.25">
      <c r="S2" s="23"/>
      <c r="T2" s="23"/>
      <c r="U2" s="23"/>
      <c r="V2" s="23"/>
      <c r="AD2" s="22"/>
    </row>
    <row r="3" spans="2:31" x14ac:dyDescent="0.25">
      <c r="S3" s="23"/>
      <c r="T3" s="23"/>
      <c r="V3" s="23"/>
    </row>
    <row r="4" spans="2:31" x14ac:dyDescent="0.25">
      <c r="D4" s="7"/>
      <c r="S4" s="23"/>
      <c r="T4" s="23"/>
      <c r="V4" s="23"/>
    </row>
    <row r="6" spans="2:31" x14ac:dyDescent="0.25">
      <c r="S6" s="23"/>
      <c r="T6" s="23"/>
      <c r="U6" s="23"/>
      <c r="V6" s="23"/>
    </row>
    <row r="7" spans="2:31" x14ac:dyDescent="0.25">
      <c r="D7" s="7"/>
      <c r="S7" s="23"/>
      <c r="T7" s="23"/>
      <c r="U7" s="23"/>
      <c r="V7" s="23"/>
    </row>
    <row r="8" spans="2:31" x14ac:dyDescent="0.25">
      <c r="D8" s="7"/>
    </row>
    <row r="24" spans="4:4" x14ac:dyDescent="0.25">
      <c r="D24" s="7"/>
    </row>
    <row r="30" spans="4:4" x14ac:dyDescent="0.25">
      <c r="D30" s="7"/>
    </row>
    <row r="33" spans="4:4" x14ac:dyDescent="0.25">
      <c r="D33" s="7"/>
    </row>
    <row r="38" spans="4:4" x14ac:dyDescent="0.25">
      <c r="D38" s="7"/>
    </row>
    <row r="48" spans="4:4" x14ac:dyDescent="0.25">
      <c r="D48" s="7"/>
    </row>
    <row r="50" spans="4:4" x14ac:dyDescent="0.25">
      <c r="D50" s="7"/>
    </row>
    <row r="73" spans="4:4" x14ac:dyDescent="0.25">
      <c r="D73" s="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D34"/>
  <sheetViews>
    <sheetView workbookViewId="0">
      <selection activeCell="E28" sqref="E28"/>
    </sheetView>
  </sheetViews>
  <sheetFormatPr baseColWidth="10" defaultRowHeight="15" x14ac:dyDescent="0.25"/>
  <cols>
    <col min="1" max="1" width="35.42578125" customWidth="1"/>
    <col min="2" max="2" width="31.42578125" customWidth="1"/>
    <col min="3" max="3" width="12.7109375" bestFit="1" customWidth="1"/>
  </cols>
  <sheetData>
    <row r="1" spans="1:4" x14ac:dyDescent="0.25">
      <c r="A1" s="5" t="s">
        <v>9</v>
      </c>
      <c r="B1" s="1" t="s">
        <v>59</v>
      </c>
      <c r="C1" s="5" t="s">
        <v>11</v>
      </c>
      <c r="D1" s="6" t="s">
        <v>70</v>
      </c>
    </row>
    <row r="2" spans="1:4" x14ac:dyDescent="0.25">
      <c r="A2" s="5" t="s">
        <v>10</v>
      </c>
      <c r="B2" s="6" t="str">
        <f>"SELECT * FROM ECNECOFOLLOWUP WHERE ECN_NUMBER='"&amp;D1&amp;"'"</f>
        <v>SELECT * FROM ECNECOFOLLOWUP WHERE ECN_NUMBER='B-007323'</v>
      </c>
    </row>
    <row r="4" spans="1:4" x14ac:dyDescent="0.25">
      <c r="A4" s="2" t="s">
        <v>30</v>
      </c>
      <c r="B4" s="2" t="s">
        <v>39</v>
      </c>
    </row>
    <row r="5" spans="1:4" x14ac:dyDescent="0.25">
      <c r="A5" s="6" t="s">
        <v>12</v>
      </c>
      <c r="B5" s="6" t="s">
        <v>40</v>
      </c>
    </row>
    <row r="6" spans="1:4" x14ac:dyDescent="0.25">
      <c r="A6" s="6" t="s">
        <v>13</v>
      </c>
      <c r="B6" s="6" t="s">
        <v>40</v>
      </c>
    </row>
    <row r="7" spans="1:4" x14ac:dyDescent="0.25">
      <c r="A7" s="6" t="s">
        <v>14</v>
      </c>
      <c r="B7" s="6" t="s">
        <v>40</v>
      </c>
    </row>
    <row r="8" spans="1:4" x14ac:dyDescent="0.25">
      <c r="A8" s="6" t="s">
        <v>15</v>
      </c>
      <c r="B8" s="6" t="s">
        <v>40</v>
      </c>
    </row>
    <row r="9" spans="1:4" x14ac:dyDescent="0.25">
      <c r="A9" s="6" t="s">
        <v>16</v>
      </c>
      <c r="B9" s="6" t="s">
        <v>41</v>
      </c>
    </row>
    <row r="10" spans="1:4" x14ac:dyDescent="0.25">
      <c r="A10" s="6" t="s">
        <v>17</v>
      </c>
      <c r="B10" s="6" t="s">
        <v>41</v>
      </c>
    </row>
    <row r="11" spans="1:4" x14ac:dyDescent="0.25">
      <c r="A11" s="6" t="s">
        <v>18</v>
      </c>
      <c r="B11" s="6" t="s">
        <v>41</v>
      </c>
    </row>
    <row r="12" spans="1:4" x14ac:dyDescent="0.25">
      <c r="A12" s="6" t="s">
        <v>19</v>
      </c>
      <c r="B12" s="6" t="s">
        <v>41</v>
      </c>
    </row>
    <row r="13" spans="1:4" x14ac:dyDescent="0.25">
      <c r="A13" s="6" t="s">
        <v>20</v>
      </c>
      <c r="B13" s="6" t="s">
        <v>41</v>
      </c>
    </row>
    <row r="14" spans="1:4" x14ac:dyDescent="0.25">
      <c r="A14" s="6" t="s">
        <v>21</v>
      </c>
      <c r="B14" s="6" t="s">
        <v>40</v>
      </c>
    </row>
    <row r="15" spans="1:4" x14ac:dyDescent="0.25">
      <c r="A15" s="6" t="s">
        <v>22</v>
      </c>
      <c r="B15" s="6" t="s">
        <v>40</v>
      </c>
    </row>
    <row r="16" spans="1:4" x14ac:dyDescent="0.25">
      <c r="A16" s="6" t="s">
        <v>23</v>
      </c>
      <c r="B16" s="6" t="s">
        <v>40</v>
      </c>
    </row>
    <row r="17" spans="1:2" x14ac:dyDescent="0.25">
      <c r="A17" s="6" t="s">
        <v>24</v>
      </c>
      <c r="B17" s="6" t="s">
        <v>42</v>
      </c>
    </row>
    <row r="18" spans="1:2" x14ac:dyDescent="0.25">
      <c r="A18" s="6" t="s">
        <v>25</v>
      </c>
      <c r="B18" s="6" t="s">
        <v>42</v>
      </c>
    </row>
    <row r="19" spans="1:2" x14ac:dyDescent="0.25">
      <c r="A19" s="6" t="s">
        <v>26</v>
      </c>
      <c r="B19" s="6" t="s">
        <v>42</v>
      </c>
    </row>
    <row r="20" spans="1:2" x14ac:dyDescent="0.25">
      <c r="A20" s="6" t="s">
        <v>27</v>
      </c>
      <c r="B20" s="6" t="s">
        <v>42</v>
      </c>
    </row>
    <row r="21" spans="1:2" x14ac:dyDescent="0.25">
      <c r="A21" s="6" t="s">
        <v>28</v>
      </c>
      <c r="B21" s="6" t="s">
        <v>40</v>
      </c>
    </row>
    <row r="22" spans="1:2" x14ac:dyDescent="0.25">
      <c r="A22" s="6" t="s">
        <v>29</v>
      </c>
      <c r="B22" s="6" t="s">
        <v>41</v>
      </c>
    </row>
    <row r="23" spans="1:2" x14ac:dyDescent="0.25">
      <c r="A23" s="6" t="s">
        <v>31</v>
      </c>
      <c r="B23" s="6" t="s">
        <v>41</v>
      </c>
    </row>
    <row r="24" spans="1:2" x14ac:dyDescent="0.25">
      <c r="A24" s="6" t="s">
        <v>32</v>
      </c>
      <c r="B24" s="6" t="s">
        <v>41</v>
      </c>
    </row>
    <row r="25" spans="1:2" x14ac:dyDescent="0.25">
      <c r="A25" s="6" t="s">
        <v>33</v>
      </c>
      <c r="B25" s="6" t="s">
        <v>41</v>
      </c>
    </row>
    <row r="26" spans="1:2" x14ac:dyDescent="0.25">
      <c r="A26" s="6" t="s">
        <v>34</v>
      </c>
      <c r="B26" s="6" t="s">
        <v>40</v>
      </c>
    </row>
    <row r="27" spans="1:2" x14ac:dyDescent="0.25">
      <c r="A27" s="6" t="s">
        <v>35</v>
      </c>
      <c r="B27" s="6" t="s">
        <v>40</v>
      </c>
    </row>
    <row r="28" spans="1:2" x14ac:dyDescent="0.25">
      <c r="A28" s="6" t="s">
        <v>36</v>
      </c>
      <c r="B28" s="6" t="s">
        <v>40</v>
      </c>
    </row>
    <row r="29" spans="1:2" x14ac:dyDescent="0.25">
      <c r="A29" s="6" t="s">
        <v>37</v>
      </c>
      <c r="B29" s="6" t="s">
        <v>40</v>
      </c>
    </row>
    <row r="30" spans="1:2" x14ac:dyDescent="0.25">
      <c r="A30" s="6" t="s">
        <v>64</v>
      </c>
      <c r="B30" s="6" t="s">
        <v>40</v>
      </c>
    </row>
    <row r="31" spans="1:2" x14ac:dyDescent="0.25">
      <c r="A31" s="6" t="s">
        <v>63</v>
      </c>
      <c r="B31" s="6" t="s">
        <v>40</v>
      </c>
    </row>
    <row r="32" spans="1:2" x14ac:dyDescent="0.25">
      <c r="A32" s="6" t="s">
        <v>65</v>
      </c>
      <c r="B32" s="6" t="s">
        <v>40</v>
      </c>
    </row>
    <row r="33" spans="1:2" x14ac:dyDescent="0.25">
      <c r="A33" s="6" t="s">
        <v>66</v>
      </c>
      <c r="B33" s="6" t="s">
        <v>42</v>
      </c>
    </row>
    <row r="34" spans="1:2" x14ac:dyDescent="0.25">
      <c r="A34" s="6" t="s">
        <v>69</v>
      </c>
      <c r="B34" s="6" t="s">
        <v>40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/>
  <dimension ref="A1:V1000"/>
  <sheetViews>
    <sheetView workbookViewId="0">
      <selection activeCell="A2" sqref="A2"/>
    </sheetView>
  </sheetViews>
  <sheetFormatPr baseColWidth="10" defaultRowHeight="15" x14ac:dyDescent="0.25"/>
  <sheetData>
    <row r="1" spans="1:22" s="14" customFormat="1" x14ac:dyDescent="0.25">
      <c r="A1" s="5" t="s">
        <v>12</v>
      </c>
      <c r="B1" s="5" t="s">
        <v>15</v>
      </c>
      <c r="C1" s="11" t="s">
        <v>16</v>
      </c>
      <c r="D1" s="11" t="s">
        <v>43</v>
      </c>
      <c r="E1" s="11" t="s">
        <v>17</v>
      </c>
      <c r="F1" s="11" t="s">
        <v>18</v>
      </c>
      <c r="G1" s="11" t="s">
        <v>19</v>
      </c>
      <c r="H1" s="11" t="s">
        <v>20</v>
      </c>
      <c r="I1" s="12" t="s">
        <v>24</v>
      </c>
      <c r="J1" s="12" t="s">
        <v>25</v>
      </c>
      <c r="K1" s="12" t="s">
        <v>26</v>
      </c>
      <c r="L1" s="12" t="s">
        <v>27</v>
      </c>
      <c r="M1" s="11" t="s">
        <v>29</v>
      </c>
      <c r="N1" s="11" t="s">
        <v>31</v>
      </c>
      <c r="O1" s="11" t="s">
        <v>32</v>
      </c>
      <c r="P1" s="11" t="s">
        <v>33</v>
      </c>
      <c r="Q1" s="15" t="s">
        <v>44</v>
      </c>
      <c r="R1" s="13" t="s">
        <v>45</v>
      </c>
      <c r="S1" s="13" t="s">
        <v>46</v>
      </c>
      <c r="T1" s="13" t="s">
        <v>47</v>
      </c>
      <c r="U1" s="13" t="s">
        <v>57</v>
      </c>
      <c r="V1" s="13"/>
    </row>
    <row r="2" spans="1:22" s="4" customFormat="1" x14ac:dyDescent="0.25">
      <c r="B2" s="4" t="str">
        <f>IFERROR(VLOOKUP(A2,'ECN-ECO_DATA'!B:G,4,FALSE),"")</f>
        <v/>
      </c>
      <c r="C2" s="9" t="str">
        <f>IFERROR(VLOOKUP(A2,'ECN-ECO_DATA'!B:G,5,FALSE),"")</f>
        <v/>
      </c>
      <c r="D2" s="9" t="str">
        <f ca="1">IFERROR((IF(VLOOKUP(A2,'ECN-ECO_DATA'!B:G,6,FALSE)=0/1/1900,TODAY(),VLOOKUP(A2,'ECN-ECO_DATA'!B:G,6,FALSE))),"")</f>
        <v/>
      </c>
      <c r="E2" s="9" t="str">
        <f>IFERROR((IF(VLOOKUP(A2,'ECN-ECO_DATA'!B:G,6,FALSE)=0/1/1900,"",VLOOKUP(A2,'ECN-ECO_DATA'!B:G,6,FALSE))),"")</f>
        <v/>
      </c>
      <c r="F2" s="9" t="str">
        <f>IFERROR((IF(VLOOKUP(A2,'ECN-ECO_DATA'!B:J,7,FALSE)=0/1/1900,"",VLOOKUP(A2,'ECN-ECO_DATA'!B:J,7,FALSE))),"")</f>
        <v/>
      </c>
      <c r="G2" s="9" t="str">
        <f>IFERROR((IF(VLOOKUP(A2,'ECN-ECO_DATA'!B:J,8,FALSE)=0/1/1900,"",VLOOKUP(A2,'ECN-ECO_DATA'!B:J,8,FALSE))),"")</f>
        <v/>
      </c>
      <c r="H2" s="9" t="str">
        <f>IFERROR((IF(VLOOKUP(A2,'ECN-ECO_DATA'!B:J,9,FALSE)=0/1/1900,"",VLOOKUP(A2,'ECN-ECO_DATA'!B:J,9,FALSE))),"")</f>
        <v/>
      </c>
      <c r="I2" s="10" t="str">
        <f>IFERROR((IF(VLOOKUP(A2,'ECN-ECO_DATA'!B:Q,13,FALSE)="","",VLOOKUP(A2,'ECN-ECO_DATA'!B:Q,13,FALSE))),"")</f>
        <v/>
      </c>
      <c r="J2" s="10" t="str">
        <f>IFERROR((IF(VLOOKUP(A2,'ECN-ECO_DATA'!B:Q,14,FALSE)="","",VLOOKUP(A2,'ECN-ECO_DATA'!B:Q,14,FALSE))),"")</f>
        <v/>
      </c>
      <c r="K2" s="10" t="str">
        <f>IFERROR((IF(VLOOKUP(A2,'ECN-ECO_DATA'!B:Q,15,FALSE)="","",VLOOKUP(A2,'ECN-ECO_DATA'!B:Q,15,FALSE))),"")</f>
        <v/>
      </c>
      <c r="L2" s="10" t="str">
        <f>IFERROR((IF(VLOOKUP(A2,'ECN-ECO_DATA'!B:Q,16,FALSE)="","",VLOOKUP(A2,'ECN-ECO_DATA'!B:Q,16,FALSE))),"")</f>
        <v/>
      </c>
      <c r="M2" s="9" t="str">
        <f>IFERROR((IF(VLOOKUP(A2,'ECN-ECO_DATA'!B:V,18,FALSE)=0/1/1900,"",VLOOKUP(A2,'ECN-ECO_DATA'!B:V,18,FALSE))),"")</f>
        <v/>
      </c>
      <c r="N2" s="9" t="str">
        <f>IFERROR((IF(VLOOKUP(A2,'ECN-ECO_DATA'!B:V,19,FALSE)=0/1/1900,"",VLOOKUP(A2,'ECN-ECO_DATA'!B:V,19,FALSE))),"")</f>
        <v/>
      </c>
      <c r="O2" s="9" t="str">
        <f>IFERROR((IF(VLOOKUP(A2,'ECN-ECO_DATA'!B:V,20,FALSE)=0/1/1900,"",VLOOKUP(A2,'ECN-ECO_DATA'!B:V,20,FALSE))),"")</f>
        <v/>
      </c>
      <c r="P2" s="9" t="str">
        <f>IFERROR((IF(VLOOKUP(A2,'ECN-ECO_DATA'!B:V,21,FALSE)=0/1/1900,"",VLOOKUP(A2,'ECN-ECO_DATA'!B:V,21,FALSE))),"")</f>
        <v/>
      </c>
      <c r="Q2" s="10" t="str">
        <f ca="1">IFERROR(D2-C2,"")</f>
        <v/>
      </c>
      <c r="R2" s="4" t="str">
        <f>IFERROR(H2-E2,"")</f>
        <v/>
      </c>
      <c r="S2" s="4" t="str">
        <f>IFERROR(N2-H2,"")</f>
        <v/>
      </c>
      <c r="T2" s="4" t="str">
        <f>IFERROR(O2-N2,"")</f>
        <v/>
      </c>
      <c r="U2" s="10" t="str">
        <f>IF(O2="","",IF(SUM(Q2:T2)=0,"",SUM(Q2:T2)))</f>
        <v/>
      </c>
    </row>
    <row r="3" spans="1:22" x14ac:dyDescent="0.25">
      <c r="B3" s="4" t="str">
        <f>IFERROR(VLOOKUP(A3,'ECN-ECO_DATA'!B:G,4,FALSE),"")</f>
        <v/>
      </c>
      <c r="C3" s="9" t="str">
        <f>IFERROR(VLOOKUP(A3,'ECN-ECO_DATA'!B:G,5,FALSE),"")</f>
        <v/>
      </c>
      <c r="D3" s="9" t="str">
        <f ca="1">IFERROR((IF(VLOOKUP(A3,'ECN-ECO_DATA'!B:G,6,FALSE)=0/1/1900,TODAY(),VLOOKUP(A3,'ECN-ECO_DATA'!B:G,6,FALSE))),"")</f>
        <v/>
      </c>
      <c r="E3" s="9" t="str">
        <f>IFERROR((IF(VLOOKUP(A3,'ECN-ECO_DATA'!B:G,6,FALSE)=0/1/1900,"",VLOOKUP(A3,'ECN-ECO_DATA'!B:G,6,FALSE))),"")</f>
        <v/>
      </c>
      <c r="F3" s="9" t="str">
        <f>IFERROR((IF(VLOOKUP(A3,'ECN-ECO_DATA'!B:J,7,FALSE)=0/1/1900,"",VLOOKUP(A3,'ECN-ECO_DATA'!B:J,7,FALSE))),"")</f>
        <v/>
      </c>
      <c r="G3" s="9" t="str">
        <f>IFERROR((IF(VLOOKUP(A3,'ECN-ECO_DATA'!B:J,8,FALSE)=0/1/1900,"",VLOOKUP(A3,'ECN-ECO_DATA'!B:J,8,FALSE))),"")</f>
        <v/>
      </c>
      <c r="H3" s="9" t="str">
        <f>IFERROR((IF(VLOOKUP(A3,'ECN-ECO_DATA'!B:J,9,FALSE)=0/1/1900,"",VLOOKUP(A3,'ECN-ECO_DATA'!B:J,9,FALSE))),"")</f>
        <v/>
      </c>
      <c r="I3" s="10" t="str">
        <f>IFERROR((IF(VLOOKUP(A3,'ECN-ECO_DATA'!B:Q,13,FALSE)="","",VLOOKUP(A3,'ECN-ECO_DATA'!B:Q,13,FALSE))),"")</f>
        <v/>
      </c>
      <c r="J3" s="10" t="str">
        <f>IFERROR((IF(VLOOKUP(A3,'ECN-ECO_DATA'!B:Q,14,FALSE)="","",VLOOKUP(A3,'ECN-ECO_DATA'!B:Q,14,FALSE))),"")</f>
        <v/>
      </c>
      <c r="K3" s="10" t="str">
        <f>IFERROR((IF(VLOOKUP(A3,'ECN-ECO_DATA'!B:Q,15,FALSE)="","",VLOOKUP(A3,'ECN-ECO_DATA'!B:Q,15,FALSE))),"")</f>
        <v/>
      </c>
      <c r="L3" s="10" t="str">
        <f>IFERROR((IF(VLOOKUP(A3,'ECN-ECO_DATA'!B:Q,16,FALSE)="","",VLOOKUP(A3,'ECN-ECO_DATA'!B:Q,16,FALSE))),"")</f>
        <v/>
      </c>
      <c r="M3" s="9" t="str">
        <f>IFERROR((IF(VLOOKUP(A3,'ECN-ECO_DATA'!B:V,18,FALSE)=0/1/1900,"",VLOOKUP(A3,'ECN-ECO_DATA'!B:V,18,FALSE))),"")</f>
        <v/>
      </c>
      <c r="N3" s="9" t="str">
        <f>IFERROR((IF(VLOOKUP(A3,'ECN-ECO_DATA'!B:V,19,FALSE)=0/1/1900,"",VLOOKUP(A3,'ECN-ECO_DATA'!B:V,19,FALSE))),"")</f>
        <v/>
      </c>
      <c r="O3" s="9" t="str">
        <f>IFERROR((IF(VLOOKUP(A3,'ECN-ECO_DATA'!B:V,20,FALSE)=0/1/1900,"",VLOOKUP(A3,'ECN-ECO_DATA'!B:V,20,FALSE))),"")</f>
        <v/>
      </c>
      <c r="P3" s="9" t="str">
        <f>IFERROR((IF(VLOOKUP(A3,'ECN-ECO_DATA'!B:V,21,FALSE)=0/1/1900,"",VLOOKUP(A3,'ECN-ECO_DATA'!B:V,21,FALSE))),"")</f>
        <v/>
      </c>
      <c r="Q3" s="10" t="str">
        <f t="shared" ref="Q3:Q66" ca="1" si="0">IFERROR(D3-C3,"")</f>
        <v/>
      </c>
      <c r="R3" s="4" t="str">
        <f t="shared" ref="R3:R66" si="1">IFERROR(H3-E3,"")</f>
        <v/>
      </c>
      <c r="S3" s="4" t="str">
        <f t="shared" ref="S3:S66" si="2">IFERROR(N3-H3,"")</f>
        <v/>
      </c>
      <c r="T3" s="4" t="str">
        <f t="shared" ref="T3:T66" si="3">IFERROR(O3-N3,"")</f>
        <v/>
      </c>
      <c r="U3" s="10" t="str">
        <f t="shared" ref="U3:U66" si="4">IF(O3="","",IF(SUM(Q3:T3)=0,"",SUM(Q3:T3)))</f>
        <v/>
      </c>
      <c r="V3" s="4"/>
    </row>
    <row r="4" spans="1:22" x14ac:dyDescent="0.25">
      <c r="B4" s="4" t="str">
        <f>IFERROR(VLOOKUP(A4,'ECN-ECO_DATA'!B:G,4,FALSE),"")</f>
        <v/>
      </c>
      <c r="C4" s="9" t="str">
        <f>IFERROR(VLOOKUP(A4,'ECN-ECO_DATA'!B:G,5,FALSE),"")</f>
        <v/>
      </c>
      <c r="D4" s="9" t="str">
        <f ca="1">IFERROR((IF(VLOOKUP(A4,'ECN-ECO_DATA'!B:G,6,FALSE)=0/1/1900,TODAY(),VLOOKUP(A4,'ECN-ECO_DATA'!B:G,6,FALSE))),"")</f>
        <v/>
      </c>
      <c r="E4" s="9" t="str">
        <f>IFERROR((IF(VLOOKUP(A4,'ECN-ECO_DATA'!B:G,6,FALSE)=0/1/1900,"",VLOOKUP(A4,'ECN-ECO_DATA'!B:G,6,FALSE))),"")</f>
        <v/>
      </c>
      <c r="F4" s="9" t="str">
        <f>IFERROR((IF(VLOOKUP(A4,'ECN-ECO_DATA'!B:J,7,FALSE)=0/1/1900,"",VLOOKUP(A4,'ECN-ECO_DATA'!B:J,7,FALSE))),"")</f>
        <v/>
      </c>
      <c r="G4" s="9" t="str">
        <f>IFERROR((IF(VLOOKUP(A4,'ECN-ECO_DATA'!B:J,8,FALSE)=0/1/1900,"",VLOOKUP(A4,'ECN-ECO_DATA'!B:J,8,FALSE))),"")</f>
        <v/>
      </c>
      <c r="H4" s="9" t="str">
        <f>IFERROR((IF(VLOOKUP(A4,'ECN-ECO_DATA'!B:J,9,FALSE)=0/1/1900,"",VLOOKUP(A4,'ECN-ECO_DATA'!B:J,9,FALSE))),"")</f>
        <v/>
      </c>
      <c r="I4" s="10" t="str">
        <f>IFERROR((IF(VLOOKUP(A4,'ECN-ECO_DATA'!B:Q,13,FALSE)="","",VLOOKUP(A4,'ECN-ECO_DATA'!B:Q,13,FALSE))),"")</f>
        <v/>
      </c>
      <c r="J4" s="10" t="str">
        <f>IFERROR((IF(VLOOKUP(A4,'ECN-ECO_DATA'!B:Q,14,FALSE)="","",VLOOKUP(A4,'ECN-ECO_DATA'!B:Q,14,FALSE))),"")</f>
        <v/>
      </c>
      <c r="K4" s="10" t="str">
        <f>IFERROR((IF(VLOOKUP(A4,'ECN-ECO_DATA'!B:Q,15,FALSE)="","",VLOOKUP(A4,'ECN-ECO_DATA'!B:Q,15,FALSE))),"")</f>
        <v/>
      </c>
      <c r="L4" s="10" t="str">
        <f>IFERROR((IF(VLOOKUP(A4,'ECN-ECO_DATA'!B:Q,16,FALSE)="","",VLOOKUP(A4,'ECN-ECO_DATA'!B:Q,16,FALSE))),"")</f>
        <v/>
      </c>
      <c r="M4" s="9" t="str">
        <f>IFERROR((IF(VLOOKUP(A4,'ECN-ECO_DATA'!B:V,18,FALSE)=0/1/1900,"",VLOOKUP(A4,'ECN-ECO_DATA'!B:V,18,FALSE))),"")</f>
        <v/>
      </c>
      <c r="N4" s="9" t="str">
        <f>IFERROR((IF(VLOOKUP(A4,'ECN-ECO_DATA'!B:V,19,FALSE)=0/1/1900,"",VLOOKUP(A4,'ECN-ECO_DATA'!B:V,19,FALSE))),"")</f>
        <v/>
      </c>
      <c r="O4" s="9" t="str">
        <f>IFERROR((IF(VLOOKUP(A4,'ECN-ECO_DATA'!B:V,20,FALSE)=0/1/1900,"",VLOOKUP(A4,'ECN-ECO_DATA'!B:V,20,FALSE))),"")</f>
        <v/>
      </c>
      <c r="P4" s="9" t="str">
        <f>IFERROR((IF(VLOOKUP(A4,'ECN-ECO_DATA'!B:V,21,FALSE)=0/1/1900,"",VLOOKUP(A4,'ECN-ECO_DATA'!B:V,21,FALSE))),"")</f>
        <v/>
      </c>
      <c r="Q4" s="10" t="str">
        <f t="shared" ca="1" si="0"/>
        <v/>
      </c>
      <c r="R4" s="4" t="str">
        <f t="shared" si="1"/>
        <v/>
      </c>
      <c r="S4" s="4" t="str">
        <f t="shared" si="2"/>
        <v/>
      </c>
      <c r="T4" s="4" t="str">
        <f t="shared" si="3"/>
        <v/>
      </c>
      <c r="U4" s="10" t="str">
        <f t="shared" si="4"/>
        <v/>
      </c>
      <c r="V4" s="4"/>
    </row>
    <row r="5" spans="1:22" x14ac:dyDescent="0.25">
      <c r="B5" s="4" t="str">
        <f>IFERROR(VLOOKUP(A5,'ECN-ECO_DATA'!B:G,4,FALSE),"")</f>
        <v/>
      </c>
      <c r="C5" s="9" t="str">
        <f>IFERROR(VLOOKUP(A5,'ECN-ECO_DATA'!B:G,5,FALSE),"")</f>
        <v/>
      </c>
      <c r="D5" s="9" t="str">
        <f ca="1">IFERROR((IF(VLOOKUP(A5,'ECN-ECO_DATA'!B:G,6,FALSE)=0/1/1900,TODAY(),VLOOKUP(A5,'ECN-ECO_DATA'!B:G,6,FALSE))),"")</f>
        <v/>
      </c>
      <c r="E5" s="9" t="str">
        <f>IFERROR((IF(VLOOKUP(A5,'ECN-ECO_DATA'!B:G,6,FALSE)=0/1/1900,"",VLOOKUP(A5,'ECN-ECO_DATA'!B:G,6,FALSE))),"")</f>
        <v/>
      </c>
      <c r="F5" s="9" t="str">
        <f>IFERROR((IF(VLOOKUP(A5,'ECN-ECO_DATA'!B:J,7,FALSE)=0/1/1900,"",VLOOKUP(A5,'ECN-ECO_DATA'!B:J,7,FALSE))),"")</f>
        <v/>
      </c>
      <c r="G5" s="9" t="str">
        <f>IFERROR((IF(VLOOKUP(A5,'ECN-ECO_DATA'!B:J,8,FALSE)=0/1/1900,"",VLOOKUP(A5,'ECN-ECO_DATA'!B:J,8,FALSE))),"")</f>
        <v/>
      </c>
      <c r="H5" s="9" t="str">
        <f>IFERROR((IF(VLOOKUP(A5,'ECN-ECO_DATA'!B:J,9,FALSE)=0/1/1900,"",VLOOKUP(A5,'ECN-ECO_DATA'!B:J,9,FALSE))),"")</f>
        <v/>
      </c>
      <c r="I5" s="10" t="str">
        <f>IFERROR((IF(VLOOKUP(A5,'ECN-ECO_DATA'!B:Q,13,FALSE)="","",VLOOKUP(A5,'ECN-ECO_DATA'!B:Q,13,FALSE))),"")</f>
        <v/>
      </c>
      <c r="J5" s="10" t="str">
        <f>IFERROR((IF(VLOOKUP(A5,'ECN-ECO_DATA'!B:Q,14,FALSE)="","",VLOOKUP(A5,'ECN-ECO_DATA'!B:Q,14,FALSE))),"")</f>
        <v/>
      </c>
      <c r="K5" s="10" t="str">
        <f>IFERROR((IF(VLOOKUP(A5,'ECN-ECO_DATA'!B:Q,15,FALSE)="","",VLOOKUP(A5,'ECN-ECO_DATA'!B:Q,15,FALSE))),"")</f>
        <v/>
      </c>
      <c r="L5" s="10" t="str">
        <f>IFERROR((IF(VLOOKUP(A5,'ECN-ECO_DATA'!B:Q,16,FALSE)="","",VLOOKUP(A5,'ECN-ECO_DATA'!B:Q,16,FALSE))),"")</f>
        <v/>
      </c>
      <c r="M5" s="9" t="str">
        <f>IFERROR((IF(VLOOKUP(A5,'ECN-ECO_DATA'!B:V,18,FALSE)=0/1/1900,"",VLOOKUP(A5,'ECN-ECO_DATA'!B:V,18,FALSE))),"")</f>
        <v/>
      </c>
      <c r="N5" s="9" t="str">
        <f>IFERROR((IF(VLOOKUP(A5,'ECN-ECO_DATA'!B:V,19,FALSE)=0/1/1900,"",VLOOKUP(A5,'ECN-ECO_DATA'!B:V,19,FALSE))),"")</f>
        <v/>
      </c>
      <c r="O5" s="9" t="str">
        <f>IFERROR((IF(VLOOKUP(A5,'ECN-ECO_DATA'!B:V,20,FALSE)=0/1/1900,"",VLOOKUP(A5,'ECN-ECO_DATA'!B:V,20,FALSE))),"")</f>
        <v/>
      </c>
      <c r="P5" s="9" t="str">
        <f>IFERROR((IF(VLOOKUP(A5,'ECN-ECO_DATA'!B:V,21,FALSE)=0/1/1900,"",VLOOKUP(A5,'ECN-ECO_DATA'!B:V,21,FALSE))),"")</f>
        <v/>
      </c>
      <c r="Q5" s="10" t="str">
        <f t="shared" ca="1" si="0"/>
        <v/>
      </c>
      <c r="R5" s="4" t="str">
        <f t="shared" si="1"/>
        <v/>
      </c>
      <c r="S5" s="4" t="str">
        <f t="shared" si="2"/>
        <v/>
      </c>
      <c r="T5" s="4" t="str">
        <f t="shared" si="3"/>
        <v/>
      </c>
      <c r="U5" s="10" t="str">
        <f t="shared" si="4"/>
        <v/>
      </c>
      <c r="V5" s="4"/>
    </row>
    <row r="6" spans="1:22" x14ac:dyDescent="0.25">
      <c r="B6" s="4" t="str">
        <f>IFERROR(VLOOKUP(A6,'ECN-ECO_DATA'!B:G,4,FALSE),"")</f>
        <v/>
      </c>
      <c r="C6" s="9" t="str">
        <f>IFERROR(VLOOKUP(A6,'ECN-ECO_DATA'!B:G,5,FALSE),"")</f>
        <v/>
      </c>
      <c r="D6" s="9" t="str">
        <f ca="1">IFERROR((IF(VLOOKUP(A6,'ECN-ECO_DATA'!B:G,6,FALSE)=0/1/1900,TODAY(),VLOOKUP(A6,'ECN-ECO_DATA'!B:G,6,FALSE))),"")</f>
        <v/>
      </c>
      <c r="E6" s="9" t="str">
        <f>IFERROR((IF(VLOOKUP(A6,'ECN-ECO_DATA'!B:G,6,FALSE)=0/1/1900,"",VLOOKUP(A6,'ECN-ECO_DATA'!B:G,6,FALSE))),"")</f>
        <v/>
      </c>
      <c r="F6" s="9" t="str">
        <f>IFERROR((IF(VLOOKUP(A6,'ECN-ECO_DATA'!B:J,7,FALSE)=0/1/1900,"",VLOOKUP(A6,'ECN-ECO_DATA'!B:J,7,FALSE))),"")</f>
        <v/>
      </c>
      <c r="G6" s="9" t="str">
        <f>IFERROR((IF(VLOOKUP(A6,'ECN-ECO_DATA'!B:J,8,FALSE)=0/1/1900,"",VLOOKUP(A6,'ECN-ECO_DATA'!B:J,8,FALSE))),"")</f>
        <v/>
      </c>
      <c r="H6" s="9" t="str">
        <f>IFERROR((IF(VLOOKUP(A6,'ECN-ECO_DATA'!B:J,9,FALSE)=0/1/1900,"",VLOOKUP(A6,'ECN-ECO_DATA'!B:J,9,FALSE))),"")</f>
        <v/>
      </c>
      <c r="I6" s="10" t="str">
        <f>IFERROR((IF(VLOOKUP(A6,'ECN-ECO_DATA'!B:Q,13,FALSE)="","",VLOOKUP(A6,'ECN-ECO_DATA'!B:Q,13,FALSE))),"")</f>
        <v/>
      </c>
      <c r="J6" s="10" t="str">
        <f>IFERROR((IF(VLOOKUP(A6,'ECN-ECO_DATA'!B:Q,14,FALSE)="","",VLOOKUP(A6,'ECN-ECO_DATA'!B:Q,14,FALSE))),"")</f>
        <v/>
      </c>
      <c r="K6" s="10" t="str">
        <f>IFERROR((IF(VLOOKUP(A6,'ECN-ECO_DATA'!B:Q,15,FALSE)="","",VLOOKUP(A6,'ECN-ECO_DATA'!B:Q,15,FALSE))),"")</f>
        <v/>
      </c>
      <c r="L6" s="10" t="str">
        <f>IFERROR((IF(VLOOKUP(A6,'ECN-ECO_DATA'!B:Q,16,FALSE)="","",VLOOKUP(A6,'ECN-ECO_DATA'!B:Q,16,FALSE))),"")</f>
        <v/>
      </c>
      <c r="M6" s="9" t="str">
        <f>IFERROR((IF(VLOOKUP(A6,'ECN-ECO_DATA'!B:V,18,FALSE)=0/1/1900,"",VLOOKUP(A6,'ECN-ECO_DATA'!B:V,18,FALSE))),"")</f>
        <v/>
      </c>
      <c r="N6" s="9" t="str">
        <f>IFERROR((IF(VLOOKUP(A6,'ECN-ECO_DATA'!B:V,19,FALSE)=0/1/1900,"",VLOOKUP(A6,'ECN-ECO_DATA'!B:V,19,FALSE))),"")</f>
        <v/>
      </c>
      <c r="O6" s="9" t="str">
        <f>IFERROR((IF(VLOOKUP(A6,'ECN-ECO_DATA'!B:V,20,FALSE)=0/1/1900,"",VLOOKUP(A6,'ECN-ECO_DATA'!B:V,20,FALSE))),"")</f>
        <v/>
      </c>
      <c r="P6" s="9" t="str">
        <f>IFERROR((IF(VLOOKUP(A6,'ECN-ECO_DATA'!B:V,21,FALSE)=0/1/1900,"",VLOOKUP(A6,'ECN-ECO_DATA'!B:V,21,FALSE))),"")</f>
        <v/>
      </c>
      <c r="Q6" s="10" t="str">
        <f t="shared" ca="1" si="0"/>
        <v/>
      </c>
      <c r="R6" s="4" t="str">
        <f t="shared" si="1"/>
        <v/>
      </c>
      <c r="S6" s="4" t="str">
        <f t="shared" si="2"/>
        <v/>
      </c>
      <c r="T6" s="4" t="str">
        <f t="shared" si="3"/>
        <v/>
      </c>
      <c r="U6" s="10" t="str">
        <f t="shared" si="4"/>
        <v/>
      </c>
      <c r="V6" s="4"/>
    </row>
    <row r="7" spans="1:22" x14ac:dyDescent="0.25">
      <c r="B7" s="4" t="str">
        <f>IFERROR(VLOOKUP(A7,'ECN-ECO_DATA'!B:G,4,FALSE),"")</f>
        <v/>
      </c>
      <c r="C7" s="9" t="str">
        <f>IFERROR(VLOOKUP(A7,'ECN-ECO_DATA'!B:G,5,FALSE),"")</f>
        <v/>
      </c>
      <c r="D7" s="9" t="str">
        <f ca="1">IFERROR((IF(VLOOKUP(A7,'ECN-ECO_DATA'!B:G,6,FALSE)=0/1/1900,TODAY(),VLOOKUP(A7,'ECN-ECO_DATA'!B:G,6,FALSE))),"")</f>
        <v/>
      </c>
      <c r="E7" s="9" t="str">
        <f>IFERROR((IF(VLOOKUP(A7,'ECN-ECO_DATA'!B:G,6,FALSE)=0/1/1900,"",VLOOKUP(A7,'ECN-ECO_DATA'!B:G,6,FALSE))),"")</f>
        <v/>
      </c>
      <c r="F7" s="9" t="str">
        <f>IFERROR((IF(VLOOKUP(A7,'ECN-ECO_DATA'!B:J,7,FALSE)=0/1/1900,"",VLOOKUP(A7,'ECN-ECO_DATA'!B:J,7,FALSE))),"")</f>
        <v/>
      </c>
      <c r="G7" s="9" t="str">
        <f>IFERROR((IF(VLOOKUP(A7,'ECN-ECO_DATA'!B:J,8,FALSE)=0/1/1900,"",VLOOKUP(A7,'ECN-ECO_DATA'!B:J,8,FALSE))),"")</f>
        <v/>
      </c>
      <c r="H7" s="9" t="str">
        <f>IFERROR((IF(VLOOKUP(A7,'ECN-ECO_DATA'!B:J,9,FALSE)=0/1/1900,"",VLOOKUP(A7,'ECN-ECO_DATA'!B:J,9,FALSE))),"")</f>
        <v/>
      </c>
      <c r="I7" s="10" t="str">
        <f>IFERROR((IF(VLOOKUP(A7,'ECN-ECO_DATA'!B:Q,13,FALSE)="","",VLOOKUP(A7,'ECN-ECO_DATA'!B:Q,13,FALSE))),"")</f>
        <v/>
      </c>
      <c r="J7" s="10" t="str">
        <f>IFERROR((IF(VLOOKUP(A7,'ECN-ECO_DATA'!B:Q,14,FALSE)="","",VLOOKUP(A7,'ECN-ECO_DATA'!B:Q,14,FALSE))),"")</f>
        <v/>
      </c>
      <c r="K7" s="10" t="str">
        <f>IFERROR((IF(VLOOKUP(A7,'ECN-ECO_DATA'!B:Q,15,FALSE)="","",VLOOKUP(A7,'ECN-ECO_DATA'!B:Q,15,FALSE))),"")</f>
        <v/>
      </c>
      <c r="L7" s="10" t="str">
        <f>IFERROR((IF(VLOOKUP(A7,'ECN-ECO_DATA'!B:Q,16,FALSE)="","",VLOOKUP(A7,'ECN-ECO_DATA'!B:Q,16,FALSE))),"")</f>
        <v/>
      </c>
      <c r="M7" s="9" t="str">
        <f>IFERROR((IF(VLOOKUP(A7,'ECN-ECO_DATA'!B:V,18,FALSE)=0/1/1900,"",VLOOKUP(A7,'ECN-ECO_DATA'!B:V,18,FALSE))),"")</f>
        <v/>
      </c>
      <c r="N7" s="9" t="str">
        <f>IFERROR((IF(VLOOKUP(A7,'ECN-ECO_DATA'!B:V,19,FALSE)=0/1/1900,"",VLOOKUP(A7,'ECN-ECO_DATA'!B:V,19,FALSE))),"")</f>
        <v/>
      </c>
      <c r="O7" s="9" t="str">
        <f>IFERROR((IF(VLOOKUP(A7,'ECN-ECO_DATA'!B:V,20,FALSE)=0/1/1900,"",VLOOKUP(A7,'ECN-ECO_DATA'!B:V,20,FALSE))),"")</f>
        <v/>
      </c>
      <c r="P7" s="9" t="str">
        <f>IFERROR((IF(VLOOKUP(A7,'ECN-ECO_DATA'!B:V,21,FALSE)=0/1/1900,"",VLOOKUP(A7,'ECN-ECO_DATA'!B:V,21,FALSE))),"")</f>
        <v/>
      </c>
      <c r="Q7" s="10" t="str">
        <f t="shared" ca="1" si="0"/>
        <v/>
      </c>
      <c r="R7" s="4" t="str">
        <f t="shared" si="1"/>
        <v/>
      </c>
      <c r="S7" s="4" t="str">
        <f t="shared" si="2"/>
        <v/>
      </c>
      <c r="T7" s="4" t="str">
        <f t="shared" si="3"/>
        <v/>
      </c>
      <c r="U7" s="10" t="str">
        <f t="shared" si="4"/>
        <v/>
      </c>
      <c r="V7" s="4"/>
    </row>
    <row r="8" spans="1:22" x14ac:dyDescent="0.25">
      <c r="B8" s="4" t="str">
        <f>IFERROR(VLOOKUP(A8,'ECN-ECO_DATA'!B:G,4,FALSE),"")</f>
        <v/>
      </c>
      <c r="C8" s="9" t="str">
        <f>IFERROR(VLOOKUP(A8,'ECN-ECO_DATA'!B:G,5,FALSE),"")</f>
        <v/>
      </c>
      <c r="D8" s="9" t="str">
        <f ca="1">IFERROR((IF(VLOOKUP(A8,'ECN-ECO_DATA'!B:G,6,FALSE)=0/1/1900,TODAY(),VLOOKUP(A8,'ECN-ECO_DATA'!B:G,6,FALSE))),"")</f>
        <v/>
      </c>
      <c r="E8" s="9" t="str">
        <f>IFERROR((IF(VLOOKUP(A8,'ECN-ECO_DATA'!B:G,6,FALSE)=0/1/1900,"",VLOOKUP(A8,'ECN-ECO_DATA'!B:G,6,FALSE))),"")</f>
        <v/>
      </c>
      <c r="F8" s="9" t="str">
        <f>IFERROR((IF(VLOOKUP(A8,'ECN-ECO_DATA'!B:J,7,FALSE)=0/1/1900,"",VLOOKUP(A8,'ECN-ECO_DATA'!B:J,7,FALSE))),"")</f>
        <v/>
      </c>
      <c r="G8" s="9" t="str">
        <f>IFERROR((IF(VLOOKUP(A8,'ECN-ECO_DATA'!B:J,8,FALSE)=0/1/1900,"",VLOOKUP(A8,'ECN-ECO_DATA'!B:J,8,FALSE))),"")</f>
        <v/>
      </c>
      <c r="H8" s="9" t="str">
        <f>IFERROR((IF(VLOOKUP(A8,'ECN-ECO_DATA'!B:J,9,FALSE)=0/1/1900,"",VLOOKUP(A8,'ECN-ECO_DATA'!B:J,9,FALSE))),"")</f>
        <v/>
      </c>
      <c r="I8" s="10" t="str">
        <f>IFERROR((IF(VLOOKUP(A8,'ECN-ECO_DATA'!B:Q,13,FALSE)="","",VLOOKUP(A8,'ECN-ECO_DATA'!B:Q,13,FALSE))),"")</f>
        <v/>
      </c>
      <c r="J8" s="10" t="str">
        <f>IFERROR((IF(VLOOKUP(A8,'ECN-ECO_DATA'!B:Q,14,FALSE)="","",VLOOKUP(A8,'ECN-ECO_DATA'!B:Q,14,FALSE))),"")</f>
        <v/>
      </c>
      <c r="K8" s="10" t="str">
        <f>IFERROR((IF(VLOOKUP(A8,'ECN-ECO_DATA'!B:Q,15,FALSE)="","",VLOOKUP(A8,'ECN-ECO_DATA'!B:Q,15,FALSE))),"")</f>
        <v/>
      </c>
      <c r="L8" s="10" t="str">
        <f>IFERROR((IF(VLOOKUP(A8,'ECN-ECO_DATA'!B:Q,16,FALSE)="","",VLOOKUP(A8,'ECN-ECO_DATA'!B:Q,16,FALSE))),"")</f>
        <v/>
      </c>
      <c r="M8" s="9" t="str">
        <f>IFERROR((IF(VLOOKUP(A8,'ECN-ECO_DATA'!B:V,18,FALSE)=0/1/1900,"",VLOOKUP(A8,'ECN-ECO_DATA'!B:V,18,FALSE))),"")</f>
        <v/>
      </c>
      <c r="N8" s="9" t="str">
        <f>IFERROR((IF(VLOOKUP(A8,'ECN-ECO_DATA'!B:V,19,FALSE)=0/1/1900,"",VLOOKUP(A8,'ECN-ECO_DATA'!B:V,19,FALSE))),"")</f>
        <v/>
      </c>
      <c r="O8" s="9" t="str">
        <f>IFERROR((IF(VLOOKUP(A8,'ECN-ECO_DATA'!B:V,20,FALSE)=0/1/1900,"",VLOOKUP(A8,'ECN-ECO_DATA'!B:V,20,FALSE))),"")</f>
        <v/>
      </c>
      <c r="P8" s="9" t="str">
        <f>IFERROR((IF(VLOOKUP(A8,'ECN-ECO_DATA'!B:V,21,FALSE)=0/1/1900,"",VLOOKUP(A8,'ECN-ECO_DATA'!B:V,21,FALSE))),"")</f>
        <v/>
      </c>
      <c r="Q8" s="10" t="str">
        <f t="shared" ca="1" si="0"/>
        <v/>
      </c>
      <c r="R8" s="4" t="str">
        <f t="shared" si="1"/>
        <v/>
      </c>
      <c r="S8" s="4" t="str">
        <f t="shared" si="2"/>
        <v/>
      </c>
      <c r="T8" s="4" t="str">
        <f t="shared" si="3"/>
        <v/>
      </c>
      <c r="U8" s="10" t="str">
        <f t="shared" si="4"/>
        <v/>
      </c>
      <c r="V8" s="4"/>
    </row>
    <row r="9" spans="1:22" x14ac:dyDescent="0.25">
      <c r="B9" s="4" t="str">
        <f>IFERROR(VLOOKUP(A9,'ECN-ECO_DATA'!B:G,4,FALSE),"")</f>
        <v/>
      </c>
      <c r="C9" s="9" t="str">
        <f>IFERROR(VLOOKUP(A9,'ECN-ECO_DATA'!B:G,5,FALSE),"")</f>
        <v/>
      </c>
      <c r="D9" s="9" t="str">
        <f ca="1">IFERROR((IF(VLOOKUP(A9,'ECN-ECO_DATA'!B:G,6,FALSE)=0/1/1900,TODAY(),VLOOKUP(A9,'ECN-ECO_DATA'!B:G,6,FALSE))),"")</f>
        <v/>
      </c>
      <c r="E9" s="9" t="str">
        <f>IFERROR((IF(VLOOKUP(A9,'ECN-ECO_DATA'!B:G,6,FALSE)=0/1/1900,"",VLOOKUP(A9,'ECN-ECO_DATA'!B:G,6,FALSE))),"")</f>
        <v/>
      </c>
      <c r="F9" s="9" t="str">
        <f>IFERROR((IF(VLOOKUP(A9,'ECN-ECO_DATA'!B:J,7,FALSE)=0/1/1900,"",VLOOKUP(A9,'ECN-ECO_DATA'!B:J,7,FALSE))),"")</f>
        <v/>
      </c>
      <c r="G9" s="9" t="str">
        <f>IFERROR((IF(VLOOKUP(A9,'ECN-ECO_DATA'!B:J,8,FALSE)=0/1/1900,"",VLOOKUP(A9,'ECN-ECO_DATA'!B:J,8,FALSE))),"")</f>
        <v/>
      </c>
      <c r="H9" s="9" t="str">
        <f>IFERROR((IF(VLOOKUP(A9,'ECN-ECO_DATA'!B:J,9,FALSE)=0/1/1900,"",VLOOKUP(A9,'ECN-ECO_DATA'!B:J,9,FALSE))),"")</f>
        <v/>
      </c>
      <c r="I9" s="10" t="str">
        <f>IFERROR((IF(VLOOKUP(A9,'ECN-ECO_DATA'!B:Q,13,FALSE)="","",VLOOKUP(A9,'ECN-ECO_DATA'!B:Q,13,FALSE))),"")</f>
        <v/>
      </c>
      <c r="J9" s="10" t="str">
        <f>IFERROR((IF(VLOOKUP(A9,'ECN-ECO_DATA'!B:Q,14,FALSE)="","",VLOOKUP(A9,'ECN-ECO_DATA'!B:Q,14,FALSE))),"")</f>
        <v/>
      </c>
      <c r="K9" s="10" t="str">
        <f>IFERROR((IF(VLOOKUP(A9,'ECN-ECO_DATA'!B:Q,15,FALSE)="","",VLOOKUP(A9,'ECN-ECO_DATA'!B:Q,15,FALSE))),"")</f>
        <v/>
      </c>
      <c r="L9" s="10" t="str">
        <f>IFERROR((IF(VLOOKUP(A9,'ECN-ECO_DATA'!B:Q,16,FALSE)="","",VLOOKUP(A9,'ECN-ECO_DATA'!B:Q,16,FALSE))),"")</f>
        <v/>
      </c>
      <c r="M9" s="9" t="str">
        <f>IFERROR((IF(VLOOKUP(A9,'ECN-ECO_DATA'!B:V,18,FALSE)=0/1/1900,"",VLOOKUP(A9,'ECN-ECO_DATA'!B:V,18,FALSE))),"")</f>
        <v/>
      </c>
      <c r="N9" s="9" t="str">
        <f>IFERROR((IF(VLOOKUP(A9,'ECN-ECO_DATA'!B:V,19,FALSE)=0/1/1900,"",VLOOKUP(A9,'ECN-ECO_DATA'!B:V,19,FALSE))),"")</f>
        <v/>
      </c>
      <c r="O9" s="9" t="str">
        <f>IFERROR((IF(VLOOKUP(A9,'ECN-ECO_DATA'!B:V,20,FALSE)=0/1/1900,"",VLOOKUP(A9,'ECN-ECO_DATA'!B:V,20,FALSE))),"")</f>
        <v/>
      </c>
      <c r="P9" s="9" t="str">
        <f>IFERROR((IF(VLOOKUP(A9,'ECN-ECO_DATA'!B:V,21,FALSE)=0/1/1900,"",VLOOKUP(A9,'ECN-ECO_DATA'!B:V,21,FALSE))),"")</f>
        <v/>
      </c>
      <c r="Q9" s="10" t="str">
        <f t="shared" ca="1" si="0"/>
        <v/>
      </c>
      <c r="R9" s="4" t="str">
        <f t="shared" si="1"/>
        <v/>
      </c>
      <c r="S9" s="4" t="str">
        <f t="shared" si="2"/>
        <v/>
      </c>
      <c r="T9" s="4" t="str">
        <f t="shared" si="3"/>
        <v/>
      </c>
      <c r="U9" s="10" t="str">
        <f t="shared" si="4"/>
        <v/>
      </c>
      <c r="V9" s="4"/>
    </row>
    <row r="10" spans="1:22" x14ac:dyDescent="0.25">
      <c r="B10" s="4" t="str">
        <f>IFERROR(VLOOKUP(A10,'ECN-ECO_DATA'!B:G,4,FALSE),"")</f>
        <v/>
      </c>
      <c r="C10" s="9" t="str">
        <f>IFERROR(VLOOKUP(A10,'ECN-ECO_DATA'!B:G,5,FALSE),"")</f>
        <v/>
      </c>
      <c r="D10" s="9" t="str">
        <f ca="1">IFERROR((IF(VLOOKUP(A10,'ECN-ECO_DATA'!B:G,6,FALSE)=0/1/1900,TODAY(),VLOOKUP(A10,'ECN-ECO_DATA'!B:G,6,FALSE))),"")</f>
        <v/>
      </c>
      <c r="E10" s="9" t="str">
        <f>IFERROR((IF(VLOOKUP(A10,'ECN-ECO_DATA'!B:G,6,FALSE)=0/1/1900,"",VLOOKUP(A10,'ECN-ECO_DATA'!B:G,6,FALSE))),"")</f>
        <v/>
      </c>
      <c r="F10" s="9" t="str">
        <f>IFERROR((IF(VLOOKUP(A10,'ECN-ECO_DATA'!B:J,7,FALSE)=0/1/1900,"",VLOOKUP(A10,'ECN-ECO_DATA'!B:J,7,FALSE))),"")</f>
        <v/>
      </c>
      <c r="G10" s="9" t="str">
        <f>IFERROR((IF(VLOOKUP(A10,'ECN-ECO_DATA'!B:J,8,FALSE)=0/1/1900,"",VLOOKUP(A10,'ECN-ECO_DATA'!B:J,8,FALSE))),"")</f>
        <v/>
      </c>
      <c r="H10" s="9" t="str">
        <f>IFERROR((IF(VLOOKUP(A10,'ECN-ECO_DATA'!B:J,9,FALSE)=0/1/1900,"",VLOOKUP(A10,'ECN-ECO_DATA'!B:J,9,FALSE))),"")</f>
        <v/>
      </c>
      <c r="I10" s="10" t="str">
        <f>IFERROR((IF(VLOOKUP(A10,'ECN-ECO_DATA'!B:Q,13,FALSE)="","",VLOOKUP(A10,'ECN-ECO_DATA'!B:Q,13,FALSE))),"")</f>
        <v/>
      </c>
      <c r="J10" s="10" t="str">
        <f>IFERROR((IF(VLOOKUP(A10,'ECN-ECO_DATA'!B:Q,14,FALSE)="","",VLOOKUP(A10,'ECN-ECO_DATA'!B:Q,14,FALSE))),"")</f>
        <v/>
      </c>
      <c r="K10" s="10" t="str">
        <f>IFERROR((IF(VLOOKUP(A10,'ECN-ECO_DATA'!B:Q,15,FALSE)="","",VLOOKUP(A10,'ECN-ECO_DATA'!B:Q,15,FALSE))),"")</f>
        <v/>
      </c>
      <c r="L10" s="10" t="str">
        <f>IFERROR((IF(VLOOKUP(A10,'ECN-ECO_DATA'!B:Q,16,FALSE)="","",VLOOKUP(A10,'ECN-ECO_DATA'!B:Q,16,FALSE))),"")</f>
        <v/>
      </c>
      <c r="M10" s="9" t="str">
        <f>IFERROR((IF(VLOOKUP(A10,'ECN-ECO_DATA'!B:V,18,FALSE)=0/1/1900,"",VLOOKUP(A10,'ECN-ECO_DATA'!B:V,18,FALSE))),"")</f>
        <v/>
      </c>
      <c r="N10" s="9" t="str">
        <f>IFERROR((IF(VLOOKUP(A10,'ECN-ECO_DATA'!B:V,19,FALSE)=0/1/1900,"",VLOOKUP(A10,'ECN-ECO_DATA'!B:V,19,FALSE))),"")</f>
        <v/>
      </c>
      <c r="O10" s="9" t="str">
        <f>IFERROR((IF(VLOOKUP(A10,'ECN-ECO_DATA'!B:V,20,FALSE)=0/1/1900,"",VLOOKUP(A10,'ECN-ECO_DATA'!B:V,20,FALSE))),"")</f>
        <v/>
      </c>
      <c r="P10" s="9" t="str">
        <f>IFERROR((IF(VLOOKUP(A10,'ECN-ECO_DATA'!B:V,21,FALSE)=0/1/1900,"",VLOOKUP(A10,'ECN-ECO_DATA'!B:V,21,FALSE))),"")</f>
        <v/>
      </c>
      <c r="Q10" s="10" t="str">
        <f t="shared" ca="1" si="0"/>
        <v/>
      </c>
      <c r="R10" s="4" t="str">
        <f t="shared" si="1"/>
        <v/>
      </c>
      <c r="S10" s="4" t="str">
        <f t="shared" si="2"/>
        <v/>
      </c>
      <c r="T10" s="4" t="str">
        <f t="shared" si="3"/>
        <v/>
      </c>
      <c r="U10" s="10" t="str">
        <f t="shared" si="4"/>
        <v/>
      </c>
      <c r="V10" s="4"/>
    </row>
    <row r="11" spans="1:22" x14ac:dyDescent="0.25">
      <c r="B11" s="4" t="str">
        <f>IFERROR(VLOOKUP(A11,'ECN-ECO_DATA'!B:G,4,FALSE),"")</f>
        <v/>
      </c>
      <c r="C11" s="9" t="str">
        <f>IFERROR(VLOOKUP(A11,'ECN-ECO_DATA'!B:G,5,FALSE),"")</f>
        <v/>
      </c>
      <c r="D11" s="9" t="str">
        <f ca="1">IFERROR((IF(VLOOKUP(A11,'ECN-ECO_DATA'!B:G,6,FALSE)=0/1/1900,TODAY(),VLOOKUP(A11,'ECN-ECO_DATA'!B:G,6,FALSE))),"")</f>
        <v/>
      </c>
      <c r="E11" s="9" t="str">
        <f>IFERROR((IF(VLOOKUP(A11,'ECN-ECO_DATA'!B:G,6,FALSE)=0/1/1900,"",VLOOKUP(A11,'ECN-ECO_DATA'!B:G,6,FALSE))),"")</f>
        <v/>
      </c>
      <c r="F11" s="9" t="str">
        <f>IFERROR((IF(VLOOKUP(A11,'ECN-ECO_DATA'!B:J,7,FALSE)=0/1/1900,"",VLOOKUP(A11,'ECN-ECO_DATA'!B:J,7,FALSE))),"")</f>
        <v/>
      </c>
      <c r="G11" s="9" t="str">
        <f>IFERROR((IF(VLOOKUP(A11,'ECN-ECO_DATA'!B:J,8,FALSE)=0/1/1900,"",VLOOKUP(A11,'ECN-ECO_DATA'!B:J,8,FALSE))),"")</f>
        <v/>
      </c>
      <c r="H11" s="9" t="str">
        <f>IFERROR((IF(VLOOKUP(A11,'ECN-ECO_DATA'!B:J,9,FALSE)=0/1/1900,"",VLOOKUP(A11,'ECN-ECO_DATA'!B:J,9,FALSE))),"")</f>
        <v/>
      </c>
      <c r="I11" s="10" t="str">
        <f>IFERROR((IF(VLOOKUP(A11,'ECN-ECO_DATA'!B:Q,13,FALSE)="","",VLOOKUP(A11,'ECN-ECO_DATA'!B:Q,13,FALSE))),"")</f>
        <v/>
      </c>
      <c r="J11" s="10" t="str">
        <f>IFERROR((IF(VLOOKUP(A11,'ECN-ECO_DATA'!B:Q,14,FALSE)="","",VLOOKUP(A11,'ECN-ECO_DATA'!B:Q,14,FALSE))),"")</f>
        <v/>
      </c>
      <c r="K11" s="10" t="str">
        <f>IFERROR((IF(VLOOKUP(A11,'ECN-ECO_DATA'!B:Q,15,FALSE)="","",VLOOKUP(A11,'ECN-ECO_DATA'!B:Q,15,FALSE))),"")</f>
        <v/>
      </c>
      <c r="L11" s="10" t="str">
        <f>IFERROR((IF(VLOOKUP(A11,'ECN-ECO_DATA'!B:Q,16,FALSE)="","",VLOOKUP(A11,'ECN-ECO_DATA'!B:Q,16,FALSE))),"")</f>
        <v/>
      </c>
      <c r="M11" s="9" t="str">
        <f>IFERROR((IF(VLOOKUP(A11,'ECN-ECO_DATA'!B:V,18,FALSE)=0/1/1900,"",VLOOKUP(A11,'ECN-ECO_DATA'!B:V,18,FALSE))),"")</f>
        <v/>
      </c>
      <c r="N11" s="9" t="str">
        <f>IFERROR((IF(VLOOKUP(A11,'ECN-ECO_DATA'!B:V,19,FALSE)=0/1/1900,"",VLOOKUP(A11,'ECN-ECO_DATA'!B:V,19,FALSE))),"")</f>
        <v/>
      </c>
      <c r="O11" s="9" t="str">
        <f>IFERROR((IF(VLOOKUP(A11,'ECN-ECO_DATA'!B:V,20,FALSE)=0/1/1900,"",VLOOKUP(A11,'ECN-ECO_DATA'!B:V,20,FALSE))),"")</f>
        <v/>
      </c>
      <c r="P11" s="9" t="str">
        <f>IFERROR((IF(VLOOKUP(A11,'ECN-ECO_DATA'!B:V,21,FALSE)=0/1/1900,"",VLOOKUP(A11,'ECN-ECO_DATA'!B:V,21,FALSE))),"")</f>
        <v/>
      </c>
      <c r="Q11" s="10" t="str">
        <f t="shared" ca="1" si="0"/>
        <v/>
      </c>
      <c r="R11" s="4" t="str">
        <f t="shared" si="1"/>
        <v/>
      </c>
      <c r="S11" s="4" t="str">
        <f t="shared" si="2"/>
        <v/>
      </c>
      <c r="T11" s="4" t="str">
        <f t="shared" si="3"/>
        <v/>
      </c>
      <c r="U11" s="10" t="str">
        <f t="shared" si="4"/>
        <v/>
      </c>
      <c r="V11" s="4"/>
    </row>
    <row r="12" spans="1:22" x14ac:dyDescent="0.25">
      <c r="B12" s="4" t="str">
        <f>IFERROR(VLOOKUP(A12,'ECN-ECO_DATA'!B:G,4,FALSE),"")</f>
        <v/>
      </c>
      <c r="C12" s="9" t="str">
        <f>IFERROR(VLOOKUP(A12,'ECN-ECO_DATA'!B:G,5,FALSE),"")</f>
        <v/>
      </c>
      <c r="D12" s="9" t="str">
        <f ca="1">IFERROR((IF(VLOOKUP(A12,'ECN-ECO_DATA'!B:G,6,FALSE)=0/1/1900,TODAY(),VLOOKUP(A12,'ECN-ECO_DATA'!B:G,6,FALSE))),"")</f>
        <v/>
      </c>
      <c r="E12" s="9" t="str">
        <f>IFERROR((IF(VLOOKUP(A12,'ECN-ECO_DATA'!B:G,6,FALSE)=0/1/1900,"",VLOOKUP(A12,'ECN-ECO_DATA'!B:G,6,FALSE))),"")</f>
        <v/>
      </c>
      <c r="F12" s="9" t="str">
        <f>IFERROR((IF(VLOOKUP(A12,'ECN-ECO_DATA'!B:J,7,FALSE)=0/1/1900,"",VLOOKUP(A12,'ECN-ECO_DATA'!B:J,7,FALSE))),"")</f>
        <v/>
      </c>
      <c r="G12" s="9" t="str">
        <f>IFERROR((IF(VLOOKUP(A12,'ECN-ECO_DATA'!B:J,8,FALSE)=0/1/1900,"",VLOOKUP(A12,'ECN-ECO_DATA'!B:J,8,FALSE))),"")</f>
        <v/>
      </c>
      <c r="H12" s="9" t="str">
        <f>IFERROR((IF(VLOOKUP(A12,'ECN-ECO_DATA'!B:J,9,FALSE)=0/1/1900,"",VLOOKUP(A12,'ECN-ECO_DATA'!B:J,9,FALSE))),"")</f>
        <v/>
      </c>
      <c r="I12" s="10" t="str">
        <f>IFERROR((IF(VLOOKUP(A12,'ECN-ECO_DATA'!B:Q,13,FALSE)="","",VLOOKUP(A12,'ECN-ECO_DATA'!B:Q,13,FALSE))),"")</f>
        <v/>
      </c>
      <c r="J12" s="10" t="str">
        <f>IFERROR((IF(VLOOKUP(A12,'ECN-ECO_DATA'!B:Q,14,FALSE)="","",VLOOKUP(A12,'ECN-ECO_DATA'!B:Q,14,FALSE))),"")</f>
        <v/>
      </c>
      <c r="K12" s="10" t="str">
        <f>IFERROR((IF(VLOOKUP(A12,'ECN-ECO_DATA'!B:Q,15,FALSE)="","",VLOOKUP(A12,'ECN-ECO_DATA'!B:Q,15,FALSE))),"")</f>
        <v/>
      </c>
      <c r="L12" s="10" t="str">
        <f>IFERROR((IF(VLOOKUP(A12,'ECN-ECO_DATA'!B:Q,16,FALSE)="","",VLOOKUP(A12,'ECN-ECO_DATA'!B:Q,16,FALSE))),"")</f>
        <v/>
      </c>
      <c r="M12" s="9" t="str">
        <f>IFERROR((IF(VLOOKUP(A12,'ECN-ECO_DATA'!B:V,18,FALSE)=0/1/1900,"",VLOOKUP(A12,'ECN-ECO_DATA'!B:V,18,FALSE))),"")</f>
        <v/>
      </c>
      <c r="N12" s="9" t="str">
        <f>IFERROR((IF(VLOOKUP(A12,'ECN-ECO_DATA'!B:V,19,FALSE)=0/1/1900,"",VLOOKUP(A12,'ECN-ECO_DATA'!B:V,19,FALSE))),"")</f>
        <v/>
      </c>
      <c r="O12" s="9" t="str">
        <f>IFERROR((IF(VLOOKUP(A12,'ECN-ECO_DATA'!B:V,20,FALSE)=0/1/1900,"",VLOOKUP(A12,'ECN-ECO_DATA'!B:V,20,FALSE))),"")</f>
        <v/>
      </c>
      <c r="P12" s="9" t="str">
        <f>IFERROR((IF(VLOOKUP(A12,'ECN-ECO_DATA'!B:V,21,FALSE)=0/1/1900,"",VLOOKUP(A12,'ECN-ECO_DATA'!B:V,21,FALSE))),"")</f>
        <v/>
      </c>
      <c r="Q12" s="10" t="str">
        <f t="shared" ca="1" si="0"/>
        <v/>
      </c>
      <c r="R12" s="4" t="str">
        <f t="shared" si="1"/>
        <v/>
      </c>
      <c r="S12" s="4" t="str">
        <f t="shared" si="2"/>
        <v/>
      </c>
      <c r="T12" s="4" t="str">
        <f t="shared" si="3"/>
        <v/>
      </c>
      <c r="U12" s="10" t="str">
        <f t="shared" si="4"/>
        <v/>
      </c>
      <c r="V12" s="4"/>
    </row>
    <row r="13" spans="1:22" x14ac:dyDescent="0.25">
      <c r="B13" s="4" t="str">
        <f>IFERROR(VLOOKUP(A13,'ECN-ECO_DATA'!B:G,4,FALSE),"")</f>
        <v/>
      </c>
      <c r="C13" s="9" t="str">
        <f>IFERROR(VLOOKUP(A13,'ECN-ECO_DATA'!B:G,5,FALSE),"")</f>
        <v/>
      </c>
      <c r="D13" s="9" t="str">
        <f ca="1">IFERROR((IF(VLOOKUP(A13,'ECN-ECO_DATA'!B:G,6,FALSE)=0/1/1900,TODAY(),VLOOKUP(A13,'ECN-ECO_DATA'!B:G,6,FALSE))),"")</f>
        <v/>
      </c>
      <c r="E13" s="9" t="str">
        <f>IFERROR((IF(VLOOKUP(A13,'ECN-ECO_DATA'!B:G,6,FALSE)=0/1/1900,"",VLOOKUP(A13,'ECN-ECO_DATA'!B:G,6,FALSE))),"")</f>
        <v/>
      </c>
      <c r="F13" s="9" t="str">
        <f>IFERROR((IF(VLOOKUP(A13,'ECN-ECO_DATA'!B:J,7,FALSE)=0/1/1900,"",VLOOKUP(A13,'ECN-ECO_DATA'!B:J,7,FALSE))),"")</f>
        <v/>
      </c>
      <c r="G13" s="9" t="str">
        <f>IFERROR((IF(VLOOKUP(A13,'ECN-ECO_DATA'!B:J,8,FALSE)=0/1/1900,"",VLOOKUP(A13,'ECN-ECO_DATA'!B:J,8,FALSE))),"")</f>
        <v/>
      </c>
      <c r="H13" s="9" t="str">
        <f>IFERROR((IF(VLOOKUP(A13,'ECN-ECO_DATA'!B:J,9,FALSE)=0/1/1900,"",VLOOKUP(A13,'ECN-ECO_DATA'!B:J,9,FALSE))),"")</f>
        <v/>
      </c>
      <c r="I13" s="10" t="str">
        <f>IFERROR((IF(VLOOKUP(A13,'ECN-ECO_DATA'!B:Q,13,FALSE)="","",VLOOKUP(A13,'ECN-ECO_DATA'!B:Q,13,FALSE))),"")</f>
        <v/>
      </c>
      <c r="J13" s="10" t="str">
        <f>IFERROR((IF(VLOOKUP(A13,'ECN-ECO_DATA'!B:Q,14,FALSE)="","",VLOOKUP(A13,'ECN-ECO_DATA'!B:Q,14,FALSE))),"")</f>
        <v/>
      </c>
      <c r="K13" s="10" t="str">
        <f>IFERROR((IF(VLOOKUP(A13,'ECN-ECO_DATA'!B:Q,15,FALSE)="","",VLOOKUP(A13,'ECN-ECO_DATA'!B:Q,15,FALSE))),"")</f>
        <v/>
      </c>
      <c r="L13" s="10" t="str">
        <f>IFERROR((IF(VLOOKUP(A13,'ECN-ECO_DATA'!B:Q,16,FALSE)="","",VLOOKUP(A13,'ECN-ECO_DATA'!B:Q,16,FALSE))),"")</f>
        <v/>
      </c>
      <c r="M13" s="9" t="str">
        <f>IFERROR((IF(VLOOKUP(A13,'ECN-ECO_DATA'!B:V,18,FALSE)=0/1/1900,"",VLOOKUP(A13,'ECN-ECO_DATA'!B:V,18,FALSE))),"")</f>
        <v/>
      </c>
      <c r="N13" s="9" t="str">
        <f>IFERROR((IF(VLOOKUP(A13,'ECN-ECO_DATA'!B:V,19,FALSE)=0/1/1900,"",VLOOKUP(A13,'ECN-ECO_DATA'!B:V,19,FALSE))),"")</f>
        <v/>
      </c>
      <c r="O13" s="9" t="str">
        <f>IFERROR((IF(VLOOKUP(A13,'ECN-ECO_DATA'!B:V,20,FALSE)=0/1/1900,"",VLOOKUP(A13,'ECN-ECO_DATA'!B:V,20,FALSE))),"")</f>
        <v/>
      </c>
      <c r="P13" s="9" t="str">
        <f>IFERROR((IF(VLOOKUP(A13,'ECN-ECO_DATA'!B:V,21,FALSE)=0/1/1900,"",VLOOKUP(A13,'ECN-ECO_DATA'!B:V,21,FALSE))),"")</f>
        <v/>
      </c>
      <c r="Q13" s="10" t="str">
        <f t="shared" ca="1" si="0"/>
        <v/>
      </c>
      <c r="R13" s="4" t="str">
        <f t="shared" si="1"/>
        <v/>
      </c>
      <c r="S13" s="4" t="str">
        <f t="shared" si="2"/>
        <v/>
      </c>
      <c r="T13" s="4" t="str">
        <f t="shared" si="3"/>
        <v/>
      </c>
      <c r="U13" s="10" t="str">
        <f t="shared" si="4"/>
        <v/>
      </c>
      <c r="V13" s="4"/>
    </row>
    <row r="14" spans="1:22" x14ac:dyDescent="0.25">
      <c r="B14" s="4" t="str">
        <f>IFERROR(VLOOKUP(A14,'ECN-ECO_DATA'!B:G,4,FALSE),"")</f>
        <v/>
      </c>
      <c r="C14" s="9" t="str">
        <f>IFERROR(VLOOKUP(A14,'ECN-ECO_DATA'!B:G,5,FALSE),"")</f>
        <v/>
      </c>
      <c r="D14" s="9" t="str">
        <f ca="1">IFERROR((IF(VLOOKUP(A14,'ECN-ECO_DATA'!B:G,6,FALSE)=0/1/1900,TODAY(),VLOOKUP(A14,'ECN-ECO_DATA'!B:G,6,FALSE))),"")</f>
        <v/>
      </c>
      <c r="E14" s="9" t="str">
        <f>IFERROR((IF(VLOOKUP(A14,'ECN-ECO_DATA'!B:G,6,FALSE)=0/1/1900,"",VLOOKUP(A14,'ECN-ECO_DATA'!B:G,6,FALSE))),"")</f>
        <v/>
      </c>
      <c r="F14" s="9" t="str">
        <f>IFERROR((IF(VLOOKUP(A14,'ECN-ECO_DATA'!B:J,7,FALSE)=0/1/1900,"",VLOOKUP(A14,'ECN-ECO_DATA'!B:J,7,FALSE))),"")</f>
        <v/>
      </c>
      <c r="G14" s="9" t="str">
        <f>IFERROR((IF(VLOOKUP(A14,'ECN-ECO_DATA'!B:J,8,FALSE)=0/1/1900,"",VLOOKUP(A14,'ECN-ECO_DATA'!B:J,8,FALSE))),"")</f>
        <v/>
      </c>
      <c r="H14" s="9" t="str">
        <f>IFERROR((IF(VLOOKUP(A14,'ECN-ECO_DATA'!B:J,9,FALSE)=0/1/1900,"",VLOOKUP(A14,'ECN-ECO_DATA'!B:J,9,FALSE))),"")</f>
        <v/>
      </c>
      <c r="I14" s="10" t="str">
        <f>IFERROR((IF(VLOOKUP(A14,'ECN-ECO_DATA'!B:Q,13,FALSE)="","",VLOOKUP(A14,'ECN-ECO_DATA'!B:Q,13,FALSE))),"")</f>
        <v/>
      </c>
      <c r="J14" s="10" t="str">
        <f>IFERROR((IF(VLOOKUP(A14,'ECN-ECO_DATA'!B:Q,14,FALSE)="","",VLOOKUP(A14,'ECN-ECO_DATA'!B:Q,14,FALSE))),"")</f>
        <v/>
      </c>
      <c r="K14" s="10" t="str">
        <f>IFERROR((IF(VLOOKUP(A14,'ECN-ECO_DATA'!B:Q,15,FALSE)="","",VLOOKUP(A14,'ECN-ECO_DATA'!B:Q,15,FALSE))),"")</f>
        <v/>
      </c>
      <c r="L14" s="10" t="str">
        <f>IFERROR((IF(VLOOKUP(A14,'ECN-ECO_DATA'!B:Q,16,FALSE)="","",VLOOKUP(A14,'ECN-ECO_DATA'!B:Q,16,FALSE))),"")</f>
        <v/>
      </c>
      <c r="M14" s="9" t="str">
        <f>IFERROR((IF(VLOOKUP(A14,'ECN-ECO_DATA'!B:V,18,FALSE)=0/1/1900,"",VLOOKUP(A14,'ECN-ECO_DATA'!B:V,18,FALSE))),"")</f>
        <v/>
      </c>
      <c r="N14" s="9" t="str">
        <f>IFERROR((IF(VLOOKUP(A14,'ECN-ECO_DATA'!B:V,19,FALSE)=0/1/1900,"",VLOOKUP(A14,'ECN-ECO_DATA'!B:V,19,FALSE))),"")</f>
        <v/>
      </c>
      <c r="O14" s="9" t="str">
        <f>IFERROR((IF(VLOOKUP(A14,'ECN-ECO_DATA'!B:V,20,FALSE)=0/1/1900,"",VLOOKUP(A14,'ECN-ECO_DATA'!B:V,20,FALSE))),"")</f>
        <v/>
      </c>
      <c r="P14" s="9" t="str">
        <f>IFERROR((IF(VLOOKUP(A14,'ECN-ECO_DATA'!B:V,21,FALSE)=0/1/1900,"",VLOOKUP(A14,'ECN-ECO_DATA'!B:V,21,FALSE))),"")</f>
        <v/>
      </c>
      <c r="Q14" s="10" t="str">
        <f t="shared" ca="1" si="0"/>
        <v/>
      </c>
      <c r="R14" s="4" t="str">
        <f t="shared" si="1"/>
        <v/>
      </c>
      <c r="S14" s="4" t="str">
        <f t="shared" si="2"/>
        <v/>
      </c>
      <c r="T14" s="4" t="str">
        <f t="shared" si="3"/>
        <v/>
      </c>
      <c r="U14" s="10" t="str">
        <f t="shared" si="4"/>
        <v/>
      </c>
      <c r="V14" s="4"/>
    </row>
    <row r="15" spans="1:22" x14ac:dyDescent="0.25">
      <c r="B15" s="4" t="str">
        <f>IFERROR(VLOOKUP(A15,'ECN-ECO_DATA'!B:G,4,FALSE),"")</f>
        <v/>
      </c>
      <c r="C15" s="9" t="str">
        <f>IFERROR(VLOOKUP(A15,'ECN-ECO_DATA'!B:G,5,FALSE),"")</f>
        <v/>
      </c>
      <c r="D15" s="9" t="str">
        <f ca="1">IFERROR((IF(VLOOKUP(A15,'ECN-ECO_DATA'!B:G,6,FALSE)=0/1/1900,TODAY(),VLOOKUP(A15,'ECN-ECO_DATA'!B:G,6,FALSE))),"")</f>
        <v/>
      </c>
      <c r="E15" s="9" t="str">
        <f>IFERROR((IF(VLOOKUP(A15,'ECN-ECO_DATA'!B:G,6,FALSE)=0/1/1900,"",VLOOKUP(A15,'ECN-ECO_DATA'!B:G,6,FALSE))),"")</f>
        <v/>
      </c>
      <c r="F15" s="9" t="str">
        <f>IFERROR((IF(VLOOKUP(A15,'ECN-ECO_DATA'!B:J,7,FALSE)=0/1/1900,"",VLOOKUP(A15,'ECN-ECO_DATA'!B:J,7,FALSE))),"")</f>
        <v/>
      </c>
      <c r="G15" s="9" t="str">
        <f>IFERROR((IF(VLOOKUP(A15,'ECN-ECO_DATA'!B:J,8,FALSE)=0/1/1900,"",VLOOKUP(A15,'ECN-ECO_DATA'!B:J,8,FALSE))),"")</f>
        <v/>
      </c>
      <c r="H15" s="9" t="str">
        <f>IFERROR((IF(VLOOKUP(A15,'ECN-ECO_DATA'!B:J,9,FALSE)=0/1/1900,"",VLOOKUP(A15,'ECN-ECO_DATA'!B:J,9,FALSE))),"")</f>
        <v/>
      </c>
      <c r="I15" s="10" t="str">
        <f>IFERROR((IF(VLOOKUP(A15,'ECN-ECO_DATA'!B:Q,13,FALSE)="","",VLOOKUP(A15,'ECN-ECO_DATA'!B:Q,13,FALSE))),"")</f>
        <v/>
      </c>
      <c r="J15" s="10" t="str">
        <f>IFERROR((IF(VLOOKUP(A15,'ECN-ECO_DATA'!B:Q,14,FALSE)="","",VLOOKUP(A15,'ECN-ECO_DATA'!B:Q,14,FALSE))),"")</f>
        <v/>
      </c>
      <c r="K15" s="10" t="str">
        <f>IFERROR((IF(VLOOKUP(A15,'ECN-ECO_DATA'!B:Q,15,FALSE)="","",VLOOKUP(A15,'ECN-ECO_DATA'!B:Q,15,FALSE))),"")</f>
        <v/>
      </c>
      <c r="L15" s="10" t="str">
        <f>IFERROR((IF(VLOOKUP(A15,'ECN-ECO_DATA'!B:Q,16,FALSE)="","",VLOOKUP(A15,'ECN-ECO_DATA'!B:Q,16,FALSE))),"")</f>
        <v/>
      </c>
      <c r="M15" s="9" t="str">
        <f>IFERROR((IF(VLOOKUP(A15,'ECN-ECO_DATA'!B:V,18,FALSE)=0/1/1900,"",VLOOKUP(A15,'ECN-ECO_DATA'!B:V,18,FALSE))),"")</f>
        <v/>
      </c>
      <c r="N15" s="9" t="str">
        <f>IFERROR((IF(VLOOKUP(A15,'ECN-ECO_DATA'!B:V,19,FALSE)=0/1/1900,"",VLOOKUP(A15,'ECN-ECO_DATA'!B:V,19,FALSE))),"")</f>
        <v/>
      </c>
      <c r="O15" s="9" t="str">
        <f>IFERROR((IF(VLOOKUP(A15,'ECN-ECO_DATA'!B:V,20,FALSE)=0/1/1900,"",VLOOKUP(A15,'ECN-ECO_DATA'!B:V,20,FALSE))),"")</f>
        <v/>
      </c>
      <c r="P15" s="9" t="str">
        <f>IFERROR((IF(VLOOKUP(A15,'ECN-ECO_DATA'!B:V,21,FALSE)=0/1/1900,"",VLOOKUP(A15,'ECN-ECO_DATA'!B:V,21,FALSE))),"")</f>
        <v/>
      </c>
      <c r="Q15" s="10" t="str">
        <f t="shared" ca="1" si="0"/>
        <v/>
      </c>
      <c r="R15" s="4" t="str">
        <f t="shared" si="1"/>
        <v/>
      </c>
      <c r="S15" s="4" t="str">
        <f t="shared" si="2"/>
        <v/>
      </c>
      <c r="T15" s="4" t="str">
        <f t="shared" si="3"/>
        <v/>
      </c>
      <c r="U15" s="10" t="str">
        <f t="shared" si="4"/>
        <v/>
      </c>
      <c r="V15" s="4"/>
    </row>
    <row r="16" spans="1:22" x14ac:dyDescent="0.25">
      <c r="B16" s="4" t="str">
        <f>IFERROR(VLOOKUP(A16,'ECN-ECO_DATA'!B:G,4,FALSE),"")</f>
        <v/>
      </c>
      <c r="C16" s="9" t="str">
        <f>IFERROR(VLOOKUP(A16,'ECN-ECO_DATA'!B:G,5,FALSE),"")</f>
        <v/>
      </c>
      <c r="D16" s="9" t="str">
        <f ca="1">IFERROR((IF(VLOOKUP(A16,'ECN-ECO_DATA'!B:G,6,FALSE)=0/1/1900,TODAY(),VLOOKUP(A16,'ECN-ECO_DATA'!B:G,6,FALSE))),"")</f>
        <v/>
      </c>
      <c r="E16" s="9" t="str">
        <f>IFERROR((IF(VLOOKUP(A16,'ECN-ECO_DATA'!B:G,6,FALSE)=0/1/1900,"",VLOOKUP(A16,'ECN-ECO_DATA'!B:G,6,FALSE))),"")</f>
        <v/>
      </c>
      <c r="F16" s="9" t="str">
        <f>IFERROR((IF(VLOOKUP(A16,'ECN-ECO_DATA'!B:J,7,FALSE)=0/1/1900,"",VLOOKUP(A16,'ECN-ECO_DATA'!B:J,7,FALSE))),"")</f>
        <v/>
      </c>
      <c r="G16" s="9" t="str">
        <f>IFERROR((IF(VLOOKUP(A16,'ECN-ECO_DATA'!B:J,8,FALSE)=0/1/1900,"",VLOOKUP(A16,'ECN-ECO_DATA'!B:J,8,FALSE))),"")</f>
        <v/>
      </c>
      <c r="H16" s="9" t="str">
        <f>IFERROR((IF(VLOOKUP(A16,'ECN-ECO_DATA'!B:J,9,FALSE)=0/1/1900,"",VLOOKUP(A16,'ECN-ECO_DATA'!B:J,9,FALSE))),"")</f>
        <v/>
      </c>
      <c r="I16" s="10" t="str">
        <f>IFERROR((IF(VLOOKUP(A16,'ECN-ECO_DATA'!B:Q,13,FALSE)="","",VLOOKUP(A16,'ECN-ECO_DATA'!B:Q,13,FALSE))),"")</f>
        <v/>
      </c>
      <c r="J16" s="10" t="str">
        <f>IFERROR((IF(VLOOKUP(A16,'ECN-ECO_DATA'!B:Q,14,FALSE)="","",VLOOKUP(A16,'ECN-ECO_DATA'!B:Q,14,FALSE))),"")</f>
        <v/>
      </c>
      <c r="K16" s="10" t="str">
        <f>IFERROR((IF(VLOOKUP(A16,'ECN-ECO_DATA'!B:Q,15,FALSE)="","",VLOOKUP(A16,'ECN-ECO_DATA'!B:Q,15,FALSE))),"")</f>
        <v/>
      </c>
      <c r="L16" s="10" t="str">
        <f>IFERROR((IF(VLOOKUP(A16,'ECN-ECO_DATA'!B:Q,16,FALSE)="","",VLOOKUP(A16,'ECN-ECO_DATA'!B:Q,16,FALSE))),"")</f>
        <v/>
      </c>
      <c r="M16" s="9" t="str">
        <f>IFERROR((IF(VLOOKUP(A16,'ECN-ECO_DATA'!B:V,18,FALSE)=0/1/1900,"",VLOOKUP(A16,'ECN-ECO_DATA'!B:V,18,FALSE))),"")</f>
        <v/>
      </c>
      <c r="N16" s="9" t="str">
        <f>IFERROR((IF(VLOOKUP(A16,'ECN-ECO_DATA'!B:V,19,FALSE)=0/1/1900,"",VLOOKUP(A16,'ECN-ECO_DATA'!B:V,19,FALSE))),"")</f>
        <v/>
      </c>
      <c r="O16" s="9" t="str">
        <f>IFERROR((IF(VLOOKUP(A16,'ECN-ECO_DATA'!B:V,20,FALSE)=0/1/1900,"",VLOOKUP(A16,'ECN-ECO_DATA'!B:V,20,FALSE))),"")</f>
        <v/>
      </c>
      <c r="P16" s="9" t="str">
        <f>IFERROR((IF(VLOOKUP(A16,'ECN-ECO_DATA'!B:V,21,FALSE)=0/1/1900,"",VLOOKUP(A16,'ECN-ECO_DATA'!B:V,21,FALSE))),"")</f>
        <v/>
      </c>
      <c r="Q16" s="10" t="str">
        <f t="shared" ca="1" si="0"/>
        <v/>
      </c>
      <c r="R16" s="4" t="str">
        <f t="shared" si="1"/>
        <v/>
      </c>
      <c r="S16" s="4" t="str">
        <f t="shared" si="2"/>
        <v/>
      </c>
      <c r="T16" s="4" t="str">
        <f t="shared" si="3"/>
        <v/>
      </c>
      <c r="U16" s="10" t="str">
        <f t="shared" si="4"/>
        <v/>
      </c>
      <c r="V16" s="4"/>
    </row>
    <row r="17" spans="2:22" x14ac:dyDescent="0.25">
      <c r="B17" s="4" t="str">
        <f>IFERROR(VLOOKUP(A17,'ECN-ECO_DATA'!B:G,4,FALSE),"")</f>
        <v/>
      </c>
      <c r="C17" s="9" t="str">
        <f>IFERROR(VLOOKUP(A17,'ECN-ECO_DATA'!B:G,5,FALSE),"")</f>
        <v/>
      </c>
      <c r="D17" s="9" t="str">
        <f ca="1">IFERROR((IF(VLOOKUP(A17,'ECN-ECO_DATA'!B:G,6,FALSE)=0/1/1900,TODAY(),VLOOKUP(A17,'ECN-ECO_DATA'!B:G,6,FALSE))),"")</f>
        <v/>
      </c>
      <c r="E17" s="9" t="str">
        <f>IFERROR((IF(VLOOKUP(A17,'ECN-ECO_DATA'!B:G,6,FALSE)=0/1/1900,"",VLOOKUP(A17,'ECN-ECO_DATA'!B:G,6,FALSE))),"")</f>
        <v/>
      </c>
      <c r="F17" s="9" t="str">
        <f>IFERROR((IF(VLOOKUP(A17,'ECN-ECO_DATA'!B:J,7,FALSE)=0/1/1900,"",VLOOKUP(A17,'ECN-ECO_DATA'!B:J,7,FALSE))),"")</f>
        <v/>
      </c>
      <c r="G17" s="9" t="str">
        <f>IFERROR((IF(VLOOKUP(A17,'ECN-ECO_DATA'!B:J,8,FALSE)=0/1/1900,"",VLOOKUP(A17,'ECN-ECO_DATA'!B:J,8,FALSE))),"")</f>
        <v/>
      </c>
      <c r="H17" s="9" t="str">
        <f>IFERROR((IF(VLOOKUP(A17,'ECN-ECO_DATA'!B:J,9,FALSE)=0/1/1900,"",VLOOKUP(A17,'ECN-ECO_DATA'!B:J,9,FALSE))),"")</f>
        <v/>
      </c>
      <c r="I17" s="10" t="str">
        <f>IFERROR((IF(VLOOKUP(A17,'ECN-ECO_DATA'!B:Q,13,FALSE)="","",VLOOKUP(A17,'ECN-ECO_DATA'!B:Q,13,FALSE))),"")</f>
        <v/>
      </c>
      <c r="J17" s="10" t="str">
        <f>IFERROR((IF(VLOOKUP(A17,'ECN-ECO_DATA'!B:Q,14,FALSE)="","",VLOOKUP(A17,'ECN-ECO_DATA'!B:Q,14,FALSE))),"")</f>
        <v/>
      </c>
      <c r="K17" s="10" t="str">
        <f>IFERROR((IF(VLOOKUP(A17,'ECN-ECO_DATA'!B:Q,15,FALSE)="","",VLOOKUP(A17,'ECN-ECO_DATA'!B:Q,15,FALSE))),"")</f>
        <v/>
      </c>
      <c r="L17" s="10" t="str">
        <f>IFERROR((IF(VLOOKUP(A17,'ECN-ECO_DATA'!B:Q,16,FALSE)="","",VLOOKUP(A17,'ECN-ECO_DATA'!B:Q,16,FALSE))),"")</f>
        <v/>
      </c>
      <c r="M17" s="9" t="str">
        <f>IFERROR((IF(VLOOKUP(A17,'ECN-ECO_DATA'!B:V,18,FALSE)=0/1/1900,"",VLOOKUP(A17,'ECN-ECO_DATA'!B:V,18,FALSE))),"")</f>
        <v/>
      </c>
      <c r="N17" s="9" t="str">
        <f>IFERROR((IF(VLOOKUP(A17,'ECN-ECO_DATA'!B:V,19,FALSE)=0/1/1900,"",VLOOKUP(A17,'ECN-ECO_DATA'!B:V,19,FALSE))),"")</f>
        <v/>
      </c>
      <c r="O17" s="9" t="str">
        <f>IFERROR((IF(VLOOKUP(A17,'ECN-ECO_DATA'!B:V,20,FALSE)=0/1/1900,"",VLOOKUP(A17,'ECN-ECO_DATA'!B:V,20,FALSE))),"")</f>
        <v/>
      </c>
      <c r="P17" s="9" t="str">
        <f>IFERROR((IF(VLOOKUP(A17,'ECN-ECO_DATA'!B:V,21,FALSE)=0/1/1900,"",VLOOKUP(A17,'ECN-ECO_DATA'!B:V,21,FALSE))),"")</f>
        <v/>
      </c>
      <c r="Q17" s="10" t="str">
        <f t="shared" ca="1" si="0"/>
        <v/>
      </c>
      <c r="R17" s="4" t="str">
        <f t="shared" si="1"/>
        <v/>
      </c>
      <c r="S17" s="4" t="str">
        <f t="shared" si="2"/>
        <v/>
      </c>
      <c r="T17" s="4" t="str">
        <f t="shared" si="3"/>
        <v/>
      </c>
      <c r="U17" s="10" t="str">
        <f t="shared" si="4"/>
        <v/>
      </c>
      <c r="V17" s="4"/>
    </row>
    <row r="18" spans="2:22" x14ac:dyDescent="0.25">
      <c r="B18" s="4" t="str">
        <f>IFERROR(VLOOKUP(A18,'ECN-ECO_DATA'!B:G,4,FALSE),"")</f>
        <v/>
      </c>
      <c r="C18" s="9" t="str">
        <f>IFERROR(VLOOKUP(A18,'ECN-ECO_DATA'!B:G,5,FALSE),"")</f>
        <v/>
      </c>
      <c r="D18" s="9" t="str">
        <f ca="1">IFERROR((IF(VLOOKUP(A18,'ECN-ECO_DATA'!B:G,6,FALSE)=0/1/1900,TODAY(),VLOOKUP(A18,'ECN-ECO_DATA'!B:G,6,FALSE))),"")</f>
        <v/>
      </c>
      <c r="E18" s="9" t="str">
        <f>IFERROR((IF(VLOOKUP(A18,'ECN-ECO_DATA'!B:G,6,FALSE)=0/1/1900,"",VLOOKUP(A18,'ECN-ECO_DATA'!B:G,6,FALSE))),"")</f>
        <v/>
      </c>
      <c r="F18" s="9" t="str">
        <f>IFERROR((IF(VLOOKUP(A18,'ECN-ECO_DATA'!B:J,7,FALSE)=0/1/1900,"",VLOOKUP(A18,'ECN-ECO_DATA'!B:J,7,FALSE))),"")</f>
        <v/>
      </c>
      <c r="G18" s="9" t="str">
        <f>IFERROR((IF(VLOOKUP(A18,'ECN-ECO_DATA'!B:J,8,FALSE)=0/1/1900,"",VLOOKUP(A18,'ECN-ECO_DATA'!B:J,8,FALSE))),"")</f>
        <v/>
      </c>
      <c r="H18" s="9" t="str">
        <f>IFERROR((IF(VLOOKUP(A18,'ECN-ECO_DATA'!B:J,9,FALSE)=0/1/1900,"",VLOOKUP(A18,'ECN-ECO_DATA'!B:J,9,FALSE))),"")</f>
        <v/>
      </c>
      <c r="I18" s="10" t="str">
        <f>IFERROR((IF(VLOOKUP(A18,'ECN-ECO_DATA'!B:Q,13,FALSE)="","",VLOOKUP(A18,'ECN-ECO_DATA'!B:Q,13,FALSE))),"")</f>
        <v/>
      </c>
      <c r="J18" s="10" t="str">
        <f>IFERROR((IF(VLOOKUP(A18,'ECN-ECO_DATA'!B:Q,14,FALSE)="","",VLOOKUP(A18,'ECN-ECO_DATA'!B:Q,14,FALSE))),"")</f>
        <v/>
      </c>
      <c r="K18" s="10" t="str">
        <f>IFERROR((IF(VLOOKUP(A18,'ECN-ECO_DATA'!B:Q,15,FALSE)="","",VLOOKUP(A18,'ECN-ECO_DATA'!B:Q,15,FALSE))),"")</f>
        <v/>
      </c>
      <c r="L18" s="10" t="str">
        <f>IFERROR((IF(VLOOKUP(A18,'ECN-ECO_DATA'!B:Q,16,FALSE)="","",VLOOKUP(A18,'ECN-ECO_DATA'!B:Q,16,FALSE))),"")</f>
        <v/>
      </c>
      <c r="M18" s="9" t="str">
        <f>IFERROR((IF(VLOOKUP(A18,'ECN-ECO_DATA'!B:V,18,FALSE)=0/1/1900,"",VLOOKUP(A18,'ECN-ECO_DATA'!B:V,18,FALSE))),"")</f>
        <v/>
      </c>
      <c r="N18" s="9" t="str">
        <f>IFERROR((IF(VLOOKUP(A18,'ECN-ECO_DATA'!B:V,19,FALSE)=0/1/1900,"",VLOOKUP(A18,'ECN-ECO_DATA'!B:V,19,FALSE))),"")</f>
        <v/>
      </c>
      <c r="O18" s="9" t="str">
        <f>IFERROR((IF(VLOOKUP(A18,'ECN-ECO_DATA'!B:V,20,FALSE)=0/1/1900,"",VLOOKUP(A18,'ECN-ECO_DATA'!B:V,20,FALSE))),"")</f>
        <v/>
      </c>
      <c r="P18" s="9" t="str">
        <f>IFERROR((IF(VLOOKUP(A18,'ECN-ECO_DATA'!B:V,21,FALSE)=0/1/1900,"",VLOOKUP(A18,'ECN-ECO_DATA'!B:V,21,FALSE))),"")</f>
        <v/>
      </c>
      <c r="Q18" s="10" t="str">
        <f t="shared" ca="1" si="0"/>
        <v/>
      </c>
      <c r="R18" s="4" t="str">
        <f t="shared" si="1"/>
        <v/>
      </c>
      <c r="S18" s="4" t="str">
        <f t="shared" si="2"/>
        <v/>
      </c>
      <c r="T18" s="4" t="str">
        <f t="shared" si="3"/>
        <v/>
      </c>
      <c r="U18" s="10" t="str">
        <f t="shared" si="4"/>
        <v/>
      </c>
      <c r="V18" s="4"/>
    </row>
    <row r="19" spans="2:22" x14ac:dyDescent="0.25">
      <c r="B19" s="4" t="str">
        <f>IFERROR(VLOOKUP(A19,'ECN-ECO_DATA'!B:G,4,FALSE),"")</f>
        <v/>
      </c>
      <c r="C19" s="9" t="str">
        <f>IFERROR(VLOOKUP(A19,'ECN-ECO_DATA'!B:G,5,FALSE),"")</f>
        <v/>
      </c>
      <c r="D19" s="9" t="str">
        <f ca="1">IFERROR((IF(VLOOKUP(A19,'ECN-ECO_DATA'!B:G,6,FALSE)=0/1/1900,TODAY(),VLOOKUP(A19,'ECN-ECO_DATA'!B:G,6,FALSE))),"")</f>
        <v/>
      </c>
      <c r="E19" s="9" t="str">
        <f>IFERROR((IF(VLOOKUP(A19,'ECN-ECO_DATA'!B:G,6,FALSE)=0/1/1900,"",VLOOKUP(A19,'ECN-ECO_DATA'!B:G,6,FALSE))),"")</f>
        <v/>
      </c>
      <c r="F19" s="9" t="str">
        <f>IFERROR((IF(VLOOKUP(A19,'ECN-ECO_DATA'!B:J,7,FALSE)=0/1/1900,"",VLOOKUP(A19,'ECN-ECO_DATA'!B:J,7,FALSE))),"")</f>
        <v/>
      </c>
      <c r="G19" s="9" t="str">
        <f>IFERROR((IF(VLOOKUP(A19,'ECN-ECO_DATA'!B:J,8,FALSE)=0/1/1900,"",VLOOKUP(A19,'ECN-ECO_DATA'!B:J,8,FALSE))),"")</f>
        <v/>
      </c>
      <c r="H19" s="9" t="str">
        <f>IFERROR((IF(VLOOKUP(A19,'ECN-ECO_DATA'!B:J,9,FALSE)=0/1/1900,"",VLOOKUP(A19,'ECN-ECO_DATA'!B:J,9,FALSE))),"")</f>
        <v/>
      </c>
      <c r="I19" s="10" t="str">
        <f>IFERROR((IF(VLOOKUP(A19,'ECN-ECO_DATA'!B:Q,13,FALSE)="","",VLOOKUP(A19,'ECN-ECO_DATA'!B:Q,13,FALSE))),"")</f>
        <v/>
      </c>
      <c r="J19" s="10" t="str">
        <f>IFERROR((IF(VLOOKUP(A19,'ECN-ECO_DATA'!B:Q,14,FALSE)="","",VLOOKUP(A19,'ECN-ECO_DATA'!B:Q,14,FALSE))),"")</f>
        <v/>
      </c>
      <c r="K19" s="10" t="str">
        <f>IFERROR((IF(VLOOKUP(A19,'ECN-ECO_DATA'!B:Q,15,FALSE)="","",VLOOKUP(A19,'ECN-ECO_DATA'!B:Q,15,FALSE))),"")</f>
        <v/>
      </c>
      <c r="L19" s="10" t="str">
        <f>IFERROR((IF(VLOOKUP(A19,'ECN-ECO_DATA'!B:Q,16,FALSE)="","",VLOOKUP(A19,'ECN-ECO_DATA'!B:Q,16,FALSE))),"")</f>
        <v/>
      </c>
      <c r="M19" s="9" t="str">
        <f>IFERROR((IF(VLOOKUP(A19,'ECN-ECO_DATA'!B:V,18,FALSE)=0/1/1900,"",VLOOKUP(A19,'ECN-ECO_DATA'!B:V,18,FALSE))),"")</f>
        <v/>
      </c>
      <c r="N19" s="9" t="str">
        <f>IFERROR((IF(VLOOKUP(A19,'ECN-ECO_DATA'!B:V,19,FALSE)=0/1/1900,"",VLOOKUP(A19,'ECN-ECO_DATA'!B:V,19,FALSE))),"")</f>
        <v/>
      </c>
      <c r="O19" s="9" t="str">
        <f>IFERROR((IF(VLOOKUP(A19,'ECN-ECO_DATA'!B:V,20,FALSE)=0/1/1900,"",VLOOKUP(A19,'ECN-ECO_DATA'!B:V,20,FALSE))),"")</f>
        <v/>
      </c>
      <c r="P19" s="9" t="str">
        <f>IFERROR((IF(VLOOKUP(A19,'ECN-ECO_DATA'!B:V,21,FALSE)=0/1/1900,"",VLOOKUP(A19,'ECN-ECO_DATA'!B:V,21,FALSE))),"")</f>
        <v/>
      </c>
      <c r="Q19" s="10" t="str">
        <f t="shared" ca="1" si="0"/>
        <v/>
      </c>
      <c r="R19" s="4" t="str">
        <f t="shared" si="1"/>
        <v/>
      </c>
      <c r="S19" s="4" t="str">
        <f t="shared" si="2"/>
        <v/>
      </c>
      <c r="T19" s="4" t="str">
        <f t="shared" si="3"/>
        <v/>
      </c>
      <c r="U19" s="10" t="str">
        <f t="shared" si="4"/>
        <v/>
      </c>
      <c r="V19" s="4"/>
    </row>
    <row r="20" spans="2:22" x14ac:dyDescent="0.25">
      <c r="B20" s="4" t="str">
        <f>IFERROR(VLOOKUP(A20,'ECN-ECO_DATA'!B:G,4,FALSE),"")</f>
        <v/>
      </c>
      <c r="C20" s="9" t="str">
        <f>IFERROR(VLOOKUP(A20,'ECN-ECO_DATA'!B:G,5,FALSE),"")</f>
        <v/>
      </c>
      <c r="D20" s="9" t="str">
        <f ca="1">IFERROR((IF(VLOOKUP(A20,'ECN-ECO_DATA'!B:G,6,FALSE)=0/1/1900,TODAY(),VLOOKUP(A20,'ECN-ECO_DATA'!B:G,6,FALSE))),"")</f>
        <v/>
      </c>
      <c r="E20" s="9" t="str">
        <f>IFERROR((IF(VLOOKUP(A20,'ECN-ECO_DATA'!B:G,6,FALSE)=0/1/1900,"",VLOOKUP(A20,'ECN-ECO_DATA'!B:G,6,FALSE))),"")</f>
        <v/>
      </c>
      <c r="F20" s="9" t="str">
        <f>IFERROR((IF(VLOOKUP(A20,'ECN-ECO_DATA'!B:J,7,FALSE)=0/1/1900,"",VLOOKUP(A20,'ECN-ECO_DATA'!B:J,7,FALSE))),"")</f>
        <v/>
      </c>
      <c r="G20" s="9" t="str">
        <f>IFERROR((IF(VLOOKUP(A20,'ECN-ECO_DATA'!B:J,8,FALSE)=0/1/1900,"",VLOOKUP(A20,'ECN-ECO_DATA'!B:J,8,FALSE))),"")</f>
        <v/>
      </c>
      <c r="H20" s="9" t="str">
        <f>IFERROR((IF(VLOOKUP(A20,'ECN-ECO_DATA'!B:J,9,FALSE)=0/1/1900,"",VLOOKUP(A20,'ECN-ECO_DATA'!B:J,9,FALSE))),"")</f>
        <v/>
      </c>
      <c r="I20" s="10" t="str">
        <f>IFERROR((IF(VLOOKUP(A20,'ECN-ECO_DATA'!B:Q,13,FALSE)="","",VLOOKUP(A20,'ECN-ECO_DATA'!B:Q,13,FALSE))),"")</f>
        <v/>
      </c>
      <c r="J20" s="10" t="str">
        <f>IFERROR((IF(VLOOKUP(A20,'ECN-ECO_DATA'!B:Q,14,FALSE)="","",VLOOKUP(A20,'ECN-ECO_DATA'!B:Q,14,FALSE))),"")</f>
        <v/>
      </c>
      <c r="K20" s="10" t="str">
        <f>IFERROR((IF(VLOOKUP(A20,'ECN-ECO_DATA'!B:Q,15,FALSE)="","",VLOOKUP(A20,'ECN-ECO_DATA'!B:Q,15,FALSE))),"")</f>
        <v/>
      </c>
      <c r="L20" s="10" t="str">
        <f>IFERROR((IF(VLOOKUP(A20,'ECN-ECO_DATA'!B:Q,16,FALSE)="","",VLOOKUP(A20,'ECN-ECO_DATA'!B:Q,16,FALSE))),"")</f>
        <v/>
      </c>
      <c r="M20" s="9" t="str">
        <f>IFERROR((IF(VLOOKUP(A20,'ECN-ECO_DATA'!B:V,18,FALSE)=0/1/1900,"",VLOOKUP(A20,'ECN-ECO_DATA'!B:V,18,FALSE))),"")</f>
        <v/>
      </c>
      <c r="N20" s="9" t="str">
        <f>IFERROR((IF(VLOOKUP(A20,'ECN-ECO_DATA'!B:V,19,FALSE)=0/1/1900,"",VLOOKUP(A20,'ECN-ECO_DATA'!B:V,19,FALSE))),"")</f>
        <v/>
      </c>
      <c r="O20" s="9" t="str">
        <f>IFERROR((IF(VLOOKUP(A20,'ECN-ECO_DATA'!B:V,20,FALSE)=0/1/1900,"",VLOOKUP(A20,'ECN-ECO_DATA'!B:V,20,FALSE))),"")</f>
        <v/>
      </c>
      <c r="P20" s="9" t="str">
        <f>IFERROR((IF(VLOOKUP(A20,'ECN-ECO_DATA'!B:V,21,FALSE)=0/1/1900,"",VLOOKUP(A20,'ECN-ECO_DATA'!B:V,21,FALSE))),"")</f>
        <v/>
      </c>
      <c r="Q20" s="10" t="str">
        <f t="shared" ca="1" si="0"/>
        <v/>
      </c>
      <c r="R20" s="4" t="str">
        <f t="shared" si="1"/>
        <v/>
      </c>
      <c r="S20" s="4" t="str">
        <f t="shared" si="2"/>
        <v/>
      </c>
      <c r="T20" s="4" t="str">
        <f t="shared" si="3"/>
        <v/>
      </c>
      <c r="U20" s="10" t="str">
        <f t="shared" si="4"/>
        <v/>
      </c>
      <c r="V20" s="4"/>
    </row>
    <row r="21" spans="2:22" x14ac:dyDescent="0.25">
      <c r="B21" s="4" t="str">
        <f>IFERROR(VLOOKUP(A21,'ECN-ECO_DATA'!B:G,4,FALSE),"")</f>
        <v/>
      </c>
      <c r="C21" s="9" t="str">
        <f>IFERROR(VLOOKUP(A21,'ECN-ECO_DATA'!B:G,5,FALSE),"")</f>
        <v/>
      </c>
      <c r="D21" s="9" t="str">
        <f ca="1">IFERROR((IF(VLOOKUP(A21,'ECN-ECO_DATA'!B:G,6,FALSE)=0/1/1900,TODAY(),VLOOKUP(A21,'ECN-ECO_DATA'!B:G,6,FALSE))),"")</f>
        <v/>
      </c>
      <c r="E21" s="9" t="str">
        <f>IFERROR((IF(VLOOKUP(A21,'ECN-ECO_DATA'!B:G,6,FALSE)=0/1/1900,"",VLOOKUP(A21,'ECN-ECO_DATA'!B:G,6,FALSE))),"")</f>
        <v/>
      </c>
      <c r="F21" s="9" t="str">
        <f>IFERROR((IF(VLOOKUP(A21,'ECN-ECO_DATA'!B:J,7,FALSE)=0/1/1900,"",VLOOKUP(A21,'ECN-ECO_DATA'!B:J,7,FALSE))),"")</f>
        <v/>
      </c>
      <c r="G21" s="9" t="str">
        <f>IFERROR((IF(VLOOKUP(A21,'ECN-ECO_DATA'!B:J,8,FALSE)=0/1/1900,"",VLOOKUP(A21,'ECN-ECO_DATA'!B:J,8,FALSE))),"")</f>
        <v/>
      </c>
      <c r="H21" s="9" t="str">
        <f>IFERROR((IF(VLOOKUP(A21,'ECN-ECO_DATA'!B:J,9,FALSE)=0/1/1900,"",VLOOKUP(A21,'ECN-ECO_DATA'!B:J,9,FALSE))),"")</f>
        <v/>
      </c>
      <c r="I21" s="10" t="str">
        <f>IFERROR((IF(VLOOKUP(A21,'ECN-ECO_DATA'!B:Q,13,FALSE)="","",VLOOKUP(A21,'ECN-ECO_DATA'!B:Q,13,FALSE))),"")</f>
        <v/>
      </c>
      <c r="J21" s="10" t="str">
        <f>IFERROR((IF(VLOOKUP(A21,'ECN-ECO_DATA'!B:Q,14,FALSE)="","",VLOOKUP(A21,'ECN-ECO_DATA'!B:Q,14,FALSE))),"")</f>
        <v/>
      </c>
      <c r="K21" s="10" t="str">
        <f>IFERROR((IF(VLOOKUP(A21,'ECN-ECO_DATA'!B:Q,15,FALSE)="","",VLOOKUP(A21,'ECN-ECO_DATA'!B:Q,15,FALSE))),"")</f>
        <v/>
      </c>
      <c r="L21" s="10" t="str">
        <f>IFERROR((IF(VLOOKUP(A21,'ECN-ECO_DATA'!B:Q,16,FALSE)="","",VLOOKUP(A21,'ECN-ECO_DATA'!B:Q,16,FALSE))),"")</f>
        <v/>
      </c>
      <c r="M21" s="9" t="str">
        <f>IFERROR((IF(VLOOKUP(A21,'ECN-ECO_DATA'!B:V,18,FALSE)=0/1/1900,"",VLOOKUP(A21,'ECN-ECO_DATA'!B:V,18,FALSE))),"")</f>
        <v/>
      </c>
      <c r="N21" s="9" t="str">
        <f>IFERROR((IF(VLOOKUP(A21,'ECN-ECO_DATA'!B:V,19,FALSE)=0/1/1900,"",VLOOKUP(A21,'ECN-ECO_DATA'!B:V,19,FALSE))),"")</f>
        <v/>
      </c>
      <c r="O21" s="9" t="str">
        <f>IFERROR((IF(VLOOKUP(A21,'ECN-ECO_DATA'!B:V,20,FALSE)=0/1/1900,"",VLOOKUP(A21,'ECN-ECO_DATA'!B:V,20,FALSE))),"")</f>
        <v/>
      </c>
      <c r="P21" s="9" t="str">
        <f>IFERROR((IF(VLOOKUP(A21,'ECN-ECO_DATA'!B:V,21,FALSE)=0/1/1900,"",VLOOKUP(A21,'ECN-ECO_DATA'!B:V,21,FALSE))),"")</f>
        <v/>
      </c>
      <c r="Q21" s="10" t="str">
        <f t="shared" ca="1" si="0"/>
        <v/>
      </c>
      <c r="R21" s="4" t="str">
        <f t="shared" si="1"/>
        <v/>
      </c>
      <c r="S21" s="4" t="str">
        <f t="shared" si="2"/>
        <v/>
      </c>
      <c r="T21" s="4" t="str">
        <f t="shared" si="3"/>
        <v/>
      </c>
      <c r="U21" s="10" t="str">
        <f t="shared" si="4"/>
        <v/>
      </c>
      <c r="V21" s="4"/>
    </row>
    <row r="22" spans="2:22" x14ac:dyDescent="0.25">
      <c r="B22" s="4" t="str">
        <f>IFERROR(VLOOKUP(A22,'ECN-ECO_DATA'!B:G,4,FALSE),"")</f>
        <v/>
      </c>
      <c r="C22" s="9" t="str">
        <f>IFERROR(VLOOKUP(A22,'ECN-ECO_DATA'!B:G,5,FALSE),"")</f>
        <v/>
      </c>
      <c r="D22" s="9" t="str">
        <f ca="1">IFERROR((IF(VLOOKUP(A22,'ECN-ECO_DATA'!B:G,6,FALSE)=0/1/1900,TODAY(),VLOOKUP(A22,'ECN-ECO_DATA'!B:G,6,FALSE))),"")</f>
        <v/>
      </c>
      <c r="E22" s="9" t="str">
        <f>IFERROR((IF(VLOOKUP(A22,'ECN-ECO_DATA'!B:G,6,FALSE)=0/1/1900,"",VLOOKUP(A22,'ECN-ECO_DATA'!B:G,6,FALSE))),"")</f>
        <v/>
      </c>
      <c r="F22" s="9" t="str">
        <f>IFERROR((IF(VLOOKUP(A22,'ECN-ECO_DATA'!B:J,7,FALSE)=0/1/1900,"",VLOOKUP(A22,'ECN-ECO_DATA'!B:J,7,FALSE))),"")</f>
        <v/>
      </c>
      <c r="G22" s="9" t="str">
        <f>IFERROR((IF(VLOOKUP(A22,'ECN-ECO_DATA'!B:J,8,FALSE)=0/1/1900,"",VLOOKUP(A22,'ECN-ECO_DATA'!B:J,8,FALSE))),"")</f>
        <v/>
      </c>
      <c r="H22" s="9" t="str">
        <f>IFERROR((IF(VLOOKUP(A22,'ECN-ECO_DATA'!B:J,9,FALSE)=0/1/1900,"",VLOOKUP(A22,'ECN-ECO_DATA'!B:J,9,FALSE))),"")</f>
        <v/>
      </c>
      <c r="I22" s="10" t="str">
        <f>IFERROR((IF(VLOOKUP(A22,'ECN-ECO_DATA'!B:Q,13,FALSE)="","",VLOOKUP(A22,'ECN-ECO_DATA'!B:Q,13,FALSE))),"")</f>
        <v/>
      </c>
      <c r="J22" s="10" t="str">
        <f>IFERROR((IF(VLOOKUP(A22,'ECN-ECO_DATA'!B:Q,14,FALSE)="","",VLOOKUP(A22,'ECN-ECO_DATA'!B:Q,14,FALSE))),"")</f>
        <v/>
      </c>
      <c r="K22" s="10" t="str">
        <f>IFERROR((IF(VLOOKUP(A22,'ECN-ECO_DATA'!B:Q,15,FALSE)="","",VLOOKUP(A22,'ECN-ECO_DATA'!B:Q,15,FALSE))),"")</f>
        <v/>
      </c>
      <c r="L22" s="10" t="str">
        <f>IFERROR((IF(VLOOKUP(A22,'ECN-ECO_DATA'!B:Q,16,FALSE)="","",VLOOKUP(A22,'ECN-ECO_DATA'!B:Q,16,FALSE))),"")</f>
        <v/>
      </c>
      <c r="M22" s="9" t="str">
        <f>IFERROR((IF(VLOOKUP(A22,'ECN-ECO_DATA'!B:V,18,FALSE)=0/1/1900,"",VLOOKUP(A22,'ECN-ECO_DATA'!B:V,18,FALSE))),"")</f>
        <v/>
      </c>
      <c r="N22" s="9" t="str">
        <f>IFERROR((IF(VLOOKUP(A22,'ECN-ECO_DATA'!B:V,19,FALSE)=0/1/1900,"",VLOOKUP(A22,'ECN-ECO_DATA'!B:V,19,FALSE))),"")</f>
        <v/>
      </c>
      <c r="O22" s="9" t="str">
        <f>IFERROR((IF(VLOOKUP(A22,'ECN-ECO_DATA'!B:V,20,FALSE)=0/1/1900,"",VLOOKUP(A22,'ECN-ECO_DATA'!B:V,20,FALSE))),"")</f>
        <v/>
      </c>
      <c r="P22" s="9" t="str">
        <f>IFERROR((IF(VLOOKUP(A22,'ECN-ECO_DATA'!B:V,21,FALSE)=0/1/1900,"",VLOOKUP(A22,'ECN-ECO_DATA'!B:V,21,FALSE))),"")</f>
        <v/>
      </c>
      <c r="Q22" s="10" t="str">
        <f t="shared" ca="1" si="0"/>
        <v/>
      </c>
      <c r="R22" s="4" t="str">
        <f t="shared" si="1"/>
        <v/>
      </c>
      <c r="S22" s="4" t="str">
        <f t="shared" si="2"/>
        <v/>
      </c>
      <c r="T22" s="4" t="str">
        <f t="shared" si="3"/>
        <v/>
      </c>
      <c r="U22" s="10" t="str">
        <f t="shared" si="4"/>
        <v/>
      </c>
      <c r="V22" s="4"/>
    </row>
    <row r="23" spans="2:22" x14ac:dyDescent="0.25">
      <c r="B23" s="4" t="str">
        <f>IFERROR(VLOOKUP(A23,'ECN-ECO_DATA'!B:G,4,FALSE),"")</f>
        <v/>
      </c>
      <c r="C23" s="9" t="str">
        <f>IFERROR(VLOOKUP(A23,'ECN-ECO_DATA'!B:G,5,FALSE),"")</f>
        <v/>
      </c>
      <c r="D23" s="9" t="str">
        <f ca="1">IFERROR((IF(VLOOKUP(A23,'ECN-ECO_DATA'!B:G,6,FALSE)=0/1/1900,TODAY(),VLOOKUP(A23,'ECN-ECO_DATA'!B:G,6,FALSE))),"")</f>
        <v/>
      </c>
      <c r="E23" s="9" t="str">
        <f>IFERROR((IF(VLOOKUP(A23,'ECN-ECO_DATA'!B:G,6,FALSE)=0/1/1900,"",VLOOKUP(A23,'ECN-ECO_DATA'!B:G,6,FALSE))),"")</f>
        <v/>
      </c>
      <c r="F23" s="9" t="str">
        <f>IFERROR((IF(VLOOKUP(A23,'ECN-ECO_DATA'!B:J,7,FALSE)=0/1/1900,"",VLOOKUP(A23,'ECN-ECO_DATA'!B:J,7,FALSE))),"")</f>
        <v/>
      </c>
      <c r="G23" s="9" t="str">
        <f>IFERROR((IF(VLOOKUP(A23,'ECN-ECO_DATA'!B:J,8,FALSE)=0/1/1900,"",VLOOKUP(A23,'ECN-ECO_DATA'!B:J,8,FALSE))),"")</f>
        <v/>
      </c>
      <c r="H23" s="9" t="str">
        <f>IFERROR((IF(VLOOKUP(A23,'ECN-ECO_DATA'!B:J,9,FALSE)=0/1/1900,"",VLOOKUP(A23,'ECN-ECO_DATA'!B:J,9,FALSE))),"")</f>
        <v/>
      </c>
      <c r="I23" s="10" t="str">
        <f>IFERROR((IF(VLOOKUP(A23,'ECN-ECO_DATA'!B:Q,13,FALSE)="","",VLOOKUP(A23,'ECN-ECO_DATA'!B:Q,13,FALSE))),"")</f>
        <v/>
      </c>
      <c r="J23" s="10" t="str">
        <f>IFERROR((IF(VLOOKUP(A23,'ECN-ECO_DATA'!B:Q,14,FALSE)="","",VLOOKUP(A23,'ECN-ECO_DATA'!B:Q,14,FALSE))),"")</f>
        <v/>
      </c>
      <c r="K23" s="10" t="str">
        <f>IFERROR((IF(VLOOKUP(A23,'ECN-ECO_DATA'!B:Q,15,FALSE)="","",VLOOKUP(A23,'ECN-ECO_DATA'!B:Q,15,FALSE))),"")</f>
        <v/>
      </c>
      <c r="L23" s="10" t="str">
        <f>IFERROR((IF(VLOOKUP(A23,'ECN-ECO_DATA'!B:Q,16,FALSE)="","",VLOOKUP(A23,'ECN-ECO_DATA'!B:Q,16,FALSE))),"")</f>
        <v/>
      </c>
      <c r="M23" s="9" t="str">
        <f>IFERROR((IF(VLOOKUP(A23,'ECN-ECO_DATA'!B:V,18,FALSE)=0/1/1900,"",VLOOKUP(A23,'ECN-ECO_DATA'!B:V,18,FALSE))),"")</f>
        <v/>
      </c>
      <c r="N23" s="9" t="str">
        <f>IFERROR((IF(VLOOKUP(A23,'ECN-ECO_DATA'!B:V,19,FALSE)=0/1/1900,"",VLOOKUP(A23,'ECN-ECO_DATA'!B:V,19,FALSE))),"")</f>
        <v/>
      </c>
      <c r="O23" s="9" t="str">
        <f>IFERROR((IF(VLOOKUP(A23,'ECN-ECO_DATA'!B:V,20,FALSE)=0/1/1900,"",VLOOKUP(A23,'ECN-ECO_DATA'!B:V,20,FALSE))),"")</f>
        <v/>
      </c>
      <c r="P23" s="9" t="str">
        <f>IFERROR((IF(VLOOKUP(A23,'ECN-ECO_DATA'!B:V,21,FALSE)=0/1/1900,"",VLOOKUP(A23,'ECN-ECO_DATA'!B:V,21,FALSE))),"")</f>
        <v/>
      </c>
      <c r="Q23" s="10" t="str">
        <f t="shared" ca="1" si="0"/>
        <v/>
      </c>
      <c r="R23" s="4" t="str">
        <f t="shared" si="1"/>
        <v/>
      </c>
      <c r="S23" s="4" t="str">
        <f t="shared" si="2"/>
        <v/>
      </c>
      <c r="T23" s="4" t="str">
        <f t="shared" si="3"/>
        <v/>
      </c>
      <c r="U23" s="10" t="str">
        <f t="shared" si="4"/>
        <v/>
      </c>
      <c r="V23" s="4"/>
    </row>
    <row r="24" spans="2:22" x14ac:dyDescent="0.25">
      <c r="B24" s="4" t="str">
        <f>IFERROR(VLOOKUP(A24,'ECN-ECO_DATA'!B:G,4,FALSE),"")</f>
        <v/>
      </c>
      <c r="C24" s="9" t="str">
        <f>IFERROR(VLOOKUP(A24,'ECN-ECO_DATA'!B:G,5,FALSE),"")</f>
        <v/>
      </c>
      <c r="D24" s="9" t="str">
        <f ca="1">IFERROR((IF(VLOOKUP(A24,'ECN-ECO_DATA'!B:G,6,FALSE)=0/1/1900,TODAY(),VLOOKUP(A24,'ECN-ECO_DATA'!B:G,6,FALSE))),"")</f>
        <v/>
      </c>
      <c r="E24" s="9" t="str">
        <f>IFERROR((IF(VLOOKUP(A24,'ECN-ECO_DATA'!B:G,6,FALSE)=0/1/1900,"",VLOOKUP(A24,'ECN-ECO_DATA'!B:G,6,FALSE))),"")</f>
        <v/>
      </c>
      <c r="F24" s="9" t="str">
        <f>IFERROR((IF(VLOOKUP(A24,'ECN-ECO_DATA'!B:J,7,FALSE)=0/1/1900,"",VLOOKUP(A24,'ECN-ECO_DATA'!B:J,7,FALSE))),"")</f>
        <v/>
      </c>
      <c r="G24" s="9" t="str">
        <f>IFERROR((IF(VLOOKUP(A24,'ECN-ECO_DATA'!B:J,8,FALSE)=0/1/1900,"",VLOOKUP(A24,'ECN-ECO_DATA'!B:J,8,FALSE))),"")</f>
        <v/>
      </c>
      <c r="H24" s="9" t="str">
        <f>IFERROR((IF(VLOOKUP(A24,'ECN-ECO_DATA'!B:J,9,FALSE)=0/1/1900,"",VLOOKUP(A24,'ECN-ECO_DATA'!B:J,9,FALSE))),"")</f>
        <v/>
      </c>
      <c r="I24" s="10" t="str">
        <f>IFERROR((IF(VLOOKUP(A24,'ECN-ECO_DATA'!B:Q,13,FALSE)="","",VLOOKUP(A24,'ECN-ECO_DATA'!B:Q,13,FALSE))),"")</f>
        <v/>
      </c>
      <c r="J24" s="10" t="str">
        <f>IFERROR((IF(VLOOKUP(A24,'ECN-ECO_DATA'!B:Q,14,FALSE)="","",VLOOKUP(A24,'ECN-ECO_DATA'!B:Q,14,FALSE))),"")</f>
        <v/>
      </c>
      <c r="K24" s="10" t="str">
        <f>IFERROR((IF(VLOOKUP(A24,'ECN-ECO_DATA'!B:Q,15,FALSE)="","",VLOOKUP(A24,'ECN-ECO_DATA'!B:Q,15,FALSE))),"")</f>
        <v/>
      </c>
      <c r="L24" s="10" t="str">
        <f>IFERROR((IF(VLOOKUP(A24,'ECN-ECO_DATA'!B:Q,16,FALSE)="","",VLOOKUP(A24,'ECN-ECO_DATA'!B:Q,16,FALSE))),"")</f>
        <v/>
      </c>
      <c r="M24" s="9" t="str">
        <f>IFERROR((IF(VLOOKUP(A24,'ECN-ECO_DATA'!B:V,18,FALSE)=0/1/1900,"",VLOOKUP(A24,'ECN-ECO_DATA'!B:V,18,FALSE))),"")</f>
        <v/>
      </c>
      <c r="N24" s="9" t="str">
        <f>IFERROR((IF(VLOOKUP(A24,'ECN-ECO_DATA'!B:V,19,FALSE)=0/1/1900,"",VLOOKUP(A24,'ECN-ECO_DATA'!B:V,19,FALSE))),"")</f>
        <v/>
      </c>
      <c r="O24" s="9" t="str">
        <f>IFERROR((IF(VLOOKUP(A24,'ECN-ECO_DATA'!B:V,20,FALSE)=0/1/1900,"",VLOOKUP(A24,'ECN-ECO_DATA'!B:V,20,FALSE))),"")</f>
        <v/>
      </c>
      <c r="P24" s="9" t="str">
        <f>IFERROR((IF(VLOOKUP(A24,'ECN-ECO_DATA'!B:V,21,FALSE)=0/1/1900,"",VLOOKUP(A24,'ECN-ECO_DATA'!B:V,21,FALSE))),"")</f>
        <v/>
      </c>
      <c r="Q24" s="10" t="str">
        <f t="shared" ca="1" si="0"/>
        <v/>
      </c>
      <c r="R24" s="4" t="str">
        <f t="shared" si="1"/>
        <v/>
      </c>
      <c r="S24" s="4" t="str">
        <f t="shared" si="2"/>
        <v/>
      </c>
      <c r="T24" s="4" t="str">
        <f t="shared" si="3"/>
        <v/>
      </c>
      <c r="U24" s="10" t="str">
        <f t="shared" si="4"/>
        <v/>
      </c>
      <c r="V24" s="4"/>
    </row>
    <row r="25" spans="2:22" x14ac:dyDescent="0.25">
      <c r="B25" s="4" t="str">
        <f>IFERROR(VLOOKUP(A25,'ECN-ECO_DATA'!B:G,4,FALSE),"")</f>
        <v/>
      </c>
      <c r="C25" s="9" t="str">
        <f>IFERROR(VLOOKUP(A25,'ECN-ECO_DATA'!B:G,5,FALSE),"")</f>
        <v/>
      </c>
      <c r="D25" s="9" t="str">
        <f ca="1">IFERROR((IF(VLOOKUP(A25,'ECN-ECO_DATA'!B:G,6,FALSE)=0/1/1900,TODAY(),VLOOKUP(A25,'ECN-ECO_DATA'!B:G,6,FALSE))),"")</f>
        <v/>
      </c>
      <c r="E25" s="9" t="str">
        <f>IFERROR((IF(VLOOKUP(A25,'ECN-ECO_DATA'!B:G,6,FALSE)=0/1/1900,"",VLOOKUP(A25,'ECN-ECO_DATA'!B:G,6,FALSE))),"")</f>
        <v/>
      </c>
      <c r="F25" s="9" t="str">
        <f>IFERROR((IF(VLOOKUP(A25,'ECN-ECO_DATA'!B:J,7,FALSE)=0/1/1900,"",VLOOKUP(A25,'ECN-ECO_DATA'!B:J,7,FALSE))),"")</f>
        <v/>
      </c>
      <c r="G25" s="9" t="str">
        <f>IFERROR((IF(VLOOKUP(A25,'ECN-ECO_DATA'!B:J,8,FALSE)=0/1/1900,"",VLOOKUP(A25,'ECN-ECO_DATA'!B:J,8,FALSE))),"")</f>
        <v/>
      </c>
      <c r="H25" s="9" t="str">
        <f>IFERROR((IF(VLOOKUP(A25,'ECN-ECO_DATA'!B:J,9,FALSE)=0/1/1900,"",VLOOKUP(A25,'ECN-ECO_DATA'!B:J,9,FALSE))),"")</f>
        <v/>
      </c>
      <c r="I25" s="10" t="str">
        <f>IFERROR((IF(VLOOKUP(A25,'ECN-ECO_DATA'!B:Q,13,FALSE)="","",VLOOKUP(A25,'ECN-ECO_DATA'!B:Q,13,FALSE))),"")</f>
        <v/>
      </c>
      <c r="J25" s="10" t="str">
        <f>IFERROR((IF(VLOOKUP(A25,'ECN-ECO_DATA'!B:Q,14,FALSE)="","",VLOOKUP(A25,'ECN-ECO_DATA'!B:Q,14,FALSE))),"")</f>
        <v/>
      </c>
      <c r="K25" s="10" t="str">
        <f>IFERROR((IF(VLOOKUP(A25,'ECN-ECO_DATA'!B:Q,15,FALSE)="","",VLOOKUP(A25,'ECN-ECO_DATA'!B:Q,15,FALSE))),"")</f>
        <v/>
      </c>
      <c r="L25" s="10" t="str">
        <f>IFERROR((IF(VLOOKUP(A25,'ECN-ECO_DATA'!B:Q,16,FALSE)="","",VLOOKUP(A25,'ECN-ECO_DATA'!B:Q,16,FALSE))),"")</f>
        <v/>
      </c>
      <c r="M25" s="9" t="str">
        <f>IFERROR((IF(VLOOKUP(A25,'ECN-ECO_DATA'!B:V,18,FALSE)=0/1/1900,"",VLOOKUP(A25,'ECN-ECO_DATA'!B:V,18,FALSE))),"")</f>
        <v/>
      </c>
      <c r="N25" s="9" t="str">
        <f>IFERROR((IF(VLOOKUP(A25,'ECN-ECO_DATA'!B:V,19,FALSE)=0/1/1900,"",VLOOKUP(A25,'ECN-ECO_DATA'!B:V,19,FALSE))),"")</f>
        <v/>
      </c>
      <c r="O25" s="9" t="str">
        <f>IFERROR((IF(VLOOKUP(A25,'ECN-ECO_DATA'!B:V,20,FALSE)=0/1/1900,"",VLOOKUP(A25,'ECN-ECO_DATA'!B:V,20,FALSE))),"")</f>
        <v/>
      </c>
      <c r="P25" s="9" t="str">
        <f>IFERROR((IF(VLOOKUP(A25,'ECN-ECO_DATA'!B:V,21,FALSE)=0/1/1900,"",VLOOKUP(A25,'ECN-ECO_DATA'!B:V,21,FALSE))),"")</f>
        <v/>
      </c>
      <c r="Q25" s="10" t="str">
        <f t="shared" ca="1" si="0"/>
        <v/>
      </c>
      <c r="R25" s="4" t="str">
        <f t="shared" si="1"/>
        <v/>
      </c>
      <c r="S25" s="4" t="str">
        <f t="shared" si="2"/>
        <v/>
      </c>
      <c r="T25" s="4" t="str">
        <f t="shared" si="3"/>
        <v/>
      </c>
      <c r="U25" s="10" t="str">
        <f t="shared" si="4"/>
        <v/>
      </c>
      <c r="V25" s="4"/>
    </row>
    <row r="26" spans="2:22" x14ac:dyDescent="0.25">
      <c r="B26" s="4" t="str">
        <f>IFERROR(VLOOKUP(A26,'ECN-ECO_DATA'!B:G,4,FALSE),"")</f>
        <v/>
      </c>
      <c r="C26" s="9" t="str">
        <f>IFERROR(VLOOKUP(A26,'ECN-ECO_DATA'!B:G,5,FALSE),"")</f>
        <v/>
      </c>
      <c r="D26" s="9" t="str">
        <f ca="1">IFERROR((IF(VLOOKUP(A26,'ECN-ECO_DATA'!B:G,6,FALSE)=0/1/1900,TODAY(),VLOOKUP(A26,'ECN-ECO_DATA'!B:G,6,FALSE))),"")</f>
        <v/>
      </c>
      <c r="E26" s="9" t="str">
        <f>IFERROR((IF(VLOOKUP(A26,'ECN-ECO_DATA'!B:G,6,FALSE)=0/1/1900,"",VLOOKUP(A26,'ECN-ECO_DATA'!B:G,6,FALSE))),"")</f>
        <v/>
      </c>
      <c r="F26" s="9" t="str">
        <f>IFERROR((IF(VLOOKUP(A26,'ECN-ECO_DATA'!B:J,7,FALSE)=0/1/1900,"",VLOOKUP(A26,'ECN-ECO_DATA'!B:J,7,FALSE))),"")</f>
        <v/>
      </c>
      <c r="G26" s="9" t="str">
        <f>IFERROR((IF(VLOOKUP(A26,'ECN-ECO_DATA'!B:J,8,FALSE)=0/1/1900,"",VLOOKUP(A26,'ECN-ECO_DATA'!B:J,8,FALSE))),"")</f>
        <v/>
      </c>
      <c r="H26" s="9" t="str">
        <f>IFERROR((IF(VLOOKUP(A26,'ECN-ECO_DATA'!B:J,9,FALSE)=0/1/1900,"",VLOOKUP(A26,'ECN-ECO_DATA'!B:J,9,FALSE))),"")</f>
        <v/>
      </c>
      <c r="I26" s="10" t="str">
        <f>IFERROR((IF(VLOOKUP(A26,'ECN-ECO_DATA'!B:Q,13,FALSE)="","",VLOOKUP(A26,'ECN-ECO_DATA'!B:Q,13,FALSE))),"")</f>
        <v/>
      </c>
      <c r="J26" s="10" t="str">
        <f>IFERROR((IF(VLOOKUP(A26,'ECN-ECO_DATA'!B:Q,14,FALSE)="","",VLOOKUP(A26,'ECN-ECO_DATA'!B:Q,14,FALSE))),"")</f>
        <v/>
      </c>
      <c r="K26" s="10" t="str">
        <f>IFERROR((IF(VLOOKUP(A26,'ECN-ECO_DATA'!B:Q,15,FALSE)="","",VLOOKUP(A26,'ECN-ECO_DATA'!B:Q,15,FALSE))),"")</f>
        <v/>
      </c>
      <c r="L26" s="10" t="str">
        <f>IFERROR((IF(VLOOKUP(A26,'ECN-ECO_DATA'!B:Q,16,FALSE)="","",VLOOKUP(A26,'ECN-ECO_DATA'!B:Q,16,FALSE))),"")</f>
        <v/>
      </c>
      <c r="M26" s="9" t="str">
        <f>IFERROR((IF(VLOOKUP(A26,'ECN-ECO_DATA'!B:V,18,FALSE)=0/1/1900,"",VLOOKUP(A26,'ECN-ECO_DATA'!B:V,18,FALSE))),"")</f>
        <v/>
      </c>
      <c r="N26" s="9" t="str">
        <f>IFERROR((IF(VLOOKUP(A26,'ECN-ECO_DATA'!B:V,19,FALSE)=0/1/1900,"",VLOOKUP(A26,'ECN-ECO_DATA'!B:V,19,FALSE))),"")</f>
        <v/>
      </c>
      <c r="O26" s="9" t="str">
        <f>IFERROR((IF(VLOOKUP(A26,'ECN-ECO_DATA'!B:V,20,FALSE)=0/1/1900,"",VLOOKUP(A26,'ECN-ECO_DATA'!B:V,20,FALSE))),"")</f>
        <v/>
      </c>
      <c r="P26" s="9" t="str">
        <f>IFERROR((IF(VLOOKUP(A26,'ECN-ECO_DATA'!B:V,21,FALSE)=0/1/1900,"",VLOOKUP(A26,'ECN-ECO_DATA'!B:V,21,FALSE))),"")</f>
        <v/>
      </c>
      <c r="Q26" s="10" t="str">
        <f t="shared" ca="1" si="0"/>
        <v/>
      </c>
      <c r="R26" s="4" t="str">
        <f t="shared" si="1"/>
        <v/>
      </c>
      <c r="S26" s="4" t="str">
        <f t="shared" si="2"/>
        <v/>
      </c>
      <c r="T26" s="4" t="str">
        <f t="shared" si="3"/>
        <v/>
      </c>
      <c r="U26" s="10" t="str">
        <f t="shared" si="4"/>
        <v/>
      </c>
      <c r="V26" s="4"/>
    </row>
    <row r="27" spans="2:22" x14ac:dyDescent="0.25">
      <c r="B27" s="4" t="str">
        <f>IFERROR(VLOOKUP(A27,'ECN-ECO_DATA'!B:G,4,FALSE),"")</f>
        <v/>
      </c>
      <c r="C27" s="9" t="str">
        <f>IFERROR(VLOOKUP(A27,'ECN-ECO_DATA'!B:G,5,FALSE),"")</f>
        <v/>
      </c>
      <c r="D27" s="9" t="str">
        <f ca="1">IFERROR((IF(VLOOKUP(A27,'ECN-ECO_DATA'!B:G,6,FALSE)=0/1/1900,TODAY(),VLOOKUP(A27,'ECN-ECO_DATA'!B:G,6,FALSE))),"")</f>
        <v/>
      </c>
      <c r="E27" s="9" t="str">
        <f>IFERROR((IF(VLOOKUP(A27,'ECN-ECO_DATA'!B:G,6,FALSE)=0/1/1900,"",VLOOKUP(A27,'ECN-ECO_DATA'!B:G,6,FALSE))),"")</f>
        <v/>
      </c>
      <c r="F27" s="9" t="str">
        <f>IFERROR((IF(VLOOKUP(A27,'ECN-ECO_DATA'!B:J,7,FALSE)=0/1/1900,"",VLOOKUP(A27,'ECN-ECO_DATA'!B:J,7,FALSE))),"")</f>
        <v/>
      </c>
      <c r="G27" s="9" t="str">
        <f>IFERROR((IF(VLOOKUP(A27,'ECN-ECO_DATA'!B:J,8,FALSE)=0/1/1900,"",VLOOKUP(A27,'ECN-ECO_DATA'!B:J,8,FALSE))),"")</f>
        <v/>
      </c>
      <c r="H27" s="9" t="str">
        <f>IFERROR((IF(VLOOKUP(A27,'ECN-ECO_DATA'!B:J,9,FALSE)=0/1/1900,"",VLOOKUP(A27,'ECN-ECO_DATA'!B:J,9,FALSE))),"")</f>
        <v/>
      </c>
      <c r="I27" s="10" t="str">
        <f>IFERROR((IF(VLOOKUP(A27,'ECN-ECO_DATA'!B:Q,13,FALSE)="","",VLOOKUP(A27,'ECN-ECO_DATA'!B:Q,13,FALSE))),"")</f>
        <v/>
      </c>
      <c r="J27" s="10" t="str">
        <f>IFERROR((IF(VLOOKUP(A27,'ECN-ECO_DATA'!B:Q,14,FALSE)="","",VLOOKUP(A27,'ECN-ECO_DATA'!B:Q,14,FALSE))),"")</f>
        <v/>
      </c>
      <c r="K27" s="10" t="str">
        <f>IFERROR((IF(VLOOKUP(A27,'ECN-ECO_DATA'!B:Q,15,FALSE)="","",VLOOKUP(A27,'ECN-ECO_DATA'!B:Q,15,FALSE))),"")</f>
        <v/>
      </c>
      <c r="L27" s="10" t="str">
        <f>IFERROR((IF(VLOOKUP(A27,'ECN-ECO_DATA'!B:Q,16,FALSE)="","",VLOOKUP(A27,'ECN-ECO_DATA'!B:Q,16,FALSE))),"")</f>
        <v/>
      </c>
      <c r="M27" s="9" t="str">
        <f>IFERROR((IF(VLOOKUP(A27,'ECN-ECO_DATA'!B:V,18,FALSE)=0/1/1900,"",VLOOKUP(A27,'ECN-ECO_DATA'!B:V,18,FALSE))),"")</f>
        <v/>
      </c>
      <c r="N27" s="9" t="str">
        <f>IFERROR((IF(VLOOKUP(A27,'ECN-ECO_DATA'!B:V,19,FALSE)=0/1/1900,"",VLOOKUP(A27,'ECN-ECO_DATA'!B:V,19,FALSE))),"")</f>
        <v/>
      </c>
      <c r="O27" s="9" t="str">
        <f>IFERROR((IF(VLOOKUP(A27,'ECN-ECO_DATA'!B:V,20,FALSE)=0/1/1900,"",VLOOKUP(A27,'ECN-ECO_DATA'!B:V,20,FALSE))),"")</f>
        <v/>
      </c>
      <c r="P27" s="9" t="str">
        <f>IFERROR((IF(VLOOKUP(A27,'ECN-ECO_DATA'!B:V,21,FALSE)=0/1/1900,"",VLOOKUP(A27,'ECN-ECO_DATA'!B:V,21,FALSE))),"")</f>
        <v/>
      </c>
      <c r="Q27" s="10" t="str">
        <f t="shared" ca="1" si="0"/>
        <v/>
      </c>
      <c r="R27" s="4" t="str">
        <f t="shared" si="1"/>
        <v/>
      </c>
      <c r="S27" s="4" t="str">
        <f t="shared" si="2"/>
        <v/>
      </c>
      <c r="T27" s="4" t="str">
        <f t="shared" si="3"/>
        <v/>
      </c>
      <c r="U27" s="10" t="str">
        <f t="shared" si="4"/>
        <v/>
      </c>
      <c r="V27" s="4"/>
    </row>
    <row r="28" spans="2:22" x14ac:dyDescent="0.25">
      <c r="B28" s="4" t="str">
        <f>IFERROR(VLOOKUP(A28,'ECN-ECO_DATA'!B:G,4,FALSE),"")</f>
        <v/>
      </c>
      <c r="C28" s="9" t="str">
        <f>IFERROR(VLOOKUP(A28,'ECN-ECO_DATA'!B:G,5,FALSE),"")</f>
        <v/>
      </c>
      <c r="D28" s="9" t="str">
        <f ca="1">IFERROR((IF(VLOOKUP(A28,'ECN-ECO_DATA'!B:G,6,FALSE)=0/1/1900,TODAY(),VLOOKUP(A28,'ECN-ECO_DATA'!B:G,6,FALSE))),"")</f>
        <v/>
      </c>
      <c r="E28" s="9" t="str">
        <f>IFERROR((IF(VLOOKUP(A28,'ECN-ECO_DATA'!B:G,6,FALSE)=0/1/1900,"",VLOOKUP(A28,'ECN-ECO_DATA'!B:G,6,FALSE))),"")</f>
        <v/>
      </c>
      <c r="F28" s="9" t="str">
        <f>IFERROR((IF(VLOOKUP(A28,'ECN-ECO_DATA'!B:J,7,FALSE)=0/1/1900,"",VLOOKUP(A28,'ECN-ECO_DATA'!B:J,7,FALSE))),"")</f>
        <v/>
      </c>
      <c r="G28" s="9" t="str">
        <f>IFERROR((IF(VLOOKUP(A28,'ECN-ECO_DATA'!B:J,8,FALSE)=0/1/1900,"",VLOOKUP(A28,'ECN-ECO_DATA'!B:J,8,FALSE))),"")</f>
        <v/>
      </c>
      <c r="H28" s="9" t="str">
        <f>IFERROR((IF(VLOOKUP(A28,'ECN-ECO_DATA'!B:J,9,FALSE)=0/1/1900,"",VLOOKUP(A28,'ECN-ECO_DATA'!B:J,9,FALSE))),"")</f>
        <v/>
      </c>
      <c r="I28" s="10" t="str">
        <f>IFERROR((IF(VLOOKUP(A28,'ECN-ECO_DATA'!B:Q,13,FALSE)="","",VLOOKUP(A28,'ECN-ECO_DATA'!B:Q,13,FALSE))),"")</f>
        <v/>
      </c>
      <c r="J28" s="10" t="str">
        <f>IFERROR((IF(VLOOKUP(A28,'ECN-ECO_DATA'!B:Q,14,FALSE)="","",VLOOKUP(A28,'ECN-ECO_DATA'!B:Q,14,FALSE))),"")</f>
        <v/>
      </c>
      <c r="K28" s="10" t="str">
        <f>IFERROR((IF(VLOOKUP(A28,'ECN-ECO_DATA'!B:Q,15,FALSE)="","",VLOOKUP(A28,'ECN-ECO_DATA'!B:Q,15,FALSE))),"")</f>
        <v/>
      </c>
      <c r="L28" s="10" t="str">
        <f>IFERROR((IF(VLOOKUP(A28,'ECN-ECO_DATA'!B:Q,16,FALSE)="","",VLOOKUP(A28,'ECN-ECO_DATA'!B:Q,16,FALSE))),"")</f>
        <v/>
      </c>
      <c r="M28" s="9" t="str">
        <f>IFERROR((IF(VLOOKUP(A28,'ECN-ECO_DATA'!B:V,18,FALSE)=0/1/1900,"",VLOOKUP(A28,'ECN-ECO_DATA'!B:V,18,FALSE))),"")</f>
        <v/>
      </c>
      <c r="N28" s="9" t="str">
        <f>IFERROR((IF(VLOOKUP(A28,'ECN-ECO_DATA'!B:V,19,FALSE)=0/1/1900,"",VLOOKUP(A28,'ECN-ECO_DATA'!B:V,19,FALSE))),"")</f>
        <v/>
      </c>
      <c r="O28" s="9" t="str">
        <f>IFERROR((IF(VLOOKUP(A28,'ECN-ECO_DATA'!B:V,20,FALSE)=0/1/1900,"",VLOOKUP(A28,'ECN-ECO_DATA'!B:V,20,FALSE))),"")</f>
        <v/>
      </c>
      <c r="P28" s="9" t="str">
        <f>IFERROR((IF(VLOOKUP(A28,'ECN-ECO_DATA'!B:V,21,FALSE)=0/1/1900,"",VLOOKUP(A28,'ECN-ECO_DATA'!B:V,21,FALSE))),"")</f>
        <v/>
      </c>
      <c r="Q28" s="10" t="str">
        <f t="shared" ca="1" si="0"/>
        <v/>
      </c>
      <c r="R28" s="4" t="str">
        <f t="shared" si="1"/>
        <v/>
      </c>
      <c r="S28" s="4" t="str">
        <f t="shared" si="2"/>
        <v/>
      </c>
      <c r="T28" s="4" t="str">
        <f t="shared" si="3"/>
        <v/>
      </c>
      <c r="U28" s="10" t="str">
        <f t="shared" si="4"/>
        <v/>
      </c>
      <c r="V28" s="4"/>
    </row>
    <row r="29" spans="2:22" x14ac:dyDescent="0.25">
      <c r="B29" s="4" t="str">
        <f>IFERROR(VLOOKUP(A29,'ECN-ECO_DATA'!B:G,4,FALSE),"")</f>
        <v/>
      </c>
      <c r="C29" s="9" t="str">
        <f>IFERROR(VLOOKUP(A29,'ECN-ECO_DATA'!B:G,5,FALSE),"")</f>
        <v/>
      </c>
      <c r="D29" s="9" t="str">
        <f ca="1">IFERROR((IF(VLOOKUP(A29,'ECN-ECO_DATA'!B:G,6,FALSE)=0/1/1900,TODAY(),VLOOKUP(A29,'ECN-ECO_DATA'!B:G,6,FALSE))),"")</f>
        <v/>
      </c>
      <c r="E29" s="9" t="str">
        <f>IFERROR((IF(VLOOKUP(A29,'ECN-ECO_DATA'!B:G,6,FALSE)=0/1/1900,"",VLOOKUP(A29,'ECN-ECO_DATA'!B:G,6,FALSE))),"")</f>
        <v/>
      </c>
      <c r="F29" s="9" t="str">
        <f>IFERROR((IF(VLOOKUP(A29,'ECN-ECO_DATA'!B:J,7,FALSE)=0/1/1900,"",VLOOKUP(A29,'ECN-ECO_DATA'!B:J,7,FALSE))),"")</f>
        <v/>
      </c>
      <c r="G29" s="9" t="str">
        <f>IFERROR((IF(VLOOKUP(A29,'ECN-ECO_DATA'!B:J,8,FALSE)=0/1/1900,"",VLOOKUP(A29,'ECN-ECO_DATA'!B:J,8,FALSE))),"")</f>
        <v/>
      </c>
      <c r="H29" s="9" t="str">
        <f>IFERROR((IF(VLOOKUP(A29,'ECN-ECO_DATA'!B:J,9,FALSE)=0/1/1900,"",VLOOKUP(A29,'ECN-ECO_DATA'!B:J,9,FALSE))),"")</f>
        <v/>
      </c>
      <c r="I29" s="10" t="str">
        <f>IFERROR((IF(VLOOKUP(A29,'ECN-ECO_DATA'!B:Q,13,FALSE)="","",VLOOKUP(A29,'ECN-ECO_DATA'!B:Q,13,FALSE))),"")</f>
        <v/>
      </c>
      <c r="J29" s="10" t="str">
        <f>IFERROR((IF(VLOOKUP(A29,'ECN-ECO_DATA'!B:Q,14,FALSE)="","",VLOOKUP(A29,'ECN-ECO_DATA'!B:Q,14,FALSE))),"")</f>
        <v/>
      </c>
      <c r="K29" s="10" t="str">
        <f>IFERROR((IF(VLOOKUP(A29,'ECN-ECO_DATA'!B:Q,15,FALSE)="","",VLOOKUP(A29,'ECN-ECO_DATA'!B:Q,15,FALSE))),"")</f>
        <v/>
      </c>
      <c r="L29" s="10" t="str">
        <f>IFERROR((IF(VLOOKUP(A29,'ECN-ECO_DATA'!B:Q,16,FALSE)="","",VLOOKUP(A29,'ECN-ECO_DATA'!B:Q,16,FALSE))),"")</f>
        <v/>
      </c>
      <c r="M29" s="9" t="str">
        <f>IFERROR((IF(VLOOKUP(A29,'ECN-ECO_DATA'!B:V,18,FALSE)=0/1/1900,"",VLOOKUP(A29,'ECN-ECO_DATA'!B:V,18,FALSE))),"")</f>
        <v/>
      </c>
      <c r="N29" s="9" t="str">
        <f>IFERROR((IF(VLOOKUP(A29,'ECN-ECO_DATA'!B:V,19,FALSE)=0/1/1900,"",VLOOKUP(A29,'ECN-ECO_DATA'!B:V,19,FALSE))),"")</f>
        <v/>
      </c>
      <c r="O29" s="9" t="str">
        <f>IFERROR((IF(VLOOKUP(A29,'ECN-ECO_DATA'!B:V,20,FALSE)=0/1/1900,"",VLOOKUP(A29,'ECN-ECO_DATA'!B:V,20,FALSE))),"")</f>
        <v/>
      </c>
      <c r="P29" s="9" t="str">
        <f>IFERROR((IF(VLOOKUP(A29,'ECN-ECO_DATA'!B:V,21,FALSE)=0/1/1900,"",VLOOKUP(A29,'ECN-ECO_DATA'!B:V,21,FALSE))),"")</f>
        <v/>
      </c>
      <c r="Q29" s="10" t="str">
        <f t="shared" ca="1" si="0"/>
        <v/>
      </c>
      <c r="R29" s="4" t="str">
        <f t="shared" si="1"/>
        <v/>
      </c>
      <c r="S29" s="4" t="str">
        <f t="shared" si="2"/>
        <v/>
      </c>
      <c r="T29" s="4" t="str">
        <f t="shared" si="3"/>
        <v/>
      </c>
      <c r="U29" s="10" t="str">
        <f t="shared" si="4"/>
        <v/>
      </c>
      <c r="V29" s="4"/>
    </row>
    <row r="30" spans="2:22" x14ac:dyDescent="0.25">
      <c r="B30" s="4" t="str">
        <f>IFERROR(VLOOKUP(A30,'ECN-ECO_DATA'!B:G,4,FALSE),"")</f>
        <v/>
      </c>
      <c r="C30" s="9" t="str">
        <f>IFERROR(VLOOKUP(A30,'ECN-ECO_DATA'!B:G,5,FALSE),"")</f>
        <v/>
      </c>
      <c r="D30" s="9" t="str">
        <f ca="1">IFERROR((IF(VLOOKUP(A30,'ECN-ECO_DATA'!B:G,6,FALSE)=0/1/1900,TODAY(),VLOOKUP(A30,'ECN-ECO_DATA'!B:G,6,FALSE))),"")</f>
        <v/>
      </c>
      <c r="E30" s="9" t="str">
        <f>IFERROR((IF(VLOOKUP(A30,'ECN-ECO_DATA'!B:G,6,FALSE)=0/1/1900,"",VLOOKUP(A30,'ECN-ECO_DATA'!B:G,6,FALSE))),"")</f>
        <v/>
      </c>
      <c r="F30" s="9" t="str">
        <f>IFERROR((IF(VLOOKUP(A30,'ECN-ECO_DATA'!B:J,7,FALSE)=0/1/1900,"",VLOOKUP(A30,'ECN-ECO_DATA'!B:J,7,FALSE))),"")</f>
        <v/>
      </c>
      <c r="G30" s="9" t="str">
        <f>IFERROR((IF(VLOOKUP(A30,'ECN-ECO_DATA'!B:J,8,FALSE)=0/1/1900,"",VLOOKUP(A30,'ECN-ECO_DATA'!B:J,8,FALSE))),"")</f>
        <v/>
      </c>
      <c r="H30" s="9" t="str">
        <f>IFERROR((IF(VLOOKUP(A30,'ECN-ECO_DATA'!B:J,9,FALSE)=0/1/1900,"",VLOOKUP(A30,'ECN-ECO_DATA'!B:J,9,FALSE))),"")</f>
        <v/>
      </c>
      <c r="I30" s="10" t="str">
        <f>IFERROR((IF(VLOOKUP(A30,'ECN-ECO_DATA'!B:Q,13,FALSE)="","",VLOOKUP(A30,'ECN-ECO_DATA'!B:Q,13,FALSE))),"")</f>
        <v/>
      </c>
      <c r="J30" s="10" t="str">
        <f>IFERROR((IF(VLOOKUP(A30,'ECN-ECO_DATA'!B:Q,14,FALSE)="","",VLOOKUP(A30,'ECN-ECO_DATA'!B:Q,14,FALSE))),"")</f>
        <v/>
      </c>
      <c r="K30" s="10" t="str">
        <f>IFERROR((IF(VLOOKUP(A30,'ECN-ECO_DATA'!B:Q,15,FALSE)="","",VLOOKUP(A30,'ECN-ECO_DATA'!B:Q,15,FALSE))),"")</f>
        <v/>
      </c>
      <c r="L30" s="10" t="str">
        <f>IFERROR((IF(VLOOKUP(A30,'ECN-ECO_DATA'!B:Q,16,FALSE)="","",VLOOKUP(A30,'ECN-ECO_DATA'!B:Q,16,FALSE))),"")</f>
        <v/>
      </c>
      <c r="M30" s="9" t="str">
        <f>IFERROR((IF(VLOOKUP(A30,'ECN-ECO_DATA'!B:V,18,FALSE)=0/1/1900,"",VLOOKUP(A30,'ECN-ECO_DATA'!B:V,18,FALSE))),"")</f>
        <v/>
      </c>
      <c r="N30" s="9" t="str">
        <f>IFERROR((IF(VLOOKUP(A30,'ECN-ECO_DATA'!B:V,19,FALSE)=0/1/1900,"",VLOOKUP(A30,'ECN-ECO_DATA'!B:V,19,FALSE))),"")</f>
        <v/>
      </c>
      <c r="O30" s="9" t="str">
        <f>IFERROR((IF(VLOOKUP(A30,'ECN-ECO_DATA'!B:V,20,FALSE)=0/1/1900,"",VLOOKUP(A30,'ECN-ECO_DATA'!B:V,20,FALSE))),"")</f>
        <v/>
      </c>
      <c r="P30" s="9" t="str">
        <f>IFERROR((IF(VLOOKUP(A30,'ECN-ECO_DATA'!B:V,21,FALSE)=0/1/1900,"",VLOOKUP(A30,'ECN-ECO_DATA'!B:V,21,FALSE))),"")</f>
        <v/>
      </c>
      <c r="Q30" s="10" t="str">
        <f t="shared" ca="1" si="0"/>
        <v/>
      </c>
      <c r="R30" s="4" t="str">
        <f t="shared" si="1"/>
        <v/>
      </c>
      <c r="S30" s="4" t="str">
        <f t="shared" si="2"/>
        <v/>
      </c>
      <c r="T30" s="4" t="str">
        <f t="shared" si="3"/>
        <v/>
      </c>
      <c r="U30" s="10" t="str">
        <f t="shared" si="4"/>
        <v/>
      </c>
      <c r="V30" s="4"/>
    </row>
    <row r="31" spans="2:22" x14ac:dyDescent="0.25">
      <c r="B31" s="4" t="str">
        <f>IFERROR(VLOOKUP(A31,'ECN-ECO_DATA'!B:G,4,FALSE),"")</f>
        <v/>
      </c>
      <c r="C31" s="9" t="str">
        <f>IFERROR(VLOOKUP(A31,'ECN-ECO_DATA'!B:G,5,FALSE),"")</f>
        <v/>
      </c>
      <c r="D31" s="9" t="str">
        <f ca="1">IFERROR((IF(VLOOKUP(A31,'ECN-ECO_DATA'!B:G,6,FALSE)=0/1/1900,TODAY(),VLOOKUP(A31,'ECN-ECO_DATA'!B:G,6,FALSE))),"")</f>
        <v/>
      </c>
      <c r="E31" s="9" t="str">
        <f>IFERROR((IF(VLOOKUP(A31,'ECN-ECO_DATA'!B:G,6,FALSE)=0/1/1900,"",VLOOKUP(A31,'ECN-ECO_DATA'!B:G,6,FALSE))),"")</f>
        <v/>
      </c>
      <c r="F31" s="9" t="str">
        <f>IFERROR((IF(VLOOKUP(A31,'ECN-ECO_DATA'!B:J,7,FALSE)=0/1/1900,"",VLOOKUP(A31,'ECN-ECO_DATA'!B:J,7,FALSE))),"")</f>
        <v/>
      </c>
      <c r="G31" s="9" t="str">
        <f>IFERROR((IF(VLOOKUP(A31,'ECN-ECO_DATA'!B:J,8,FALSE)=0/1/1900,"",VLOOKUP(A31,'ECN-ECO_DATA'!B:J,8,FALSE))),"")</f>
        <v/>
      </c>
      <c r="H31" s="9" t="str">
        <f>IFERROR((IF(VLOOKUP(A31,'ECN-ECO_DATA'!B:J,9,FALSE)=0/1/1900,"",VLOOKUP(A31,'ECN-ECO_DATA'!B:J,9,FALSE))),"")</f>
        <v/>
      </c>
      <c r="I31" s="10" t="str">
        <f>IFERROR((IF(VLOOKUP(A31,'ECN-ECO_DATA'!B:Q,13,FALSE)="","",VLOOKUP(A31,'ECN-ECO_DATA'!B:Q,13,FALSE))),"")</f>
        <v/>
      </c>
      <c r="J31" s="10" t="str">
        <f>IFERROR((IF(VLOOKUP(A31,'ECN-ECO_DATA'!B:Q,14,FALSE)="","",VLOOKUP(A31,'ECN-ECO_DATA'!B:Q,14,FALSE))),"")</f>
        <v/>
      </c>
      <c r="K31" s="10" t="str">
        <f>IFERROR((IF(VLOOKUP(A31,'ECN-ECO_DATA'!B:Q,15,FALSE)="","",VLOOKUP(A31,'ECN-ECO_DATA'!B:Q,15,FALSE))),"")</f>
        <v/>
      </c>
      <c r="L31" s="10" t="str">
        <f>IFERROR((IF(VLOOKUP(A31,'ECN-ECO_DATA'!B:Q,16,FALSE)="","",VLOOKUP(A31,'ECN-ECO_DATA'!B:Q,16,FALSE))),"")</f>
        <v/>
      </c>
      <c r="M31" s="9" t="str">
        <f>IFERROR((IF(VLOOKUP(A31,'ECN-ECO_DATA'!B:V,18,FALSE)=0/1/1900,"",VLOOKUP(A31,'ECN-ECO_DATA'!B:V,18,FALSE))),"")</f>
        <v/>
      </c>
      <c r="N31" s="9" t="str">
        <f>IFERROR((IF(VLOOKUP(A31,'ECN-ECO_DATA'!B:V,19,FALSE)=0/1/1900,"",VLOOKUP(A31,'ECN-ECO_DATA'!B:V,19,FALSE))),"")</f>
        <v/>
      </c>
      <c r="O31" s="9" t="str">
        <f>IFERROR((IF(VLOOKUP(A31,'ECN-ECO_DATA'!B:V,20,FALSE)=0/1/1900,"",VLOOKUP(A31,'ECN-ECO_DATA'!B:V,20,FALSE))),"")</f>
        <v/>
      </c>
      <c r="P31" s="9" t="str">
        <f>IFERROR((IF(VLOOKUP(A31,'ECN-ECO_DATA'!B:V,21,FALSE)=0/1/1900,"",VLOOKUP(A31,'ECN-ECO_DATA'!B:V,21,FALSE))),"")</f>
        <v/>
      </c>
      <c r="Q31" s="10" t="str">
        <f t="shared" ca="1" si="0"/>
        <v/>
      </c>
      <c r="R31" s="4" t="str">
        <f t="shared" si="1"/>
        <v/>
      </c>
      <c r="S31" s="4" t="str">
        <f t="shared" si="2"/>
        <v/>
      </c>
      <c r="T31" s="4" t="str">
        <f t="shared" si="3"/>
        <v/>
      </c>
      <c r="U31" s="10" t="str">
        <f t="shared" si="4"/>
        <v/>
      </c>
      <c r="V31" s="4"/>
    </row>
    <row r="32" spans="2:22" x14ac:dyDescent="0.25">
      <c r="B32" s="4" t="str">
        <f>IFERROR(VLOOKUP(A32,'ECN-ECO_DATA'!B:G,4,FALSE),"")</f>
        <v/>
      </c>
      <c r="C32" s="9" t="str">
        <f>IFERROR(VLOOKUP(A32,'ECN-ECO_DATA'!B:G,5,FALSE),"")</f>
        <v/>
      </c>
      <c r="D32" s="9" t="str">
        <f ca="1">IFERROR((IF(VLOOKUP(A32,'ECN-ECO_DATA'!B:G,6,FALSE)=0/1/1900,TODAY(),VLOOKUP(A32,'ECN-ECO_DATA'!B:G,6,FALSE))),"")</f>
        <v/>
      </c>
      <c r="E32" s="9" t="str">
        <f>IFERROR((IF(VLOOKUP(A32,'ECN-ECO_DATA'!B:G,6,FALSE)=0/1/1900,"",VLOOKUP(A32,'ECN-ECO_DATA'!B:G,6,FALSE))),"")</f>
        <v/>
      </c>
      <c r="F32" s="9" t="str">
        <f>IFERROR((IF(VLOOKUP(A32,'ECN-ECO_DATA'!B:J,7,FALSE)=0/1/1900,"",VLOOKUP(A32,'ECN-ECO_DATA'!B:J,7,FALSE))),"")</f>
        <v/>
      </c>
      <c r="G32" s="9" t="str">
        <f>IFERROR((IF(VLOOKUP(A32,'ECN-ECO_DATA'!B:J,8,FALSE)=0/1/1900,"",VLOOKUP(A32,'ECN-ECO_DATA'!B:J,8,FALSE))),"")</f>
        <v/>
      </c>
      <c r="H32" s="9" t="str">
        <f>IFERROR((IF(VLOOKUP(A32,'ECN-ECO_DATA'!B:J,9,FALSE)=0/1/1900,"",VLOOKUP(A32,'ECN-ECO_DATA'!B:J,9,FALSE))),"")</f>
        <v/>
      </c>
      <c r="I32" s="10" t="str">
        <f>IFERROR((IF(VLOOKUP(A32,'ECN-ECO_DATA'!B:Q,13,FALSE)="","",VLOOKUP(A32,'ECN-ECO_DATA'!B:Q,13,FALSE))),"")</f>
        <v/>
      </c>
      <c r="J32" s="10" t="str">
        <f>IFERROR((IF(VLOOKUP(A32,'ECN-ECO_DATA'!B:Q,14,FALSE)="","",VLOOKUP(A32,'ECN-ECO_DATA'!B:Q,14,FALSE))),"")</f>
        <v/>
      </c>
      <c r="K32" s="10" t="str">
        <f>IFERROR((IF(VLOOKUP(A32,'ECN-ECO_DATA'!B:Q,15,FALSE)="","",VLOOKUP(A32,'ECN-ECO_DATA'!B:Q,15,FALSE))),"")</f>
        <v/>
      </c>
      <c r="L32" s="10" t="str">
        <f>IFERROR((IF(VLOOKUP(A32,'ECN-ECO_DATA'!B:Q,16,FALSE)="","",VLOOKUP(A32,'ECN-ECO_DATA'!B:Q,16,FALSE))),"")</f>
        <v/>
      </c>
      <c r="M32" s="9" t="str">
        <f>IFERROR((IF(VLOOKUP(A32,'ECN-ECO_DATA'!B:V,18,FALSE)=0/1/1900,"",VLOOKUP(A32,'ECN-ECO_DATA'!B:V,18,FALSE))),"")</f>
        <v/>
      </c>
      <c r="N32" s="9" t="str">
        <f>IFERROR((IF(VLOOKUP(A32,'ECN-ECO_DATA'!B:V,19,FALSE)=0/1/1900,"",VLOOKUP(A32,'ECN-ECO_DATA'!B:V,19,FALSE))),"")</f>
        <v/>
      </c>
      <c r="O32" s="9" t="str">
        <f>IFERROR((IF(VLOOKUP(A32,'ECN-ECO_DATA'!B:V,20,FALSE)=0/1/1900,"",VLOOKUP(A32,'ECN-ECO_DATA'!B:V,20,FALSE))),"")</f>
        <v/>
      </c>
      <c r="P32" s="9" t="str">
        <f>IFERROR((IF(VLOOKUP(A32,'ECN-ECO_DATA'!B:V,21,FALSE)=0/1/1900,"",VLOOKUP(A32,'ECN-ECO_DATA'!B:V,21,FALSE))),"")</f>
        <v/>
      </c>
      <c r="Q32" s="10" t="str">
        <f t="shared" ca="1" si="0"/>
        <v/>
      </c>
      <c r="R32" s="4" t="str">
        <f t="shared" si="1"/>
        <v/>
      </c>
      <c r="S32" s="4" t="str">
        <f t="shared" si="2"/>
        <v/>
      </c>
      <c r="T32" s="4" t="str">
        <f t="shared" si="3"/>
        <v/>
      </c>
      <c r="U32" s="10" t="str">
        <f t="shared" si="4"/>
        <v/>
      </c>
      <c r="V32" s="4"/>
    </row>
    <row r="33" spans="2:22" x14ac:dyDescent="0.25">
      <c r="B33" s="4" t="str">
        <f>IFERROR(VLOOKUP(A33,'ECN-ECO_DATA'!B:G,4,FALSE),"")</f>
        <v/>
      </c>
      <c r="C33" s="9" t="str">
        <f>IFERROR(VLOOKUP(A33,'ECN-ECO_DATA'!B:G,5,FALSE),"")</f>
        <v/>
      </c>
      <c r="D33" s="9" t="str">
        <f ca="1">IFERROR((IF(VLOOKUP(A33,'ECN-ECO_DATA'!B:G,6,FALSE)=0/1/1900,TODAY(),VLOOKUP(A33,'ECN-ECO_DATA'!B:G,6,FALSE))),"")</f>
        <v/>
      </c>
      <c r="E33" s="9" t="str">
        <f>IFERROR((IF(VLOOKUP(A33,'ECN-ECO_DATA'!B:G,6,FALSE)=0/1/1900,"",VLOOKUP(A33,'ECN-ECO_DATA'!B:G,6,FALSE))),"")</f>
        <v/>
      </c>
      <c r="F33" s="9" t="str">
        <f>IFERROR((IF(VLOOKUP(A33,'ECN-ECO_DATA'!B:J,7,FALSE)=0/1/1900,"",VLOOKUP(A33,'ECN-ECO_DATA'!B:J,7,FALSE))),"")</f>
        <v/>
      </c>
      <c r="G33" s="9" t="str">
        <f>IFERROR((IF(VLOOKUP(A33,'ECN-ECO_DATA'!B:J,8,FALSE)=0/1/1900,"",VLOOKUP(A33,'ECN-ECO_DATA'!B:J,8,FALSE))),"")</f>
        <v/>
      </c>
      <c r="H33" s="9" t="str">
        <f>IFERROR((IF(VLOOKUP(A33,'ECN-ECO_DATA'!B:J,9,FALSE)=0/1/1900,"",VLOOKUP(A33,'ECN-ECO_DATA'!B:J,9,FALSE))),"")</f>
        <v/>
      </c>
      <c r="I33" s="10" t="str">
        <f>IFERROR((IF(VLOOKUP(A33,'ECN-ECO_DATA'!B:Q,13,FALSE)="","",VLOOKUP(A33,'ECN-ECO_DATA'!B:Q,13,FALSE))),"")</f>
        <v/>
      </c>
      <c r="J33" s="10" t="str">
        <f>IFERROR((IF(VLOOKUP(A33,'ECN-ECO_DATA'!B:Q,14,FALSE)="","",VLOOKUP(A33,'ECN-ECO_DATA'!B:Q,14,FALSE))),"")</f>
        <v/>
      </c>
      <c r="K33" s="10" t="str">
        <f>IFERROR((IF(VLOOKUP(A33,'ECN-ECO_DATA'!B:Q,15,FALSE)="","",VLOOKUP(A33,'ECN-ECO_DATA'!B:Q,15,FALSE))),"")</f>
        <v/>
      </c>
      <c r="L33" s="10" t="str">
        <f>IFERROR((IF(VLOOKUP(A33,'ECN-ECO_DATA'!B:Q,16,FALSE)="","",VLOOKUP(A33,'ECN-ECO_DATA'!B:Q,16,FALSE))),"")</f>
        <v/>
      </c>
      <c r="M33" s="9" t="str">
        <f>IFERROR((IF(VLOOKUP(A33,'ECN-ECO_DATA'!B:V,18,FALSE)=0/1/1900,"",VLOOKUP(A33,'ECN-ECO_DATA'!B:V,18,FALSE))),"")</f>
        <v/>
      </c>
      <c r="N33" s="9" t="str">
        <f>IFERROR((IF(VLOOKUP(A33,'ECN-ECO_DATA'!B:V,19,FALSE)=0/1/1900,"",VLOOKUP(A33,'ECN-ECO_DATA'!B:V,19,FALSE))),"")</f>
        <v/>
      </c>
      <c r="O33" s="9" t="str">
        <f>IFERROR((IF(VLOOKUP(A33,'ECN-ECO_DATA'!B:V,20,FALSE)=0/1/1900,"",VLOOKUP(A33,'ECN-ECO_DATA'!B:V,20,FALSE))),"")</f>
        <v/>
      </c>
      <c r="P33" s="9" t="str">
        <f>IFERROR((IF(VLOOKUP(A33,'ECN-ECO_DATA'!B:V,21,FALSE)=0/1/1900,"",VLOOKUP(A33,'ECN-ECO_DATA'!B:V,21,FALSE))),"")</f>
        <v/>
      </c>
      <c r="Q33" s="10" t="str">
        <f t="shared" ca="1" si="0"/>
        <v/>
      </c>
      <c r="R33" s="4" t="str">
        <f t="shared" si="1"/>
        <v/>
      </c>
      <c r="S33" s="4" t="str">
        <f t="shared" si="2"/>
        <v/>
      </c>
      <c r="T33" s="4" t="str">
        <f t="shared" si="3"/>
        <v/>
      </c>
      <c r="U33" s="10" t="str">
        <f t="shared" si="4"/>
        <v/>
      </c>
      <c r="V33" s="4"/>
    </row>
    <row r="34" spans="2:22" x14ac:dyDescent="0.25">
      <c r="B34" s="4" t="str">
        <f>IFERROR(VLOOKUP(A34,'ECN-ECO_DATA'!B:G,4,FALSE),"")</f>
        <v/>
      </c>
      <c r="C34" s="9" t="str">
        <f>IFERROR(VLOOKUP(A34,'ECN-ECO_DATA'!B:G,5,FALSE),"")</f>
        <v/>
      </c>
      <c r="D34" s="9" t="str">
        <f ca="1">IFERROR((IF(VLOOKUP(A34,'ECN-ECO_DATA'!B:G,6,FALSE)=0/1/1900,TODAY(),VLOOKUP(A34,'ECN-ECO_DATA'!B:G,6,FALSE))),"")</f>
        <v/>
      </c>
      <c r="E34" s="9" t="str">
        <f>IFERROR((IF(VLOOKUP(A34,'ECN-ECO_DATA'!B:G,6,FALSE)=0/1/1900,"",VLOOKUP(A34,'ECN-ECO_DATA'!B:G,6,FALSE))),"")</f>
        <v/>
      </c>
      <c r="F34" s="9" t="str">
        <f>IFERROR((IF(VLOOKUP(A34,'ECN-ECO_DATA'!B:J,7,FALSE)=0/1/1900,"",VLOOKUP(A34,'ECN-ECO_DATA'!B:J,7,FALSE))),"")</f>
        <v/>
      </c>
      <c r="G34" s="9" t="str">
        <f>IFERROR((IF(VLOOKUP(A34,'ECN-ECO_DATA'!B:J,8,FALSE)=0/1/1900,"",VLOOKUP(A34,'ECN-ECO_DATA'!B:J,8,FALSE))),"")</f>
        <v/>
      </c>
      <c r="H34" s="9" t="str">
        <f>IFERROR((IF(VLOOKUP(A34,'ECN-ECO_DATA'!B:J,9,FALSE)=0/1/1900,"",VLOOKUP(A34,'ECN-ECO_DATA'!B:J,9,FALSE))),"")</f>
        <v/>
      </c>
      <c r="I34" s="10" t="str">
        <f>IFERROR((IF(VLOOKUP(A34,'ECN-ECO_DATA'!B:Q,13,FALSE)="","",VLOOKUP(A34,'ECN-ECO_DATA'!B:Q,13,FALSE))),"")</f>
        <v/>
      </c>
      <c r="J34" s="10" t="str">
        <f>IFERROR((IF(VLOOKUP(A34,'ECN-ECO_DATA'!B:Q,14,FALSE)="","",VLOOKUP(A34,'ECN-ECO_DATA'!B:Q,14,FALSE))),"")</f>
        <v/>
      </c>
      <c r="K34" s="10" t="str">
        <f>IFERROR((IF(VLOOKUP(A34,'ECN-ECO_DATA'!B:Q,15,FALSE)="","",VLOOKUP(A34,'ECN-ECO_DATA'!B:Q,15,FALSE))),"")</f>
        <v/>
      </c>
      <c r="L34" s="10" t="str">
        <f>IFERROR((IF(VLOOKUP(A34,'ECN-ECO_DATA'!B:Q,16,FALSE)="","",VLOOKUP(A34,'ECN-ECO_DATA'!B:Q,16,FALSE))),"")</f>
        <v/>
      </c>
      <c r="M34" s="9" t="str">
        <f>IFERROR((IF(VLOOKUP(A34,'ECN-ECO_DATA'!B:V,18,FALSE)=0/1/1900,"",VLOOKUP(A34,'ECN-ECO_DATA'!B:V,18,FALSE))),"")</f>
        <v/>
      </c>
      <c r="N34" s="9" t="str">
        <f>IFERROR((IF(VLOOKUP(A34,'ECN-ECO_DATA'!B:V,19,FALSE)=0/1/1900,"",VLOOKUP(A34,'ECN-ECO_DATA'!B:V,19,FALSE))),"")</f>
        <v/>
      </c>
      <c r="O34" s="9" t="str">
        <f>IFERROR((IF(VLOOKUP(A34,'ECN-ECO_DATA'!B:V,20,FALSE)=0/1/1900,"",VLOOKUP(A34,'ECN-ECO_DATA'!B:V,20,FALSE))),"")</f>
        <v/>
      </c>
      <c r="P34" s="9" t="str">
        <f>IFERROR((IF(VLOOKUP(A34,'ECN-ECO_DATA'!B:V,21,FALSE)=0/1/1900,"",VLOOKUP(A34,'ECN-ECO_DATA'!B:V,21,FALSE))),"")</f>
        <v/>
      </c>
      <c r="Q34" s="10" t="str">
        <f t="shared" ca="1" si="0"/>
        <v/>
      </c>
      <c r="R34" s="4" t="str">
        <f t="shared" si="1"/>
        <v/>
      </c>
      <c r="S34" s="4" t="str">
        <f t="shared" si="2"/>
        <v/>
      </c>
      <c r="T34" s="4" t="str">
        <f t="shared" si="3"/>
        <v/>
      </c>
      <c r="U34" s="10" t="str">
        <f t="shared" si="4"/>
        <v/>
      </c>
      <c r="V34" s="4"/>
    </row>
    <row r="35" spans="2:22" x14ac:dyDescent="0.25">
      <c r="B35" s="4" t="str">
        <f>IFERROR(VLOOKUP(A35,'ECN-ECO_DATA'!B:G,4,FALSE),"")</f>
        <v/>
      </c>
      <c r="C35" s="9" t="str">
        <f>IFERROR(VLOOKUP(A35,'ECN-ECO_DATA'!B:G,5,FALSE),"")</f>
        <v/>
      </c>
      <c r="D35" s="9" t="str">
        <f ca="1">IFERROR((IF(VLOOKUP(A35,'ECN-ECO_DATA'!B:G,6,FALSE)=0/1/1900,TODAY(),VLOOKUP(A35,'ECN-ECO_DATA'!B:G,6,FALSE))),"")</f>
        <v/>
      </c>
      <c r="E35" s="9" t="str">
        <f>IFERROR((IF(VLOOKUP(A35,'ECN-ECO_DATA'!B:G,6,FALSE)=0/1/1900,"",VLOOKUP(A35,'ECN-ECO_DATA'!B:G,6,FALSE))),"")</f>
        <v/>
      </c>
      <c r="F35" s="9" t="str">
        <f>IFERROR((IF(VLOOKUP(A35,'ECN-ECO_DATA'!B:J,7,FALSE)=0/1/1900,"",VLOOKUP(A35,'ECN-ECO_DATA'!B:J,7,FALSE))),"")</f>
        <v/>
      </c>
      <c r="G35" s="9" t="str">
        <f>IFERROR((IF(VLOOKUP(A35,'ECN-ECO_DATA'!B:J,8,FALSE)=0/1/1900,"",VLOOKUP(A35,'ECN-ECO_DATA'!B:J,8,FALSE))),"")</f>
        <v/>
      </c>
      <c r="H35" s="9" t="str">
        <f>IFERROR((IF(VLOOKUP(A35,'ECN-ECO_DATA'!B:J,9,FALSE)=0/1/1900,"",VLOOKUP(A35,'ECN-ECO_DATA'!B:J,9,FALSE))),"")</f>
        <v/>
      </c>
      <c r="I35" s="10" t="str">
        <f>IFERROR((IF(VLOOKUP(A35,'ECN-ECO_DATA'!B:Q,13,FALSE)="","",VLOOKUP(A35,'ECN-ECO_DATA'!B:Q,13,FALSE))),"")</f>
        <v/>
      </c>
      <c r="J35" s="10" t="str">
        <f>IFERROR((IF(VLOOKUP(A35,'ECN-ECO_DATA'!B:Q,14,FALSE)="","",VLOOKUP(A35,'ECN-ECO_DATA'!B:Q,14,FALSE))),"")</f>
        <v/>
      </c>
      <c r="K35" s="10" t="str">
        <f>IFERROR((IF(VLOOKUP(A35,'ECN-ECO_DATA'!B:Q,15,FALSE)="","",VLOOKUP(A35,'ECN-ECO_DATA'!B:Q,15,FALSE))),"")</f>
        <v/>
      </c>
      <c r="L35" s="10" t="str">
        <f>IFERROR((IF(VLOOKUP(A35,'ECN-ECO_DATA'!B:Q,16,FALSE)="","",VLOOKUP(A35,'ECN-ECO_DATA'!B:Q,16,FALSE))),"")</f>
        <v/>
      </c>
      <c r="M35" s="9" t="str">
        <f>IFERROR((IF(VLOOKUP(A35,'ECN-ECO_DATA'!B:V,18,FALSE)=0/1/1900,"",VLOOKUP(A35,'ECN-ECO_DATA'!B:V,18,FALSE))),"")</f>
        <v/>
      </c>
      <c r="N35" s="9" t="str">
        <f>IFERROR((IF(VLOOKUP(A35,'ECN-ECO_DATA'!B:V,19,FALSE)=0/1/1900,"",VLOOKUP(A35,'ECN-ECO_DATA'!B:V,19,FALSE))),"")</f>
        <v/>
      </c>
      <c r="O35" s="9" t="str">
        <f>IFERROR((IF(VLOOKUP(A35,'ECN-ECO_DATA'!B:V,20,FALSE)=0/1/1900,"",VLOOKUP(A35,'ECN-ECO_DATA'!B:V,20,FALSE))),"")</f>
        <v/>
      </c>
      <c r="P35" s="9" t="str">
        <f>IFERROR((IF(VLOOKUP(A35,'ECN-ECO_DATA'!B:V,21,FALSE)=0/1/1900,"",VLOOKUP(A35,'ECN-ECO_DATA'!B:V,21,FALSE))),"")</f>
        <v/>
      </c>
      <c r="Q35" s="10" t="str">
        <f t="shared" ca="1" si="0"/>
        <v/>
      </c>
      <c r="R35" s="4" t="str">
        <f t="shared" si="1"/>
        <v/>
      </c>
      <c r="S35" s="4" t="str">
        <f t="shared" si="2"/>
        <v/>
      </c>
      <c r="T35" s="4" t="str">
        <f t="shared" si="3"/>
        <v/>
      </c>
      <c r="U35" s="10" t="str">
        <f t="shared" si="4"/>
        <v/>
      </c>
      <c r="V35" s="4"/>
    </row>
    <row r="36" spans="2:22" x14ac:dyDescent="0.25">
      <c r="B36" s="4" t="str">
        <f>IFERROR(VLOOKUP(A36,'ECN-ECO_DATA'!B:G,4,FALSE),"")</f>
        <v/>
      </c>
      <c r="C36" s="9" t="str">
        <f>IFERROR(VLOOKUP(A36,'ECN-ECO_DATA'!B:G,5,FALSE),"")</f>
        <v/>
      </c>
      <c r="D36" s="9" t="str">
        <f ca="1">IFERROR((IF(VLOOKUP(A36,'ECN-ECO_DATA'!B:G,6,FALSE)=0/1/1900,TODAY(),VLOOKUP(A36,'ECN-ECO_DATA'!B:G,6,FALSE))),"")</f>
        <v/>
      </c>
      <c r="E36" s="9" t="str">
        <f>IFERROR((IF(VLOOKUP(A36,'ECN-ECO_DATA'!B:G,6,FALSE)=0/1/1900,"",VLOOKUP(A36,'ECN-ECO_DATA'!B:G,6,FALSE))),"")</f>
        <v/>
      </c>
      <c r="F36" s="9" t="str">
        <f>IFERROR((IF(VLOOKUP(A36,'ECN-ECO_DATA'!B:J,7,FALSE)=0/1/1900,"",VLOOKUP(A36,'ECN-ECO_DATA'!B:J,7,FALSE))),"")</f>
        <v/>
      </c>
      <c r="G36" s="9" t="str">
        <f>IFERROR((IF(VLOOKUP(A36,'ECN-ECO_DATA'!B:J,8,FALSE)=0/1/1900,"",VLOOKUP(A36,'ECN-ECO_DATA'!B:J,8,FALSE))),"")</f>
        <v/>
      </c>
      <c r="H36" s="9" t="str">
        <f>IFERROR((IF(VLOOKUP(A36,'ECN-ECO_DATA'!B:J,9,FALSE)=0/1/1900,"",VLOOKUP(A36,'ECN-ECO_DATA'!B:J,9,FALSE))),"")</f>
        <v/>
      </c>
      <c r="I36" s="10" t="str">
        <f>IFERROR((IF(VLOOKUP(A36,'ECN-ECO_DATA'!B:Q,13,FALSE)="","",VLOOKUP(A36,'ECN-ECO_DATA'!B:Q,13,FALSE))),"")</f>
        <v/>
      </c>
      <c r="J36" s="10" t="str">
        <f>IFERROR((IF(VLOOKUP(A36,'ECN-ECO_DATA'!B:Q,14,FALSE)="","",VLOOKUP(A36,'ECN-ECO_DATA'!B:Q,14,FALSE))),"")</f>
        <v/>
      </c>
      <c r="K36" s="10" t="str">
        <f>IFERROR((IF(VLOOKUP(A36,'ECN-ECO_DATA'!B:Q,15,FALSE)="","",VLOOKUP(A36,'ECN-ECO_DATA'!B:Q,15,FALSE))),"")</f>
        <v/>
      </c>
      <c r="L36" s="10" t="str">
        <f>IFERROR((IF(VLOOKUP(A36,'ECN-ECO_DATA'!B:Q,16,FALSE)="","",VLOOKUP(A36,'ECN-ECO_DATA'!B:Q,16,FALSE))),"")</f>
        <v/>
      </c>
      <c r="M36" s="9" t="str">
        <f>IFERROR((IF(VLOOKUP(A36,'ECN-ECO_DATA'!B:V,18,FALSE)=0/1/1900,"",VLOOKUP(A36,'ECN-ECO_DATA'!B:V,18,FALSE))),"")</f>
        <v/>
      </c>
      <c r="N36" s="9" t="str">
        <f>IFERROR((IF(VLOOKUP(A36,'ECN-ECO_DATA'!B:V,19,FALSE)=0/1/1900,"",VLOOKUP(A36,'ECN-ECO_DATA'!B:V,19,FALSE))),"")</f>
        <v/>
      </c>
      <c r="O36" s="9" t="str">
        <f>IFERROR((IF(VLOOKUP(A36,'ECN-ECO_DATA'!B:V,20,FALSE)=0/1/1900,"",VLOOKUP(A36,'ECN-ECO_DATA'!B:V,20,FALSE))),"")</f>
        <v/>
      </c>
      <c r="P36" s="9" t="str">
        <f>IFERROR((IF(VLOOKUP(A36,'ECN-ECO_DATA'!B:V,21,FALSE)=0/1/1900,"",VLOOKUP(A36,'ECN-ECO_DATA'!B:V,21,FALSE))),"")</f>
        <v/>
      </c>
      <c r="Q36" s="10" t="str">
        <f t="shared" ca="1" si="0"/>
        <v/>
      </c>
      <c r="R36" s="4" t="str">
        <f t="shared" si="1"/>
        <v/>
      </c>
      <c r="S36" s="4" t="str">
        <f t="shared" si="2"/>
        <v/>
      </c>
      <c r="T36" s="4" t="str">
        <f t="shared" si="3"/>
        <v/>
      </c>
      <c r="U36" s="10" t="str">
        <f t="shared" si="4"/>
        <v/>
      </c>
      <c r="V36" s="4"/>
    </row>
    <row r="37" spans="2:22" x14ac:dyDescent="0.25">
      <c r="B37" s="4" t="str">
        <f>IFERROR(VLOOKUP(A37,'ECN-ECO_DATA'!B:G,4,FALSE),"")</f>
        <v/>
      </c>
      <c r="C37" s="9" t="str">
        <f>IFERROR(VLOOKUP(A37,'ECN-ECO_DATA'!B:G,5,FALSE),"")</f>
        <v/>
      </c>
      <c r="D37" s="9" t="str">
        <f ca="1">IFERROR((IF(VLOOKUP(A37,'ECN-ECO_DATA'!B:G,6,FALSE)=0/1/1900,TODAY(),VLOOKUP(A37,'ECN-ECO_DATA'!B:G,6,FALSE))),"")</f>
        <v/>
      </c>
      <c r="E37" s="9" t="str">
        <f>IFERROR((IF(VLOOKUP(A37,'ECN-ECO_DATA'!B:G,6,FALSE)=0/1/1900,"",VLOOKUP(A37,'ECN-ECO_DATA'!B:G,6,FALSE))),"")</f>
        <v/>
      </c>
      <c r="F37" s="9" t="str">
        <f>IFERROR((IF(VLOOKUP(A37,'ECN-ECO_DATA'!B:J,7,FALSE)=0/1/1900,"",VLOOKUP(A37,'ECN-ECO_DATA'!B:J,7,FALSE))),"")</f>
        <v/>
      </c>
      <c r="G37" s="9" t="str">
        <f>IFERROR((IF(VLOOKUP(A37,'ECN-ECO_DATA'!B:J,8,FALSE)=0/1/1900,"",VLOOKUP(A37,'ECN-ECO_DATA'!B:J,8,FALSE))),"")</f>
        <v/>
      </c>
      <c r="H37" s="9" t="str">
        <f>IFERROR((IF(VLOOKUP(A37,'ECN-ECO_DATA'!B:J,9,FALSE)=0/1/1900,"",VLOOKUP(A37,'ECN-ECO_DATA'!B:J,9,FALSE))),"")</f>
        <v/>
      </c>
      <c r="I37" s="10" t="str">
        <f>IFERROR((IF(VLOOKUP(A37,'ECN-ECO_DATA'!B:Q,13,FALSE)="","",VLOOKUP(A37,'ECN-ECO_DATA'!B:Q,13,FALSE))),"")</f>
        <v/>
      </c>
      <c r="J37" s="10" t="str">
        <f>IFERROR((IF(VLOOKUP(A37,'ECN-ECO_DATA'!B:Q,14,FALSE)="","",VLOOKUP(A37,'ECN-ECO_DATA'!B:Q,14,FALSE))),"")</f>
        <v/>
      </c>
      <c r="K37" s="10" t="str">
        <f>IFERROR((IF(VLOOKUP(A37,'ECN-ECO_DATA'!B:Q,15,FALSE)="","",VLOOKUP(A37,'ECN-ECO_DATA'!B:Q,15,FALSE))),"")</f>
        <v/>
      </c>
      <c r="L37" s="10" t="str">
        <f>IFERROR((IF(VLOOKUP(A37,'ECN-ECO_DATA'!B:Q,16,FALSE)="","",VLOOKUP(A37,'ECN-ECO_DATA'!B:Q,16,FALSE))),"")</f>
        <v/>
      </c>
      <c r="M37" s="9" t="str">
        <f>IFERROR((IF(VLOOKUP(A37,'ECN-ECO_DATA'!B:V,18,FALSE)=0/1/1900,"",VLOOKUP(A37,'ECN-ECO_DATA'!B:V,18,FALSE))),"")</f>
        <v/>
      </c>
      <c r="N37" s="9" t="str">
        <f>IFERROR((IF(VLOOKUP(A37,'ECN-ECO_DATA'!B:V,19,FALSE)=0/1/1900,"",VLOOKUP(A37,'ECN-ECO_DATA'!B:V,19,FALSE))),"")</f>
        <v/>
      </c>
      <c r="O37" s="9" t="str">
        <f>IFERROR((IF(VLOOKUP(A37,'ECN-ECO_DATA'!B:V,20,FALSE)=0/1/1900,"",VLOOKUP(A37,'ECN-ECO_DATA'!B:V,20,FALSE))),"")</f>
        <v/>
      </c>
      <c r="P37" s="9" t="str">
        <f>IFERROR((IF(VLOOKUP(A37,'ECN-ECO_DATA'!B:V,21,FALSE)=0/1/1900,"",VLOOKUP(A37,'ECN-ECO_DATA'!B:V,21,FALSE))),"")</f>
        <v/>
      </c>
      <c r="Q37" s="10" t="str">
        <f t="shared" ca="1" si="0"/>
        <v/>
      </c>
      <c r="R37" s="4" t="str">
        <f t="shared" si="1"/>
        <v/>
      </c>
      <c r="S37" s="4" t="str">
        <f t="shared" si="2"/>
        <v/>
      </c>
      <c r="T37" s="4" t="str">
        <f t="shared" si="3"/>
        <v/>
      </c>
      <c r="U37" s="10" t="str">
        <f t="shared" si="4"/>
        <v/>
      </c>
      <c r="V37" s="4"/>
    </row>
    <row r="38" spans="2:22" x14ac:dyDescent="0.25">
      <c r="B38" s="4" t="str">
        <f>IFERROR(VLOOKUP(A38,'ECN-ECO_DATA'!B:G,4,FALSE),"")</f>
        <v/>
      </c>
      <c r="C38" s="9" t="str">
        <f>IFERROR(VLOOKUP(A38,'ECN-ECO_DATA'!B:G,5,FALSE),"")</f>
        <v/>
      </c>
      <c r="D38" s="9" t="str">
        <f ca="1">IFERROR((IF(VLOOKUP(A38,'ECN-ECO_DATA'!B:G,6,FALSE)=0/1/1900,TODAY(),VLOOKUP(A38,'ECN-ECO_DATA'!B:G,6,FALSE))),"")</f>
        <v/>
      </c>
      <c r="E38" s="9" t="str">
        <f>IFERROR((IF(VLOOKUP(A38,'ECN-ECO_DATA'!B:G,6,FALSE)=0/1/1900,"",VLOOKUP(A38,'ECN-ECO_DATA'!B:G,6,FALSE))),"")</f>
        <v/>
      </c>
      <c r="F38" s="9" t="str">
        <f>IFERROR((IF(VLOOKUP(A38,'ECN-ECO_DATA'!B:J,7,FALSE)=0/1/1900,"",VLOOKUP(A38,'ECN-ECO_DATA'!B:J,7,FALSE))),"")</f>
        <v/>
      </c>
      <c r="G38" s="9" t="str">
        <f>IFERROR((IF(VLOOKUP(A38,'ECN-ECO_DATA'!B:J,8,FALSE)=0/1/1900,"",VLOOKUP(A38,'ECN-ECO_DATA'!B:J,8,FALSE))),"")</f>
        <v/>
      </c>
      <c r="H38" s="9" t="str">
        <f>IFERROR((IF(VLOOKUP(A38,'ECN-ECO_DATA'!B:J,9,FALSE)=0/1/1900,"",VLOOKUP(A38,'ECN-ECO_DATA'!B:J,9,FALSE))),"")</f>
        <v/>
      </c>
      <c r="I38" s="10" t="str">
        <f>IFERROR((IF(VLOOKUP(A38,'ECN-ECO_DATA'!B:Q,13,FALSE)="","",VLOOKUP(A38,'ECN-ECO_DATA'!B:Q,13,FALSE))),"")</f>
        <v/>
      </c>
      <c r="J38" s="10" t="str">
        <f>IFERROR((IF(VLOOKUP(A38,'ECN-ECO_DATA'!B:Q,14,FALSE)="","",VLOOKUP(A38,'ECN-ECO_DATA'!B:Q,14,FALSE))),"")</f>
        <v/>
      </c>
      <c r="K38" s="10" t="str">
        <f>IFERROR((IF(VLOOKUP(A38,'ECN-ECO_DATA'!B:Q,15,FALSE)="","",VLOOKUP(A38,'ECN-ECO_DATA'!B:Q,15,FALSE))),"")</f>
        <v/>
      </c>
      <c r="L38" s="10" t="str">
        <f>IFERROR((IF(VLOOKUP(A38,'ECN-ECO_DATA'!B:Q,16,FALSE)="","",VLOOKUP(A38,'ECN-ECO_DATA'!B:Q,16,FALSE))),"")</f>
        <v/>
      </c>
      <c r="M38" s="9" t="str">
        <f>IFERROR((IF(VLOOKUP(A38,'ECN-ECO_DATA'!B:V,18,FALSE)=0/1/1900,"",VLOOKUP(A38,'ECN-ECO_DATA'!B:V,18,FALSE))),"")</f>
        <v/>
      </c>
      <c r="N38" s="9" t="str">
        <f>IFERROR((IF(VLOOKUP(A38,'ECN-ECO_DATA'!B:V,19,FALSE)=0/1/1900,"",VLOOKUP(A38,'ECN-ECO_DATA'!B:V,19,FALSE))),"")</f>
        <v/>
      </c>
      <c r="O38" s="9" t="str">
        <f>IFERROR((IF(VLOOKUP(A38,'ECN-ECO_DATA'!B:V,20,FALSE)=0/1/1900,"",VLOOKUP(A38,'ECN-ECO_DATA'!B:V,20,FALSE))),"")</f>
        <v/>
      </c>
      <c r="P38" s="9" t="str">
        <f>IFERROR((IF(VLOOKUP(A38,'ECN-ECO_DATA'!B:V,21,FALSE)=0/1/1900,"",VLOOKUP(A38,'ECN-ECO_DATA'!B:V,21,FALSE))),"")</f>
        <v/>
      </c>
      <c r="Q38" s="10" t="str">
        <f t="shared" ca="1" si="0"/>
        <v/>
      </c>
      <c r="R38" s="4" t="str">
        <f t="shared" si="1"/>
        <v/>
      </c>
      <c r="S38" s="4" t="str">
        <f t="shared" si="2"/>
        <v/>
      </c>
      <c r="T38" s="4" t="str">
        <f t="shared" si="3"/>
        <v/>
      </c>
      <c r="U38" s="10" t="str">
        <f t="shared" si="4"/>
        <v/>
      </c>
      <c r="V38" s="4"/>
    </row>
    <row r="39" spans="2:22" x14ac:dyDescent="0.25">
      <c r="B39" s="4" t="str">
        <f>IFERROR(VLOOKUP(A39,'ECN-ECO_DATA'!B:G,4,FALSE),"")</f>
        <v/>
      </c>
      <c r="C39" s="9" t="str">
        <f>IFERROR(VLOOKUP(A39,'ECN-ECO_DATA'!B:G,5,FALSE),"")</f>
        <v/>
      </c>
      <c r="D39" s="9" t="str">
        <f ca="1">IFERROR((IF(VLOOKUP(A39,'ECN-ECO_DATA'!B:G,6,FALSE)=0/1/1900,TODAY(),VLOOKUP(A39,'ECN-ECO_DATA'!B:G,6,FALSE))),"")</f>
        <v/>
      </c>
      <c r="E39" s="9" t="str">
        <f>IFERROR((IF(VLOOKUP(A39,'ECN-ECO_DATA'!B:G,6,FALSE)=0/1/1900,"",VLOOKUP(A39,'ECN-ECO_DATA'!B:G,6,FALSE))),"")</f>
        <v/>
      </c>
      <c r="F39" s="9" t="str">
        <f>IFERROR((IF(VLOOKUP(A39,'ECN-ECO_DATA'!B:J,7,FALSE)=0/1/1900,"",VLOOKUP(A39,'ECN-ECO_DATA'!B:J,7,FALSE))),"")</f>
        <v/>
      </c>
      <c r="G39" s="9" t="str">
        <f>IFERROR((IF(VLOOKUP(A39,'ECN-ECO_DATA'!B:J,8,FALSE)=0/1/1900,"",VLOOKUP(A39,'ECN-ECO_DATA'!B:J,8,FALSE))),"")</f>
        <v/>
      </c>
      <c r="H39" s="9" t="str">
        <f>IFERROR((IF(VLOOKUP(A39,'ECN-ECO_DATA'!B:J,9,FALSE)=0/1/1900,"",VLOOKUP(A39,'ECN-ECO_DATA'!B:J,9,FALSE))),"")</f>
        <v/>
      </c>
      <c r="I39" s="10" t="str">
        <f>IFERROR((IF(VLOOKUP(A39,'ECN-ECO_DATA'!B:Q,13,FALSE)="","",VLOOKUP(A39,'ECN-ECO_DATA'!B:Q,13,FALSE))),"")</f>
        <v/>
      </c>
      <c r="J39" s="10" t="str">
        <f>IFERROR((IF(VLOOKUP(A39,'ECN-ECO_DATA'!B:Q,14,FALSE)="","",VLOOKUP(A39,'ECN-ECO_DATA'!B:Q,14,FALSE))),"")</f>
        <v/>
      </c>
      <c r="K39" s="10" t="str">
        <f>IFERROR((IF(VLOOKUP(A39,'ECN-ECO_DATA'!B:Q,15,FALSE)="","",VLOOKUP(A39,'ECN-ECO_DATA'!B:Q,15,FALSE))),"")</f>
        <v/>
      </c>
      <c r="L39" s="10" t="str">
        <f>IFERROR((IF(VLOOKUP(A39,'ECN-ECO_DATA'!B:Q,16,FALSE)="","",VLOOKUP(A39,'ECN-ECO_DATA'!B:Q,16,FALSE))),"")</f>
        <v/>
      </c>
      <c r="M39" s="9" t="str">
        <f>IFERROR((IF(VLOOKUP(A39,'ECN-ECO_DATA'!B:V,18,FALSE)=0/1/1900,"",VLOOKUP(A39,'ECN-ECO_DATA'!B:V,18,FALSE))),"")</f>
        <v/>
      </c>
      <c r="N39" s="9" t="str">
        <f>IFERROR((IF(VLOOKUP(A39,'ECN-ECO_DATA'!B:V,19,FALSE)=0/1/1900,"",VLOOKUP(A39,'ECN-ECO_DATA'!B:V,19,FALSE))),"")</f>
        <v/>
      </c>
      <c r="O39" s="9" t="str">
        <f>IFERROR((IF(VLOOKUP(A39,'ECN-ECO_DATA'!B:V,20,FALSE)=0/1/1900,"",VLOOKUP(A39,'ECN-ECO_DATA'!B:V,20,FALSE))),"")</f>
        <v/>
      </c>
      <c r="P39" s="9" t="str">
        <f>IFERROR((IF(VLOOKUP(A39,'ECN-ECO_DATA'!B:V,21,FALSE)=0/1/1900,"",VLOOKUP(A39,'ECN-ECO_DATA'!B:V,21,FALSE))),"")</f>
        <v/>
      </c>
      <c r="Q39" s="10" t="str">
        <f t="shared" ca="1" si="0"/>
        <v/>
      </c>
      <c r="R39" s="4" t="str">
        <f t="shared" si="1"/>
        <v/>
      </c>
      <c r="S39" s="4" t="str">
        <f t="shared" si="2"/>
        <v/>
      </c>
      <c r="T39" s="4" t="str">
        <f t="shared" si="3"/>
        <v/>
      </c>
      <c r="U39" s="10" t="str">
        <f t="shared" si="4"/>
        <v/>
      </c>
      <c r="V39" s="4"/>
    </row>
    <row r="40" spans="2:22" x14ac:dyDescent="0.25">
      <c r="B40" s="4" t="str">
        <f>IFERROR(VLOOKUP(A40,'ECN-ECO_DATA'!B:G,4,FALSE),"")</f>
        <v/>
      </c>
      <c r="C40" s="9" t="str">
        <f>IFERROR(VLOOKUP(A40,'ECN-ECO_DATA'!B:G,5,FALSE),"")</f>
        <v/>
      </c>
      <c r="D40" s="9" t="str">
        <f ca="1">IFERROR((IF(VLOOKUP(A40,'ECN-ECO_DATA'!B:G,6,FALSE)=0/1/1900,TODAY(),VLOOKUP(A40,'ECN-ECO_DATA'!B:G,6,FALSE))),"")</f>
        <v/>
      </c>
      <c r="E40" s="9" t="str">
        <f>IFERROR((IF(VLOOKUP(A40,'ECN-ECO_DATA'!B:G,6,FALSE)=0/1/1900,"",VLOOKUP(A40,'ECN-ECO_DATA'!B:G,6,FALSE))),"")</f>
        <v/>
      </c>
      <c r="F40" s="9" t="str">
        <f>IFERROR((IF(VLOOKUP(A40,'ECN-ECO_DATA'!B:J,7,FALSE)=0/1/1900,"",VLOOKUP(A40,'ECN-ECO_DATA'!B:J,7,FALSE))),"")</f>
        <v/>
      </c>
      <c r="G40" s="9" t="str">
        <f>IFERROR((IF(VLOOKUP(A40,'ECN-ECO_DATA'!B:J,8,FALSE)=0/1/1900,"",VLOOKUP(A40,'ECN-ECO_DATA'!B:J,8,FALSE))),"")</f>
        <v/>
      </c>
      <c r="H40" s="9" t="str">
        <f>IFERROR((IF(VLOOKUP(A40,'ECN-ECO_DATA'!B:J,9,FALSE)=0/1/1900,"",VLOOKUP(A40,'ECN-ECO_DATA'!B:J,9,FALSE))),"")</f>
        <v/>
      </c>
      <c r="I40" s="10" t="str">
        <f>IFERROR((IF(VLOOKUP(A40,'ECN-ECO_DATA'!B:Q,13,FALSE)="","",VLOOKUP(A40,'ECN-ECO_DATA'!B:Q,13,FALSE))),"")</f>
        <v/>
      </c>
      <c r="J40" s="10" t="str">
        <f>IFERROR((IF(VLOOKUP(A40,'ECN-ECO_DATA'!B:Q,14,FALSE)="","",VLOOKUP(A40,'ECN-ECO_DATA'!B:Q,14,FALSE))),"")</f>
        <v/>
      </c>
      <c r="K40" s="10" t="str">
        <f>IFERROR((IF(VLOOKUP(A40,'ECN-ECO_DATA'!B:Q,15,FALSE)="","",VLOOKUP(A40,'ECN-ECO_DATA'!B:Q,15,FALSE))),"")</f>
        <v/>
      </c>
      <c r="L40" s="10" t="str">
        <f>IFERROR((IF(VLOOKUP(A40,'ECN-ECO_DATA'!B:Q,16,FALSE)="","",VLOOKUP(A40,'ECN-ECO_DATA'!B:Q,16,FALSE))),"")</f>
        <v/>
      </c>
      <c r="M40" s="9" t="str">
        <f>IFERROR((IF(VLOOKUP(A40,'ECN-ECO_DATA'!B:V,18,FALSE)=0/1/1900,"",VLOOKUP(A40,'ECN-ECO_DATA'!B:V,18,FALSE))),"")</f>
        <v/>
      </c>
      <c r="N40" s="9" t="str">
        <f>IFERROR((IF(VLOOKUP(A40,'ECN-ECO_DATA'!B:V,19,FALSE)=0/1/1900,"",VLOOKUP(A40,'ECN-ECO_DATA'!B:V,19,FALSE))),"")</f>
        <v/>
      </c>
      <c r="O40" s="9" t="str">
        <f>IFERROR((IF(VLOOKUP(A40,'ECN-ECO_DATA'!B:V,20,FALSE)=0/1/1900,"",VLOOKUP(A40,'ECN-ECO_DATA'!B:V,20,FALSE))),"")</f>
        <v/>
      </c>
      <c r="P40" s="9" t="str">
        <f>IFERROR((IF(VLOOKUP(A40,'ECN-ECO_DATA'!B:V,21,FALSE)=0/1/1900,"",VLOOKUP(A40,'ECN-ECO_DATA'!B:V,21,FALSE))),"")</f>
        <v/>
      </c>
      <c r="Q40" s="10" t="str">
        <f t="shared" ca="1" si="0"/>
        <v/>
      </c>
      <c r="R40" s="4" t="str">
        <f t="shared" si="1"/>
        <v/>
      </c>
      <c r="S40" s="4" t="str">
        <f t="shared" si="2"/>
        <v/>
      </c>
      <c r="T40" s="4" t="str">
        <f t="shared" si="3"/>
        <v/>
      </c>
      <c r="U40" s="10" t="str">
        <f t="shared" si="4"/>
        <v/>
      </c>
      <c r="V40" s="4"/>
    </row>
    <row r="41" spans="2:22" x14ac:dyDescent="0.25">
      <c r="B41" s="4" t="str">
        <f>IFERROR(VLOOKUP(A41,'ECN-ECO_DATA'!B:G,4,FALSE),"")</f>
        <v/>
      </c>
      <c r="C41" s="9" t="str">
        <f>IFERROR(VLOOKUP(A41,'ECN-ECO_DATA'!B:G,5,FALSE),"")</f>
        <v/>
      </c>
      <c r="D41" s="9" t="str">
        <f ca="1">IFERROR((IF(VLOOKUP(A41,'ECN-ECO_DATA'!B:G,6,FALSE)=0/1/1900,TODAY(),VLOOKUP(A41,'ECN-ECO_DATA'!B:G,6,FALSE))),"")</f>
        <v/>
      </c>
      <c r="E41" s="9" t="str">
        <f>IFERROR((IF(VLOOKUP(A41,'ECN-ECO_DATA'!B:G,6,FALSE)=0/1/1900,"",VLOOKUP(A41,'ECN-ECO_DATA'!B:G,6,FALSE))),"")</f>
        <v/>
      </c>
      <c r="F41" s="9" t="str">
        <f>IFERROR((IF(VLOOKUP(A41,'ECN-ECO_DATA'!B:J,7,FALSE)=0/1/1900,"",VLOOKUP(A41,'ECN-ECO_DATA'!B:J,7,FALSE))),"")</f>
        <v/>
      </c>
      <c r="G41" s="9" t="str">
        <f>IFERROR((IF(VLOOKUP(A41,'ECN-ECO_DATA'!B:J,8,FALSE)=0/1/1900,"",VLOOKUP(A41,'ECN-ECO_DATA'!B:J,8,FALSE))),"")</f>
        <v/>
      </c>
      <c r="H41" s="9" t="str">
        <f>IFERROR((IF(VLOOKUP(A41,'ECN-ECO_DATA'!B:J,9,FALSE)=0/1/1900,"",VLOOKUP(A41,'ECN-ECO_DATA'!B:J,9,FALSE))),"")</f>
        <v/>
      </c>
      <c r="I41" s="10" t="str">
        <f>IFERROR((IF(VLOOKUP(A41,'ECN-ECO_DATA'!B:Q,13,FALSE)="","",VLOOKUP(A41,'ECN-ECO_DATA'!B:Q,13,FALSE))),"")</f>
        <v/>
      </c>
      <c r="J41" s="10" t="str">
        <f>IFERROR((IF(VLOOKUP(A41,'ECN-ECO_DATA'!B:Q,14,FALSE)="","",VLOOKUP(A41,'ECN-ECO_DATA'!B:Q,14,FALSE))),"")</f>
        <v/>
      </c>
      <c r="K41" s="10" t="str">
        <f>IFERROR((IF(VLOOKUP(A41,'ECN-ECO_DATA'!B:Q,15,FALSE)="","",VLOOKUP(A41,'ECN-ECO_DATA'!B:Q,15,FALSE))),"")</f>
        <v/>
      </c>
      <c r="L41" s="10" t="str">
        <f>IFERROR((IF(VLOOKUP(A41,'ECN-ECO_DATA'!B:Q,16,FALSE)="","",VLOOKUP(A41,'ECN-ECO_DATA'!B:Q,16,FALSE))),"")</f>
        <v/>
      </c>
      <c r="M41" s="9" t="str">
        <f>IFERROR((IF(VLOOKUP(A41,'ECN-ECO_DATA'!B:V,18,FALSE)=0/1/1900,"",VLOOKUP(A41,'ECN-ECO_DATA'!B:V,18,FALSE))),"")</f>
        <v/>
      </c>
      <c r="N41" s="9" t="str">
        <f>IFERROR((IF(VLOOKUP(A41,'ECN-ECO_DATA'!B:V,19,FALSE)=0/1/1900,"",VLOOKUP(A41,'ECN-ECO_DATA'!B:V,19,FALSE))),"")</f>
        <v/>
      </c>
      <c r="O41" s="9" t="str">
        <f>IFERROR((IF(VLOOKUP(A41,'ECN-ECO_DATA'!B:V,20,FALSE)=0/1/1900,"",VLOOKUP(A41,'ECN-ECO_DATA'!B:V,20,FALSE))),"")</f>
        <v/>
      </c>
      <c r="P41" s="9" t="str">
        <f>IFERROR((IF(VLOOKUP(A41,'ECN-ECO_DATA'!B:V,21,FALSE)=0/1/1900,"",VLOOKUP(A41,'ECN-ECO_DATA'!B:V,21,FALSE))),"")</f>
        <v/>
      </c>
      <c r="Q41" s="10" t="str">
        <f t="shared" ca="1" si="0"/>
        <v/>
      </c>
      <c r="R41" s="4" t="str">
        <f t="shared" si="1"/>
        <v/>
      </c>
      <c r="S41" s="4" t="str">
        <f t="shared" si="2"/>
        <v/>
      </c>
      <c r="T41" s="4" t="str">
        <f t="shared" si="3"/>
        <v/>
      </c>
      <c r="U41" s="10" t="str">
        <f t="shared" si="4"/>
        <v/>
      </c>
      <c r="V41" s="4"/>
    </row>
    <row r="42" spans="2:22" x14ac:dyDescent="0.25">
      <c r="B42" s="4" t="str">
        <f>IFERROR(VLOOKUP(A42,'ECN-ECO_DATA'!B:G,4,FALSE),"")</f>
        <v/>
      </c>
      <c r="C42" s="9" t="str">
        <f>IFERROR(VLOOKUP(A42,'ECN-ECO_DATA'!B:G,5,FALSE),"")</f>
        <v/>
      </c>
      <c r="D42" s="9" t="str">
        <f ca="1">IFERROR((IF(VLOOKUP(A42,'ECN-ECO_DATA'!B:G,6,FALSE)=0/1/1900,TODAY(),VLOOKUP(A42,'ECN-ECO_DATA'!B:G,6,FALSE))),"")</f>
        <v/>
      </c>
      <c r="E42" s="9" t="str">
        <f>IFERROR((IF(VLOOKUP(A42,'ECN-ECO_DATA'!B:G,6,FALSE)=0/1/1900,"",VLOOKUP(A42,'ECN-ECO_DATA'!B:G,6,FALSE))),"")</f>
        <v/>
      </c>
      <c r="F42" s="9" t="str">
        <f>IFERROR((IF(VLOOKUP(A42,'ECN-ECO_DATA'!B:J,7,FALSE)=0/1/1900,"",VLOOKUP(A42,'ECN-ECO_DATA'!B:J,7,FALSE))),"")</f>
        <v/>
      </c>
      <c r="G42" s="9" t="str">
        <f>IFERROR((IF(VLOOKUP(A42,'ECN-ECO_DATA'!B:J,8,FALSE)=0/1/1900,"",VLOOKUP(A42,'ECN-ECO_DATA'!B:J,8,FALSE))),"")</f>
        <v/>
      </c>
      <c r="H42" s="9" t="str">
        <f>IFERROR((IF(VLOOKUP(A42,'ECN-ECO_DATA'!B:J,9,FALSE)=0/1/1900,"",VLOOKUP(A42,'ECN-ECO_DATA'!B:J,9,FALSE))),"")</f>
        <v/>
      </c>
      <c r="I42" s="10" t="str">
        <f>IFERROR((IF(VLOOKUP(A42,'ECN-ECO_DATA'!B:Q,13,FALSE)="","",VLOOKUP(A42,'ECN-ECO_DATA'!B:Q,13,FALSE))),"")</f>
        <v/>
      </c>
      <c r="J42" s="10" t="str">
        <f>IFERROR((IF(VLOOKUP(A42,'ECN-ECO_DATA'!B:Q,14,FALSE)="","",VLOOKUP(A42,'ECN-ECO_DATA'!B:Q,14,FALSE))),"")</f>
        <v/>
      </c>
      <c r="K42" s="10" t="str">
        <f>IFERROR((IF(VLOOKUP(A42,'ECN-ECO_DATA'!B:Q,15,FALSE)="","",VLOOKUP(A42,'ECN-ECO_DATA'!B:Q,15,FALSE))),"")</f>
        <v/>
      </c>
      <c r="L42" s="10" t="str">
        <f>IFERROR((IF(VLOOKUP(A42,'ECN-ECO_DATA'!B:Q,16,FALSE)="","",VLOOKUP(A42,'ECN-ECO_DATA'!B:Q,16,FALSE))),"")</f>
        <v/>
      </c>
      <c r="M42" s="9" t="str">
        <f>IFERROR((IF(VLOOKUP(A42,'ECN-ECO_DATA'!B:V,18,FALSE)=0/1/1900,"",VLOOKUP(A42,'ECN-ECO_DATA'!B:V,18,FALSE))),"")</f>
        <v/>
      </c>
      <c r="N42" s="9" t="str">
        <f>IFERROR((IF(VLOOKUP(A42,'ECN-ECO_DATA'!B:V,19,FALSE)=0/1/1900,"",VLOOKUP(A42,'ECN-ECO_DATA'!B:V,19,FALSE))),"")</f>
        <v/>
      </c>
      <c r="O42" s="9" t="str">
        <f>IFERROR((IF(VLOOKUP(A42,'ECN-ECO_DATA'!B:V,20,FALSE)=0/1/1900,"",VLOOKUP(A42,'ECN-ECO_DATA'!B:V,20,FALSE))),"")</f>
        <v/>
      </c>
      <c r="P42" s="9" t="str">
        <f>IFERROR((IF(VLOOKUP(A42,'ECN-ECO_DATA'!B:V,21,FALSE)=0/1/1900,"",VLOOKUP(A42,'ECN-ECO_DATA'!B:V,21,FALSE))),"")</f>
        <v/>
      </c>
      <c r="Q42" s="10" t="str">
        <f t="shared" ca="1" si="0"/>
        <v/>
      </c>
      <c r="R42" s="4" t="str">
        <f t="shared" si="1"/>
        <v/>
      </c>
      <c r="S42" s="4" t="str">
        <f t="shared" si="2"/>
        <v/>
      </c>
      <c r="T42" s="4" t="str">
        <f t="shared" si="3"/>
        <v/>
      </c>
      <c r="U42" s="10" t="str">
        <f t="shared" si="4"/>
        <v/>
      </c>
      <c r="V42" s="4"/>
    </row>
    <row r="43" spans="2:22" x14ac:dyDescent="0.25">
      <c r="B43" s="4" t="str">
        <f>IFERROR(VLOOKUP(A43,'ECN-ECO_DATA'!B:G,4,FALSE),"")</f>
        <v/>
      </c>
      <c r="C43" s="9" t="str">
        <f>IFERROR(VLOOKUP(A43,'ECN-ECO_DATA'!B:G,5,FALSE),"")</f>
        <v/>
      </c>
      <c r="D43" s="9" t="str">
        <f ca="1">IFERROR((IF(VLOOKUP(A43,'ECN-ECO_DATA'!B:G,6,FALSE)=0/1/1900,TODAY(),VLOOKUP(A43,'ECN-ECO_DATA'!B:G,6,FALSE))),"")</f>
        <v/>
      </c>
      <c r="E43" s="9" t="str">
        <f>IFERROR((IF(VLOOKUP(A43,'ECN-ECO_DATA'!B:G,6,FALSE)=0/1/1900,"",VLOOKUP(A43,'ECN-ECO_DATA'!B:G,6,FALSE))),"")</f>
        <v/>
      </c>
      <c r="F43" s="9" t="str">
        <f>IFERROR((IF(VLOOKUP(A43,'ECN-ECO_DATA'!B:J,7,FALSE)=0/1/1900,"",VLOOKUP(A43,'ECN-ECO_DATA'!B:J,7,FALSE))),"")</f>
        <v/>
      </c>
      <c r="G43" s="9" t="str">
        <f>IFERROR((IF(VLOOKUP(A43,'ECN-ECO_DATA'!B:J,8,FALSE)=0/1/1900,"",VLOOKUP(A43,'ECN-ECO_DATA'!B:J,8,FALSE))),"")</f>
        <v/>
      </c>
      <c r="H43" s="9" t="str">
        <f>IFERROR((IF(VLOOKUP(A43,'ECN-ECO_DATA'!B:J,9,FALSE)=0/1/1900,"",VLOOKUP(A43,'ECN-ECO_DATA'!B:J,9,FALSE))),"")</f>
        <v/>
      </c>
      <c r="I43" s="10" t="str">
        <f>IFERROR((IF(VLOOKUP(A43,'ECN-ECO_DATA'!B:Q,13,FALSE)="","",VLOOKUP(A43,'ECN-ECO_DATA'!B:Q,13,FALSE))),"")</f>
        <v/>
      </c>
      <c r="J43" s="10" t="str">
        <f>IFERROR((IF(VLOOKUP(A43,'ECN-ECO_DATA'!B:Q,14,FALSE)="","",VLOOKUP(A43,'ECN-ECO_DATA'!B:Q,14,FALSE))),"")</f>
        <v/>
      </c>
      <c r="K43" s="10" t="str">
        <f>IFERROR((IF(VLOOKUP(A43,'ECN-ECO_DATA'!B:Q,15,FALSE)="","",VLOOKUP(A43,'ECN-ECO_DATA'!B:Q,15,FALSE))),"")</f>
        <v/>
      </c>
      <c r="L43" s="10" t="str">
        <f>IFERROR((IF(VLOOKUP(A43,'ECN-ECO_DATA'!B:Q,16,FALSE)="","",VLOOKUP(A43,'ECN-ECO_DATA'!B:Q,16,FALSE))),"")</f>
        <v/>
      </c>
      <c r="M43" s="9" t="str">
        <f>IFERROR((IF(VLOOKUP(A43,'ECN-ECO_DATA'!B:V,18,FALSE)=0/1/1900,"",VLOOKUP(A43,'ECN-ECO_DATA'!B:V,18,FALSE))),"")</f>
        <v/>
      </c>
      <c r="N43" s="9" t="str">
        <f>IFERROR((IF(VLOOKUP(A43,'ECN-ECO_DATA'!B:V,19,FALSE)=0/1/1900,"",VLOOKUP(A43,'ECN-ECO_DATA'!B:V,19,FALSE))),"")</f>
        <v/>
      </c>
      <c r="O43" s="9" t="str">
        <f>IFERROR((IF(VLOOKUP(A43,'ECN-ECO_DATA'!B:V,20,FALSE)=0/1/1900,"",VLOOKUP(A43,'ECN-ECO_DATA'!B:V,20,FALSE))),"")</f>
        <v/>
      </c>
      <c r="P43" s="9" t="str">
        <f>IFERROR((IF(VLOOKUP(A43,'ECN-ECO_DATA'!B:V,21,FALSE)=0/1/1900,"",VLOOKUP(A43,'ECN-ECO_DATA'!B:V,21,FALSE))),"")</f>
        <v/>
      </c>
      <c r="Q43" s="10" t="str">
        <f t="shared" ca="1" si="0"/>
        <v/>
      </c>
      <c r="R43" s="4" t="str">
        <f t="shared" si="1"/>
        <v/>
      </c>
      <c r="S43" s="4" t="str">
        <f t="shared" si="2"/>
        <v/>
      </c>
      <c r="T43" s="4" t="str">
        <f t="shared" si="3"/>
        <v/>
      </c>
      <c r="U43" s="10" t="str">
        <f t="shared" si="4"/>
        <v/>
      </c>
      <c r="V43" s="4"/>
    </row>
    <row r="44" spans="2:22" x14ac:dyDescent="0.25">
      <c r="B44" s="4" t="str">
        <f>IFERROR(VLOOKUP(A44,'ECN-ECO_DATA'!B:G,4,FALSE),"")</f>
        <v/>
      </c>
      <c r="C44" s="9" t="str">
        <f>IFERROR(VLOOKUP(A44,'ECN-ECO_DATA'!B:G,5,FALSE),"")</f>
        <v/>
      </c>
      <c r="D44" s="9" t="str">
        <f ca="1">IFERROR((IF(VLOOKUP(A44,'ECN-ECO_DATA'!B:G,6,FALSE)=0/1/1900,TODAY(),VLOOKUP(A44,'ECN-ECO_DATA'!B:G,6,FALSE))),"")</f>
        <v/>
      </c>
      <c r="E44" s="9" t="str">
        <f>IFERROR((IF(VLOOKUP(A44,'ECN-ECO_DATA'!B:G,6,FALSE)=0/1/1900,"",VLOOKUP(A44,'ECN-ECO_DATA'!B:G,6,FALSE))),"")</f>
        <v/>
      </c>
      <c r="F44" s="9" t="str">
        <f>IFERROR((IF(VLOOKUP(A44,'ECN-ECO_DATA'!B:J,7,FALSE)=0/1/1900,"",VLOOKUP(A44,'ECN-ECO_DATA'!B:J,7,FALSE))),"")</f>
        <v/>
      </c>
      <c r="G44" s="9" t="str">
        <f>IFERROR((IF(VLOOKUP(A44,'ECN-ECO_DATA'!B:J,8,FALSE)=0/1/1900,"",VLOOKUP(A44,'ECN-ECO_DATA'!B:J,8,FALSE))),"")</f>
        <v/>
      </c>
      <c r="H44" s="9" t="str">
        <f>IFERROR((IF(VLOOKUP(A44,'ECN-ECO_DATA'!B:J,9,FALSE)=0/1/1900,"",VLOOKUP(A44,'ECN-ECO_DATA'!B:J,9,FALSE))),"")</f>
        <v/>
      </c>
      <c r="I44" s="10" t="str">
        <f>IFERROR((IF(VLOOKUP(A44,'ECN-ECO_DATA'!B:Q,13,FALSE)="","",VLOOKUP(A44,'ECN-ECO_DATA'!B:Q,13,FALSE))),"")</f>
        <v/>
      </c>
      <c r="J44" s="10" t="str">
        <f>IFERROR((IF(VLOOKUP(A44,'ECN-ECO_DATA'!B:Q,14,FALSE)="","",VLOOKUP(A44,'ECN-ECO_DATA'!B:Q,14,FALSE))),"")</f>
        <v/>
      </c>
      <c r="K44" s="10" t="str">
        <f>IFERROR((IF(VLOOKUP(A44,'ECN-ECO_DATA'!B:Q,15,FALSE)="","",VLOOKUP(A44,'ECN-ECO_DATA'!B:Q,15,FALSE))),"")</f>
        <v/>
      </c>
      <c r="L44" s="10" t="str">
        <f>IFERROR((IF(VLOOKUP(A44,'ECN-ECO_DATA'!B:Q,16,FALSE)="","",VLOOKUP(A44,'ECN-ECO_DATA'!B:Q,16,FALSE))),"")</f>
        <v/>
      </c>
      <c r="M44" s="9" t="str">
        <f>IFERROR((IF(VLOOKUP(A44,'ECN-ECO_DATA'!B:V,18,FALSE)=0/1/1900,"",VLOOKUP(A44,'ECN-ECO_DATA'!B:V,18,FALSE))),"")</f>
        <v/>
      </c>
      <c r="N44" s="9" t="str">
        <f>IFERROR((IF(VLOOKUP(A44,'ECN-ECO_DATA'!B:V,19,FALSE)=0/1/1900,"",VLOOKUP(A44,'ECN-ECO_DATA'!B:V,19,FALSE))),"")</f>
        <v/>
      </c>
      <c r="O44" s="9" t="str">
        <f>IFERROR((IF(VLOOKUP(A44,'ECN-ECO_DATA'!B:V,20,FALSE)=0/1/1900,"",VLOOKUP(A44,'ECN-ECO_DATA'!B:V,20,FALSE))),"")</f>
        <v/>
      </c>
      <c r="P44" s="9" t="str">
        <f>IFERROR((IF(VLOOKUP(A44,'ECN-ECO_DATA'!B:V,21,FALSE)=0/1/1900,"",VLOOKUP(A44,'ECN-ECO_DATA'!B:V,21,FALSE))),"")</f>
        <v/>
      </c>
      <c r="Q44" s="10" t="str">
        <f t="shared" ca="1" si="0"/>
        <v/>
      </c>
      <c r="R44" s="4" t="str">
        <f t="shared" si="1"/>
        <v/>
      </c>
      <c r="S44" s="4" t="str">
        <f t="shared" si="2"/>
        <v/>
      </c>
      <c r="T44" s="4" t="str">
        <f t="shared" si="3"/>
        <v/>
      </c>
      <c r="U44" s="10" t="str">
        <f t="shared" si="4"/>
        <v/>
      </c>
      <c r="V44" s="4"/>
    </row>
    <row r="45" spans="2:22" x14ac:dyDescent="0.25">
      <c r="B45" s="4" t="str">
        <f>IFERROR(VLOOKUP(A45,'ECN-ECO_DATA'!B:G,4,FALSE),"")</f>
        <v/>
      </c>
      <c r="C45" s="9" t="str">
        <f>IFERROR(VLOOKUP(A45,'ECN-ECO_DATA'!B:G,5,FALSE),"")</f>
        <v/>
      </c>
      <c r="D45" s="9" t="str">
        <f ca="1">IFERROR((IF(VLOOKUP(A45,'ECN-ECO_DATA'!B:G,6,FALSE)=0/1/1900,TODAY(),VLOOKUP(A45,'ECN-ECO_DATA'!B:G,6,FALSE))),"")</f>
        <v/>
      </c>
      <c r="E45" s="9" t="str">
        <f>IFERROR((IF(VLOOKUP(A45,'ECN-ECO_DATA'!B:G,6,FALSE)=0/1/1900,"",VLOOKUP(A45,'ECN-ECO_DATA'!B:G,6,FALSE))),"")</f>
        <v/>
      </c>
      <c r="F45" s="9" t="str">
        <f>IFERROR((IF(VLOOKUP(A45,'ECN-ECO_DATA'!B:J,7,FALSE)=0/1/1900,"",VLOOKUP(A45,'ECN-ECO_DATA'!B:J,7,FALSE))),"")</f>
        <v/>
      </c>
      <c r="G45" s="9" t="str">
        <f>IFERROR((IF(VLOOKUP(A45,'ECN-ECO_DATA'!B:J,8,FALSE)=0/1/1900,"",VLOOKUP(A45,'ECN-ECO_DATA'!B:J,8,FALSE))),"")</f>
        <v/>
      </c>
      <c r="H45" s="9" t="str">
        <f>IFERROR((IF(VLOOKUP(A45,'ECN-ECO_DATA'!B:J,9,FALSE)=0/1/1900,"",VLOOKUP(A45,'ECN-ECO_DATA'!B:J,9,FALSE))),"")</f>
        <v/>
      </c>
      <c r="I45" s="10" t="str">
        <f>IFERROR((IF(VLOOKUP(A45,'ECN-ECO_DATA'!B:Q,13,FALSE)="","",VLOOKUP(A45,'ECN-ECO_DATA'!B:Q,13,FALSE))),"")</f>
        <v/>
      </c>
      <c r="J45" s="10" t="str">
        <f>IFERROR((IF(VLOOKUP(A45,'ECN-ECO_DATA'!B:Q,14,FALSE)="","",VLOOKUP(A45,'ECN-ECO_DATA'!B:Q,14,FALSE))),"")</f>
        <v/>
      </c>
      <c r="K45" s="10" t="str">
        <f>IFERROR((IF(VLOOKUP(A45,'ECN-ECO_DATA'!B:Q,15,FALSE)="","",VLOOKUP(A45,'ECN-ECO_DATA'!B:Q,15,FALSE))),"")</f>
        <v/>
      </c>
      <c r="L45" s="10" t="str">
        <f>IFERROR((IF(VLOOKUP(A45,'ECN-ECO_DATA'!B:Q,16,FALSE)="","",VLOOKUP(A45,'ECN-ECO_DATA'!B:Q,16,FALSE))),"")</f>
        <v/>
      </c>
      <c r="M45" s="9" t="str">
        <f>IFERROR((IF(VLOOKUP(A45,'ECN-ECO_DATA'!B:V,18,FALSE)=0/1/1900,"",VLOOKUP(A45,'ECN-ECO_DATA'!B:V,18,FALSE))),"")</f>
        <v/>
      </c>
      <c r="N45" s="9" t="str">
        <f>IFERROR((IF(VLOOKUP(A45,'ECN-ECO_DATA'!B:V,19,FALSE)=0/1/1900,"",VLOOKUP(A45,'ECN-ECO_DATA'!B:V,19,FALSE))),"")</f>
        <v/>
      </c>
      <c r="O45" s="9" t="str">
        <f>IFERROR((IF(VLOOKUP(A45,'ECN-ECO_DATA'!B:V,20,FALSE)=0/1/1900,"",VLOOKUP(A45,'ECN-ECO_DATA'!B:V,20,FALSE))),"")</f>
        <v/>
      </c>
      <c r="P45" s="9" t="str">
        <f>IFERROR((IF(VLOOKUP(A45,'ECN-ECO_DATA'!B:V,21,FALSE)=0/1/1900,"",VLOOKUP(A45,'ECN-ECO_DATA'!B:V,21,FALSE))),"")</f>
        <v/>
      </c>
      <c r="Q45" s="10" t="str">
        <f t="shared" ca="1" si="0"/>
        <v/>
      </c>
      <c r="R45" s="4" t="str">
        <f t="shared" si="1"/>
        <v/>
      </c>
      <c r="S45" s="4" t="str">
        <f t="shared" si="2"/>
        <v/>
      </c>
      <c r="T45" s="4" t="str">
        <f t="shared" si="3"/>
        <v/>
      </c>
      <c r="U45" s="10" t="str">
        <f t="shared" si="4"/>
        <v/>
      </c>
      <c r="V45" s="4"/>
    </row>
    <row r="46" spans="2:22" x14ac:dyDescent="0.25">
      <c r="B46" s="4" t="str">
        <f>IFERROR(VLOOKUP(A46,'ECN-ECO_DATA'!B:G,4,FALSE),"")</f>
        <v/>
      </c>
      <c r="C46" s="9" t="str">
        <f>IFERROR(VLOOKUP(A46,'ECN-ECO_DATA'!B:G,5,FALSE),"")</f>
        <v/>
      </c>
      <c r="D46" s="9" t="str">
        <f ca="1">IFERROR((IF(VLOOKUP(A46,'ECN-ECO_DATA'!B:G,6,FALSE)=0/1/1900,TODAY(),VLOOKUP(A46,'ECN-ECO_DATA'!B:G,6,FALSE))),"")</f>
        <v/>
      </c>
      <c r="E46" s="9" t="str">
        <f>IFERROR((IF(VLOOKUP(A46,'ECN-ECO_DATA'!B:G,6,FALSE)=0/1/1900,"",VLOOKUP(A46,'ECN-ECO_DATA'!B:G,6,FALSE))),"")</f>
        <v/>
      </c>
      <c r="F46" s="9" t="str">
        <f>IFERROR((IF(VLOOKUP(A46,'ECN-ECO_DATA'!B:J,7,FALSE)=0/1/1900,"",VLOOKUP(A46,'ECN-ECO_DATA'!B:J,7,FALSE))),"")</f>
        <v/>
      </c>
      <c r="G46" s="9" t="str">
        <f>IFERROR((IF(VLOOKUP(A46,'ECN-ECO_DATA'!B:J,8,FALSE)=0/1/1900,"",VLOOKUP(A46,'ECN-ECO_DATA'!B:J,8,FALSE))),"")</f>
        <v/>
      </c>
      <c r="H46" s="9" t="str">
        <f>IFERROR((IF(VLOOKUP(A46,'ECN-ECO_DATA'!B:J,9,FALSE)=0/1/1900,"",VLOOKUP(A46,'ECN-ECO_DATA'!B:J,9,FALSE))),"")</f>
        <v/>
      </c>
      <c r="I46" s="10" t="str">
        <f>IFERROR((IF(VLOOKUP(A46,'ECN-ECO_DATA'!B:Q,13,FALSE)="","",VLOOKUP(A46,'ECN-ECO_DATA'!B:Q,13,FALSE))),"")</f>
        <v/>
      </c>
      <c r="J46" s="10" t="str">
        <f>IFERROR((IF(VLOOKUP(A46,'ECN-ECO_DATA'!B:Q,14,FALSE)="","",VLOOKUP(A46,'ECN-ECO_DATA'!B:Q,14,FALSE))),"")</f>
        <v/>
      </c>
      <c r="K46" s="10" t="str">
        <f>IFERROR((IF(VLOOKUP(A46,'ECN-ECO_DATA'!B:Q,15,FALSE)="","",VLOOKUP(A46,'ECN-ECO_DATA'!B:Q,15,FALSE))),"")</f>
        <v/>
      </c>
      <c r="L46" s="10" t="str">
        <f>IFERROR((IF(VLOOKUP(A46,'ECN-ECO_DATA'!B:Q,16,FALSE)="","",VLOOKUP(A46,'ECN-ECO_DATA'!B:Q,16,FALSE))),"")</f>
        <v/>
      </c>
      <c r="M46" s="9" t="str">
        <f>IFERROR((IF(VLOOKUP(A46,'ECN-ECO_DATA'!B:V,18,FALSE)=0/1/1900,"",VLOOKUP(A46,'ECN-ECO_DATA'!B:V,18,FALSE))),"")</f>
        <v/>
      </c>
      <c r="N46" s="9" t="str">
        <f>IFERROR((IF(VLOOKUP(A46,'ECN-ECO_DATA'!B:V,19,FALSE)=0/1/1900,"",VLOOKUP(A46,'ECN-ECO_DATA'!B:V,19,FALSE))),"")</f>
        <v/>
      </c>
      <c r="O46" s="9" t="str">
        <f>IFERROR((IF(VLOOKUP(A46,'ECN-ECO_DATA'!B:V,20,FALSE)=0/1/1900,"",VLOOKUP(A46,'ECN-ECO_DATA'!B:V,20,FALSE))),"")</f>
        <v/>
      </c>
      <c r="P46" s="9" t="str">
        <f>IFERROR((IF(VLOOKUP(A46,'ECN-ECO_DATA'!B:V,21,FALSE)=0/1/1900,"",VLOOKUP(A46,'ECN-ECO_DATA'!B:V,21,FALSE))),"")</f>
        <v/>
      </c>
      <c r="Q46" s="10" t="str">
        <f t="shared" ca="1" si="0"/>
        <v/>
      </c>
      <c r="R46" s="4" t="str">
        <f t="shared" si="1"/>
        <v/>
      </c>
      <c r="S46" s="4" t="str">
        <f t="shared" si="2"/>
        <v/>
      </c>
      <c r="T46" s="4" t="str">
        <f t="shared" si="3"/>
        <v/>
      </c>
      <c r="U46" s="10" t="str">
        <f t="shared" si="4"/>
        <v/>
      </c>
      <c r="V46" s="4"/>
    </row>
    <row r="47" spans="2:22" x14ac:dyDescent="0.25">
      <c r="B47" s="4" t="str">
        <f>IFERROR(VLOOKUP(A47,'ECN-ECO_DATA'!B:G,4,FALSE),"")</f>
        <v/>
      </c>
      <c r="C47" s="9" t="str">
        <f>IFERROR(VLOOKUP(A47,'ECN-ECO_DATA'!B:G,5,FALSE),"")</f>
        <v/>
      </c>
      <c r="D47" s="9" t="str">
        <f ca="1">IFERROR((IF(VLOOKUP(A47,'ECN-ECO_DATA'!B:G,6,FALSE)=0/1/1900,TODAY(),VLOOKUP(A47,'ECN-ECO_DATA'!B:G,6,FALSE))),"")</f>
        <v/>
      </c>
      <c r="E47" s="9" t="str">
        <f>IFERROR((IF(VLOOKUP(A47,'ECN-ECO_DATA'!B:G,6,FALSE)=0/1/1900,"",VLOOKUP(A47,'ECN-ECO_DATA'!B:G,6,FALSE))),"")</f>
        <v/>
      </c>
      <c r="F47" s="9" t="str">
        <f>IFERROR((IF(VLOOKUP(A47,'ECN-ECO_DATA'!B:J,7,FALSE)=0/1/1900,"",VLOOKUP(A47,'ECN-ECO_DATA'!B:J,7,FALSE))),"")</f>
        <v/>
      </c>
      <c r="G47" s="9" t="str">
        <f>IFERROR((IF(VLOOKUP(A47,'ECN-ECO_DATA'!B:J,8,FALSE)=0/1/1900,"",VLOOKUP(A47,'ECN-ECO_DATA'!B:J,8,FALSE))),"")</f>
        <v/>
      </c>
      <c r="H47" s="9" t="str">
        <f>IFERROR((IF(VLOOKUP(A47,'ECN-ECO_DATA'!B:J,9,FALSE)=0/1/1900,"",VLOOKUP(A47,'ECN-ECO_DATA'!B:J,9,FALSE))),"")</f>
        <v/>
      </c>
      <c r="I47" s="10" t="str">
        <f>IFERROR((IF(VLOOKUP(A47,'ECN-ECO_DATA'!B:Q,13,FALSE)="","",VLOOKUP(A47,'ECN-ECO_DATA'!B:Q,13,FALSE))),"")</f>
        <v/>
      </c>
      <c r="J47" s="10" t="str">
        <f>IFERROR((IF(VLOOKUP(A47,'ECN-ECO_DATA'!B:Q,14,FALSE)="","",VLOOKUP(A47,'ECN-ECO_DATA'!B:Q,14,FALSE))),"")</f>
        <v/>
      </c>
      <c r="K47" s="10" t="str">
        <f>IFERROR((IF(VLOOKUP(A47,'ECN-ECO_DATA'!B:Q,15,FALSE)="","",VLOOKUP(A47,'ECN-ECO_DATA'!B:Q,15,FALSE))),"")</f>
        <v/>
      </c>
      <c r="L47" s="10" t="str">
        <f>IFERROR((IF(VLOOKUP(A47,'ECN-ECO_DATA'!B:Q,16,FALSE)="","",VLOOKUP(A47,'ECN-ECO_DATA'!B:Q,16,FALSE))),"")</f>
        <v/>
      </c>
      <c r="M47" s="9" t="str">
        <f>IFERROR((IF(VLOOKUP(A47,'ECN-ECO_DATA'!B:V,18,FALSE)=0/1/1900,"",VLOOKUP(A47,'ECN-ECO_DATA'!B:V,18,FALSE))),"")</f>
        <v/>
      </c>
      <c r="N47" s="9" t="str">
        <f>IFERROR((IF(VLOOKUP(A47,'ECN-ECO_DATA'!B:V,19,FALSE)=0/1/1900,"",VLOOKUP(A47,'ECN-ECO_DATA'!B:V,19,FALSE))),"")</f>
        <v/>
      </c>
      <c r="O47" s="9" t="str">
        <f>IFERROR((IF(VLOOKUP(A47,'ECN-ECO_DATA'!B:V,20,FALSE)=0/1/1900,"",VLOOKUP(A47,'ECN-ECO_DATA'!B:V,20,FALSE))),"")</f>
        <v/>
      </c>
      <c r="P47" s="9" t="str">
        <f>IFERROR((IF(VLOOKUP(A47,'ECN-ECO_DATA'!B:V,21,FALSE)=0/1/1900,"",VLOOKUP(A47,'ECN-ECO_DATA'!B:V,21,FALSE))),"")</f>
        <v/>
      </c>
      <c r="Q47" s="10" t="str">
        <f t="shared" ca="1" si="0"/>
        <v/>
      </c>
      <c r="R47" s="4" t="str">
        <f t="shared" si="1"/>
        <v/>
      </c>
      <c r="S47" s="4" t="str">
        <f t="shared" si="2"/>
        <v/>
      </c>
      <c r="T47" s="4" t="str">
        <f t="shared" si="3"/>
        <v/>
      </c>
      <c r="U47" s="10" t="str">
        <f t="shared" si="4"/>
        <v/>
      </c>
      <c r="V47" s="4"/>
    </row>
    <row r="48" spans="2:22" x14ac:dyDescent="0.25">
      <c r="B48" s="4" t="str">
        <f>IFERROR(VLOOKUP(A48,'ECN-ECO_DATA'!B:G,4,FALSE),"")</f>
        <v/>
      </c>
      <c r="C48" s="9" t="str">
        <f>IFERROR(VLOOKUP(A48,'ECN-ECO_DATA'!B:G,5,FALSE),"")</f>
        <v/>
      </c>
      <c r="D48" s="9" t="str">
        <f ca="1">IFERROR((IF(VLOOKUP(A48,'ECN-ECO_DATA'!B:G,6,FALSE)=0/1/1900,TODAY(),VLOOKUP(A48,'ECN-ECO_DATA'!B:G,6,FALSE))),"")</f>
        <v/>
      </c>
      <c r="E48" s="9" t="str">
        <f>IFERROR((IF(VLOOKUP(A48,'ECN-ECO_DATA'!B:G,6,FALSE)=0/1/1900,"",VLOOKUP(A48,'ECN-ECO_DATA'!B:G,6,FALSE))),"")</f>
        <v/>
      </c>
      <c r="F48" s="9" t="str">
        <f>IFERROR((IF(VLOOKUP(A48,'ECN-ECO_DATA'!B:J,7,FALSE)=0/1/1900,"",VLOOKUP(A48,'ECN-ECO_DATA'!B:J,7,FALSE))),"")</f>
        <v/>
      </c>
      <c r="G48" s="9" t="str">
        <f>IFERROR((IF(VLOOKUP(A48,'ECN-ECO_DATA'!B:J,8,FALSE)=0/1/1900,"",VLOOKUP(A48,'ECN-ECO_DATA'!B:J,8,FALSE))),"")</f>
        <v/>
      </c>
      <c r="H48" s="9" t="str">
        <f>IFERROR((IF(VLOOKUP(A48,'ECN-ECO_DATA'!B:J,9,FALSE)=0/1/1900,"",VLOOKUP(A48,'ECN-ECO_DATA'!B:J,9,FALSE))),"")</f>
        <v/>
      </c>
      <c r="I48" s="10" t="str">
        <f>IFERROR((IF(VLOOKUP(A48,'ECN-ECO_DATA'!B:Q,13,FALSE)="","",VLOOKUP(A48,'ECN-ECO_DATA'!B:Q,13,FALSE))),"")</f>
        <v/>
      </c>
      <c r="J48" s="10" t="str">
        <f>IFERROR((IF(VLOOKUP(A48,'ECN-ECO_DATA'!B:Q,14,FALSE)="","",VLOOKUP(A48,'ECN-ECO_DATA'!B:Q,14,FALSE))),"")</f>
        <v/>
      </c>
      <c r="K48" s="10" t="str">
        <f>IFERROR((IF(VLOOKUP(A48,'ECN-ECO_DATA'!B:Q,15,FALSE)="","",VLOOKUP(A48,'ECN-ECO_DATA'!B:Q,15,FALSE))),"")</f>
        <v/>
      </c>
      <c r="L48" s="10" t="str">
        <f>IFERROR((IF(VLOOKUP(A48,'ECN-ECO_DATA'!B:Q,16,FALSE)="","",VLOOKUP(A48,'ECN-ECO_DATA'!B:Q,16,FALSE))),"")</f>
        <v/>
      </c>
      <c r="M48" s="9" t="str">
        <f>IFERROR((IF(VLOOKUP(A48,'ECN-ECO_DATA'!B:V,18,FALSE)=0/1/1900,"",VLOOKUP(A48,'ECN-ECO_DATA'!B:V,18,FALSE))),"")</f>
        <v/>
      </c>
      <c r="N48" s="9" t="str">
        <f>IFERROR((IF(VLOOKUP(A48,'ECN-ECO_DATA'!B:V,19,FALSE)=0/1/1900,"",VLOOKUP(A48,'ECN-ECO_DATA'!B:V,19,FALSE))),"")</f>
        <v/>
      </c>
      <c r="O48" s="9" t="str">
        <f>IFERROR((IF(VLOOKUP(A48,'ECN-ECO_DATA'!B:V,20,FALSE)=0/1/1900,"",VLOOKUP(A48,'ECN-ECO_DATA'!B:V,20,FALSE))),"")</f>
        <v/>
      </c>
      <c r="P48" s="9" t="str">
        <f>IFERROR((IF(VLOOKUP(A48,'ECN-ECO_DATA'!B:V,21,FALSE)=0/1/1900,"",VLOOKUP(A48,'ECN-ECO_DATA'!B:V,21,FALSE))),"")</f>
        <v/>
      </c>
      <c r="Q48" s="10" t="str">
        <f t="shared" ca="1" si="0"/>
        <v/>
      </c>
      <c r="R48" s="4" t="str">
        <f t="shared" si="1"/>
        <v/>
      </c>
      <c r="S48" s="4" t="str">
        <f t="shared" si="2"/>
        <v/>
      </c>
      <c r="T48" s="4" t="str">
        <f t="shared" si="3"/>
        <v/>
      </c>
      <c r="U48" s="10" t="str">
        <f t="shared" si="4"/>
        <v/>
      </c>
      <c r="V48" s="4"/>
    </row>
    <row r="49" spans="2:22" x14ac:dyDescent="0.25">
      <c r="B49" s="4" t="str">
        <f>IFERROR(VLOOKUP(A49,'ECN-ECO_DATA'!B:G,4,FALSE),"")</f>
        <v/>
      </c>
      <c r="C49" s="9" t="str">
        <f>IFERROR(VLOOKUP(A49,'ECN-ECO_DATA'!B:G,5,FALSE),"")</f>
        <v/>
      </c>
      <c r="D49" s="9" t="str">
        <f ca="1">IFERROR((IF(VLOOKUP(A49,'ECN-ECO_DATA'!B:G,6,FALSE)=0/1/1900,TODAY(),VLOOKUP(A49,'ECN-ECO_DATA'!B:G,6,FALSE))),"")</f>
        <v/>
      </c>
      <c r="E49" s="9" t="str">
        <f>IFERROR((IF(VLOOKUP(A49,'ECN-ECO_DATA'!B:G,6,FALSE)=0/1/1900,"",VLOOKUP(A49,'ECN-ECO_DATA'!B:G,6,FALSE))),"")</f>
        <v/>
      </c>
      <c r="F49" s="9" t="str">
        <f>IFERROR((IF(VLOOKUP(A49,'ECN-ECO_DATA'!B:J,7,FALSE)=0/1/1900,"",VLOOKUP(A49,'ECN-ECO_DATA'!B:J,7,FALSE))),"")</f>
        <v/>
      </c>
      <c r="G49" s="9" t="str">
        <f>IFERROR((IF(VLOOKUP(A49,'ECN-ECO_DATA'!B:J,8,FALSE)=0/1/1900,"",VLOOKUP(A49,'ECN-ECO_DATA'!B:J,8,FALSE))),"")</f>
        <v/>
      </c>
      <c r="H49" s="9" t="str">
        <f>IFERROR((IF(VLOOKUP(A49,'ECN-ECO_DATA'!B:J,9,FALSE)=0/1/1900,"",VLOOKUP(A49,'ECN-ECO_DATA'!B:J,9,FALSE))),"")</f>
        <v/>
      </c>
      <c r="I49" s="10" t="str">
        <f>IFERROR((IF(VLOOKUP(A49,'ECN-ECO_DATA'!B:Q,13,FALSE)="","",VLOOKUP(A49,'ECN-ECO_DATA'!B:Q,13,FALSE))),"")</f>
        <v/>
      </c>
      <c r="J49" s="10" t="str">
        <f>IFERROR((IF(VLOOKUP(A49,'ECN-ECO_DATA'!B:Q,14,FALSE)="","",VLOOKUP(A49,'ECN-ECO_DATA'!B:Q,14,FALSE))),"")</f>
        <v/>
      </c>
      <c r="K49" s="10" t="str">
        <f>IFERROR((IF(VLOOKUP(A49,'ECN-ECO_DATA'!B:Q,15,FALSE)="","",VLOOKUP(A49,'ECN-ECO_DATA'!B:Q,15,FALSE))),"")</f>
        <v/>
      </c>
      <c r="L49" s="10" t="str">
        <f>IFERROR((IF(VLOOKUP(A49,'ECN-ECO_DATA'!B:Q,16,FALSE)="","",VLOOKUP(A49,'ECN-ECO_DATA'!B:Q,16,FALSE))),"")</f>
        <v/>
      </c>
      <c r="M49" s="9" t="str">
        <f>IFERROR((IF(VLOOKUP(A49,'ECN-ECO_DATA'!B:V,18,FALSE)=0/1/1900,"",VLOOKUP(A49,'ECN-ECO_DATA'!B:V,18,FALSE))),"")</f>
        <v/>
      </c>
      <c r="N49" s="9" t="str">
        <f>IFERROR((IF(VLOOKUP(A49,'ECN-ECO_DATA'!B:V,19,FALSE)=0/1/1900,"",VLOOKUP(A49,'ECN-ECO_DATA'!B:V,19,FALSE))),"")</f>
        <v/>
      </c>
      <c r="O49" s="9" t="str">
        <f>IFERROR((IF(VLOOKUP(A49,'ECN-ECO_DATA'!B:V,20,FALSE)=0/1/1900,"",VLOOKUP(A49,'ECN-ECO_DATA'!B:V,20,FALSE))),"")</f>
        <v/>
      </c>
      <c r="P49" s="9" t="str">
        <f>IFERROR((IF(VLOOKUP(A49,'ECN-ECO_DATA'!B:V,21,FALSE)=0/1/1900,"",VLOOKUP(A49,'ECN-ECO_DATA'!B:V,21,FALSE))),"")</f>
        <v/>
      </c>
      <c r="Q49" s="10" t="str">
        <f t="shared" ca="1" si="0"/>
        <v/>
      </c>
      <c r="R49" s="4" t="str">
        <f t="shared" si="1"/>
        <v/>
      </c>
      <c r="S49" s="4" t="str">
        <f t="shared" si="2"/>
        <v/>
      </c>
      <c r="T49" s="4" t="str">
        <f t="shared" si="3"/>
        <v/>
      </c>
      <c r="U49" s="10" t="str">
        <f t="shared" si="4"/>
        <v/>
      </c>
      <c r="V49" s="4"/>
    </row>
    <row r="50" spans="2:22" x14ac:dyDescent="0.25">
      <c r="B50" s="4" t="str">
        <f>IFERROR(VLOOKUP(A50,'ECN-ECO_DATA'!B:G,4,FALSE),"")</f>
        <v/>
      </c>
      <c r="C50" s="9" t="str">
        <f>IFERROR(VLOOKUP(A50,'ECN-ECO_DATA'!B:G,5,FALSE),"")</f>
        <v/>
      </c>
      <c r="D50" s="9" t="str">
        <f ca="1">IFERROR((IF(VLOOKUP(A50,'ECN-ECO_DATA'!B:G,6,FALSE)=0/1/1900,TODAY(),VLOOKUP(A50,'ECN-ECO_DATA'!B:G,6,FALSE))),"")</f>
        <v/>
      </c>
      <c r="E50" s="9" t="str">
        <f>IFERROR((IF(VLOOKUP(A50,'ECN-ECO_DATA'!B:G,6,FALSE)=0/1/1900,"",VLOOKUP(A50,'ECN-ECO_DATA'!B:G,6,FALSE))),"")</f>
        <v/>
      </c>
      <c r="F50" s="9" t="str">
        <f>IFERROR((IF(VLOOKUP(A50,'ECN-ECO_DATA'!B:J,7,FALSE)=0/1/1900,"",VLOOKUP(A50,'ECN-ECO_DATA'!B:J,7,FALSE))),"")</f>
        <v/>
      </c>
      <c r="G50" s="9" t="str">
        <f>IFERROR((IF(VLOOKUP(A50,'ECN-ECO_DATA'!B:J,8,FALSE)=0/1/1900,"",VLOOKUP(A50,'ECN-ECO_DATA'!B:J,8,FALSE))),"")</f>
        <v/>
      </c>
      <c r="H50" s="9" t="str">
        <f>IFERROR((IF(VLOOKUP(A50,'ECN-ECO_DATA'!B:J,9,FALSE)=0/1/1900,"",VLOOKUP(A50,'ECN-ECO_DATA'!B:J,9,FALSE))),"")</f>
        <v/>
      </c>
      <c r="I50" s="10" t="str">
        <f>IFERROR((IF(VLOOKUP(A50,'ECN-ECO_DATA'!B:Q,13,FALSE)="","",VLOOKUP(A50,'ECN-ECO_DATA'!B:Q,13,FALSE))),"")</f>
        <v/>
      </c>
      <c r="J50" s="10" t="str">
        <f>IFERROR((IF(VLOOKUP(A50,'ECN-ECO_DATA'!B:Q,14,FALSE)="","",VLOOKUP(A50,'ECN-ECO_DATA'!B:Q,14,FALSE))),"")</f>
        <v/>
      </c>
      <c r="K50" s="10" t="str">
        <f>IFERROR((IF(VLOOKUP(A50,'ECN-ECO_DATA'!B:Q,15,FALSE)="","",VLOOKUP(A50,'ECN-ECO_DATA'!B:Q,15,FALSE))),"")</f>
        <v/>
      </c>
      <c r="L50" s="10" t="str">
        <f>IFERROR((IF(VLOOKUP(A50,'ECN-ECO_DATA'!B:Q,16,FALSE)="","",VLOOKUP(A50,'ECN-ECO_DATA'!B:Q,16,FALSE))),"")</f>
        <v/>
      </c>
      <c r="M50" s="9" t="str">
        <f>IFERROR((IF(VLOOKUP(A50,'ECN-ECO_DATA'!B:V,18,FALSE)=0/1/1900,"",VLOOKUP(A50,'ECN-ECO_DATA'!B:V,18,FALSE))),"")</f>
        <v/>
      </c>
      <c r="N50" s="9" t="str">
        <f>IFERROR((IF(VLOOKUP(A50,'ECN-ECO_DATA'!B:V,19,FALSE)=0/1/1900,"",VLOOKUP(A50,'ECN-ECO_DATA'!B:V,19,FALSE))),"")</f>
        <v/>
      </c>
      <c r="O50" s="9" t="str">
        <f>IFERROR((IF(VLOOKUP(A50,'ECN-ECO_DATA'!B:V,20,FALSE)=0/1/1900,"",VLOOKUP(A50,'ECN-ECO_DATA'!B:V,20,FALSE))),"")</f>
        <v/>
      </c>
      <c r="P50" s="9" t="str">
        <f>IFERROR((IF(VLOOKUP(A50,'ECN-ECO_DATA'!B:V,21,FALSE)=0/1/1900,"",VLOOKUP(A50,'ECN-ECO_DATA'!B:V,21,FALSE))),"")</f>
        <v/>
      </c>
      <c r="Q50" s="10" t="str">
        <f t="shared" ca="1" si="0"/>
        <v/>
      </c>
      <c r="R50" s="4" t="str">
        <f t="shared" si="1"/>
        <v/>
      </c>
      <c r="S50" s="4" t="str">
        <f t="shared" si="2"/>
        <v/>
      </c>
      <c r="T50" s="4" t="str">
        <f t="shared" si="3"/>
        <v/>
      </c>
      <c r="U50" s="10" t="str">
        <f t="shared" si="4"/>
        <v/>
      </c>
      <c r="V50" s="4"/>
    </row>
    <row r="51" spans="2:22" x14ac:dyDescent="0.25">
      <c r="B51" s="4" t="str">
        <f>IFERROR(VLOOKUP(A51,'ECN-ECO_DATA'!B:G,4,FALSE),"")</f>
        <v/>
      </c>
      <c r="C51" s="9" t="str">
        <f>IFERROR(VLOOKUP(A51,'ECN-ECO_DATA'!B:G,5,FALSE),"")</f>
        <v/>
      </c>
      <c r="D51" s="9" t="str">
        <f ca="1">IFERROR((IF(VLOOKUP(A51,'ECN-ECO_DATA'!B:G,6,FALSE)=0/1/1900,TODAY(),VLOOKUP(A51,'ECN-ECO_DATA'!B:G,6,FALSE))),"")</f>
        <v/>
      </c>
      <c r="E51" s="9" t="str">
        <f>IFERROR((IF(VLOOKUP(A51,'ECN-ECO_DATA'!B:G,6,FALSE)=0/1/1900,"",VLOOKUP(A51,'ECN-ECO_DATA'!B:G,6,FALSE))),"")</f>
        <v/>
      </c>
      <c r="F51" s="9" t="str">
        <f>IFERROR((IF(VLOOKUP(A51,'ECN-ECO_DATA'!B:J,7,FALSE)=0/1/1900,"",VLOOKUP(A51,'ECN-ECO_DATA'!B:J,7,FALSE))),"")</f>
        <v/>
      </c>
      <c r="G51" s="9" t="str">
        <f>IFERROR((IF(VLOOKUP(A51,'ECN-ECO_DATA'!B:J,8,FALSE)=0/1/1900,"",VLOOKUP(A51,'ECN-ECO_DATA'!B:J,8,FALSE))),"")</f>
        <v/>
      </c>
      <c r="H51" s="9" t="str">
        <f>IFERROR((IF(VLOOKUP(A51,'ECN-ECO_DATA'!B:J,9,FALSE)=0/1/1900,"",VLOOKUP(A51,'ECN-ECO_DATA'!B:J,9,FALSE))),"")</f>
        <v/>
      </c>
      <c r="I51" s="10" t="str">
        <f>IFERROR((IF(VLOOKUP(A51,'ECN-ECO_DATA'!B:Q,13,FALSE)="","",VLOOKUP(A51,'ECN-ECO_DATA'!B:Q,13,FALSE))),"")</f>
        <v/>
      </c>
      <c r="J51" s="10" t="str">
        <f>IFERROR((IF(VLOOKUP(A51,'ECN-ECO_DATA'!B:Q,14,FALSE)="","",VLOOKUP(A51,'ECN-ECO_DATA'!B:Q,14,FALSE))),"")</f>
        <v/>
      </c>
      <c r="K51" s="10" t="str">
        <f>IFERROR((IF(VLOOKUP(A51,'ECN-ECO_DATA'!B:Q,15,FALSE)="","",VLOOKUP(A51,'ECN-ECO_DATA'!B:Q,15,FALSE))),"")</f>
        <v/>
      </c>
      <c r="L51" s="10" t="str">
        <f>IFERROR((IF(VLOOKUP(A51,'ECN-ECO_DATA'!B:Q,16,FALSE)="","",VLOOKUP(A51,'ECN-ECO_DATA'!B:Q,16,FALSE))),"")</f>
        <v/>
      </c>
      <c r="M51" s="9" t="str">
        <f>IFERROR((IF(VLOOKUP(A51,'ECN-ECO_DATA'!B:V,18,FALSE)=0/1/1900,"",VLOOKUP(A51,'ECN-ECO_DATA'!B:V,18,FALSE))),"")</f>
        <v/>
      </c>
      <c r="N51" s="9" t="str">
        <f>IFERROR((IF(VLOOKUP(A51,'ECN-ECO_DATA'!B:V,19,FALSE)=0/1/1900,"",VLOOKUP(A51,'ECN-ECO_DATA'!B:V,19,FALSE))),"")</f>
        <v/>
      </c>
      <c r="O51" s="9" t="str">
        <f>IFERROR((IF(VLOOKUP(A51,'ECN-ECO_DATA'!B:V,20,FALSE)=0/1/1900,"",VLOOKUP(A51,'ECN-ECO_DATA'!B:V,20,FALSE))),"")</f>
        <v/>
      </c>
      <c r="P51" s="9" t="str">
        <f>IFERROR((IF(VLOOKUP(A51,'ECN-ECO_DATA'!B:V,21,FALSE)=0/1/1900,"",VLOOKUP(A51,'ECN-ECO_DATA'!B:V,21,FALSE))),"")</f>
        <v/>
      </c>
      <c r="Q51" s="10" t="str">
        <f t="shared" ca="1" si="0"/>
        <v/>
      </c>
      <c r="R51" s="4" t="str">
        <f t="shared" si="1"/>
        <v/>
      </c>
      <c r="S51" s="4" t="str">
        <f t="shared" si="2"/>
        <v/>
      </c>
      <c r="T51" s="4" t="str">
        <f t="shared" si="3"/>
        <v/>
      </c>
      <c r="U51" s="10" t="str">
        <f t="shared" si="4"/>
        <v/>
      </c>
      <c r="V51" s="4"/>
    </row>
    <row r="52" spans="2:22" x14ac:dyDescent="0.25">
      <c r="B52" s="4" t="str">
        <f>IFERROR(VLOOKUP(A52,'ECN-ECO_DATA'!B:G,4,FALSE),"")</f>
        <v/>
      </c>
      <c r="C52" s="9" t="str">
        <f>IFERROR(VLOOKUP(A52,'ECN-ECO_DATA'!B:G,5,FALSE),"")</f>
        <v/>
      </c>
      <c r="D52" s="9" t="str">
        <f ca="1">IFERROR((IF(VLOOKUP(A52,'ECN-ECO_DATA'!B:G,6,FALSE)=0/1/1900,TODAY(),VLOOKUP(A52,'ECN-ECO_DATA'!B:G,6,FALSE))),"")</f>
        <v/>
      </c>
      <c r="E52" s="9" t="str">
        <f>IFERROR((IF(VLOOKUP(A52,'ECN-ECO_DATA'!B:G,6,FALSE)=0/1/1900,"",VLOOKUP(A52,'ECN-ECO_DATA'!B:G,6,FALSE))),"")</f>
        <v/>
      </c>
      <c r="F52" s="9" t="str">
        <f>IFERROR((IF(VLOOKUP(A52,'ECN-ECO_DATA'!B:J,7,FALSE)=0/1/1900,"",VLOOKUP(A52,'ECN-ECO_DATA'!B:J,7,FALSE))),"")</f>
        <v/>
      </c>
      <c r="G52" s="9" t="str">
        <f>IFERROR((IF(VLOOKUP(A52,'ECN-ECO_DATA'!B:J,8,FALSE)=0/1/1900,"",VLOOKUP(A52,'ECN-ECO_DATA'!B:J,8,FALSE))),"")</f>
        <v/>
      </c>
      <c r="H52" s="9" t="str">
        <f>IFERROR((IF(VLOOKUP(A52,'ECN-ECO_DATA'!B:J,9,FALSE)=0/1/1900,"",VLOOKUP(A52,'ECN-ECO_DATA'!B:J,9,FALSE))),"")</f>
        <v/>
      </c>
      <c r="I52" s="10" t="str">
        <f>IFERROR((IF(VLOOKUP(A52,'ECN-ECO_DATA'!B:Q,13,FALSE)="","",VLOOKUP(A52,'ECN-ECO_DATA'!B:Q,13,FALSE))),"")</f>
        <v/>
      </c>
      <c r="J52" s="10" t="str">
        <f>IFERROR((IF(VLOOKUP(A52,'ECN-ECO_DATA'!B:Q,14,FALSE)="","",VLOOKUP(A52,'ECN-ECO_DATA'!B:Q,14,FALSE))),"")</f>
        <v/>
      </c>
      <c r="K52" s="10" t="str">
        <f>IFERROR((IF(VLOOKUP(A52,'ECN-ECO_DATA'!B:Q,15,FALSE)="","",VLOOKUP(A52,'ECN-ECO_DATA'!B:Q,15,FALSE))),"")</f>
        <v/>
      </c>
      <c r="L52" s="10" t="str">
        <f>IFERROR((IF(VLOOKUP(A52,'ECN-ECO_DATA'!B:Q,16,FALSE)="","",VLOOKUP(A52,'ECN-ECO_DATA'!B:Q,16,FALSE))),"")</f>
        <v/>
      </c>
      <c r="M52" s="9" t="str">
        <f>IFERROR((IF(VLOOKUP(A52,'ECN-ECO_DATA'!B:V,18,FALSE)=0/1/1900,"",VLOOKUP(A52,'ECN-ECO_DATA'!B:V,18,FALSE))),"")</f>
        <v/>
      </c>
      <c r="N52" s="9" t="str">
        <f>IFERROR((IF(VLOOKUP(A52,'ECN-ECO_DATA'!B:V,19,FALSE)=0/1/1900,"",VLOOKUP(A52,'ECN-ECO_DATA'!B:V,19,FALSE))),"")</f>
        <v/>
      </c>
      <c r="O52" s="9" t="str">
        <f>IFERROR((IF(VLOOKUP(A52,'ECN-ECO_DATA'!B:V,20,FALSE)=0/1/1900,"",VLOOKUP(A52,'ECN-ECO_DATA'!B:V,20,FALSE))),"")</f>
        <v/>
      </c>
      <c r="P52" s="9" t="str">
        <f>IFERROR((IF(VLOOKUP(A52,'ECN-ECO_DATA'!B:V,21,FALSE)=0/1/1900,"",VLOOKUP(A52,'ECN-ECO_DATA'!B:V,21,FALSE))),"")</f>
        <v/>
      </c>
      <c r="Q52" s="10" t="str">
        <f t="shared" ca="1" si="0"/>
        <v/>
      </c>
      <c r="R52" s="4" t="str">
        <f t="shared" si="1"/>
        <v/>
      </c>
      <c r="S52" s="4" t="str">
        <f t="shared" si="2"/>
        <v/>
      </c>
      <c r="T52" s="4" t="str">
        <f t="shared" si="3"/>
        <v/>
      </c>
      <c r="U52" s="10" t="str">
        <f t="shared" si="4"/>
        <v/>
      </c>
      <c r="V52" s="4"/>
    </row>
    <row r="53" spans="2:22" x14ac:dyDescent="0.25">
      <c r="B53" s="4" t="str">
        <f>IFERROR(VLOOKUP(A53,'ECN-ECO_DATA'!B:G,4,FALSE),"")</f>
        <v/>
      </c>
      <c r="C53" s="9" t="str">
        <f>IFERROR(VLOOKUP(A53,'ECN-ECO_DATA'!B:G,5,FALSE),"")</f>
        <v/>
      </c>
      <c r="D53" s="9" t="str">
        <f ca="1">IFERROR((IF(VLOOKUP(A53,'ECN-ECO_DATA'!B:G,6,FALSE)=0/1/1900,TODAY(),VLOOKUP(A53,'ECN-ECO_DATA'!B:G,6,FALSE))),"")</f>
        <v/>
      </c>
      <c r="E53" s="9" t="str">
        <f>IFERROR((IF(VLOOKUP(A53,'ECN-ECO_DATA'!B:G,6,FALSE)=0/1/1900,"",VLOOKUP(A53,'ECN-ECO_DATA'!B:G,6,FALSE))),"")</f>
        <v/>
      </c>
      <c r="F53" s="9" t="str">
        <f>IFERROR((IF(VLOOKUP(A53,'ECN-ECO_DATA'!B:J,7,FALSE)=0/1/1900,"",VLOOKUP(A53,'ECN-ECO_DATA'!B:J,7,FALSE))),"")</f>
        <v/>
      </c>
      <c r="G53" s="9" t="str">
        <f>IFERROR((IF(VLOOKUP(A53,'ECN-ECO_DATA'!B:J,8,FALSE)=0/1/1900,"",VLOOKUP(A53,'ECN-ECO_DATA'!B:J,8,FALSE))),"")</f>
        <v/>
      </c>
      <c r="H53" s="9" t="str">
        <f>IFERROR((IF(VLOOKUP(A53,'ECN-ECO_DATA'!B:J,9,FALSE)=0/1/1900,"",VLOOKUP(A53,'ECN-ECO_DATA'!B:J,9,FALSE))),"")</f>
        <v/>
      </c>
      <c r="I53" s="10" t="str">
        <f>IFERROR((IF(VLOOKUP(A53,'ECN-ECO_DATA'!B:Q,13,FALSE)="","",VLOOKUP(A53,'ECN-ECO_DATA'!B:Q,13,FALSE))),"")</f>
        <v/>
      </c>
      <c r="J53" s="10" t="str">
        <f>IFERROR((IF(VLOOKUP(A53,'ECN-ECO_DATA'!B:Q,14,FALSE)="","",VLOOKUP(A53,'ECN-ECO_DATA'!B:Q,14,FALSE))),"")</f>
        <v/>
      </c>
      <c r="K53" s="10" t="str">
        <f>IFERROR((IF(VLOOKUP(A53,'ECN-ECO_DATA'!B:Q,15,FALSE)="","",VLOOKUP(A53,'ECN-ECO_DATA'!B:Q,15,FALSE))),"")</f>
        <v/>
      </c>
      <c r="L53" s="10" t="str">
        <f>IFERROR((IF(VLOOKUP(A53,'ECN-ECO_DATA'!B:Q,16,FALSE)="","",VLOOKUP(A53,'ECN-ECO_DATA'!B:Q,16,FALSE))),"")</f>
        <v/>
      </c>
      <c r="M53" s="9" t="str">
        <f>IFERROR((IF(VLOOKUP(A53,'ECN-ECO_DATA'!B:V,18,FALSE)=0/1/1900,"",VLOOKUP(A53,'ECN-ECO_DATA'!B:V,18,FALSE))),"")</f>
        <v/>
      </c>
      <c r="N53" s="9" t="str">
        <f>IFERROR((IF(VLOOKUP(A53,'ECN-ECO_DATA'!B:V,19,FALSE)=0/1/1900,"",VLOOKUP(A53,'ECN-ECO_DATA'!B:V,19,FALSE))),"")</f>
        <v/>
      </c>
      <c r="O53" s="9" t="str">
        <f>IFERROR((IF(VLOOKUP(A53,'ECN-ECO_DATA'!B:V,20,FALSE)=0/1/1900,"",VLOOKUP(A53,'ECN-ECO_DATA'!B:V,20,FALSE))),"")</f>
        <v/>
      </c>
      <c r="P53" s="9" t="str">
        <f>IFERROR((IF(VLOOKUP(A53,'ECN-ECO_DATA'!B:V,21,FALSE)=0/1/1900,"",VLOOKUP(A53,'ECN-ECO_DATA'!B:V,21,FALSE))),"")</f>
        <v/>
      </c>
      <c r="Q53" s="10" t="str">
        <f t="shared" ca="1" si="0"/>
        <v/>
      </c>
      <c r="R53" s="4" t="str">
        <f t="shared" si="1"/>
        <v/>
      </c>
      <c r="S53" s="4" t="str">
        <f t="shared" si="2"/>
        <v/>
      </c>
      <c r="T53" s="4" t="str">
        <f t="shared" si="3"/>
        <v/>
      </c>
      <c r="U53" s="10" t="str">
        <f t="shared" si="4"/>
        <v/>
      </c>
      <c r="V53" s="4"/>
    </row>
    <row r="54" spans="2:22" x14ac:dyDescent="0.25">
      <c r="B54" s="4" t="str">
        <f>IFERROR(VLOOKUP(A54,'ECN-ECO_DATA'!B:G,4,FALSE),"")</f>
        <v/>
      </c>
      <c r="C54" s="9" t="str">
        <f>IFERROR(VLOOKUP(A54,'ECN-ECO_DATA'!B:G,5,FALSE),"")</f>
        <v/>
      </c>
      <c r="D54" s="9" t="str">
        <f ca="1">IFERROR((IF(VLOOKUP(A54,'ECN-ECO_DATA'!B:G,6,FALSE)=0/1/1900,TODAY(),VLOOKUP(A54,'ECN-ECO_DATA'!B:G,6,FALSE))),"")</f>
        <v/>
      </c>
      <c r="E54" s="9" t="str">
        <f>IFERROR((IF(VLOOKUP(A54,'ECN-ECO_DATA'!B:G,6,FALSE)=0/1/1900,"",VLOOKUP(A54,'ECN-ECO_DATA'!B:G,6,FALSE))),"")</f>
        <v/>
      </c>
      <c r="F54" s="9" t="str">
        <f>IFERROR((IF(VLOOKUP(A54,'ECN-ECO_DATA'!B:J,7,FALSE)=0/1/1900,"",VLOOKUP(A54,'ECN-ECO_DATA'!B:J,7,FALSE))),"")</f>
        <v/>
      </c>
      <c r="G54" s="9" t="str">
        <f>IFERROR((IF(VLOOKUP(A54,'ECN-ECO_DATA'!B:J,8,FALSE)=0/1/1900,"",VLOOKUP(A54,'ECN-ECO_DATA'!B:J,8,FALSE))),"")</f>
        <v/>
      </c>
      <c r="H54" s="9" t="str">
        <f>IFERROR((IF(VLOOKUP(A54,'ECN-ECO_DATA'!B:J,9,FALSE)=0/1/1900,"",VLOOKUP(A54,'ECN-ECO_DATA'!B:J,9,FALSE))),"")</f>
        <v/>
      </c>
      <c r="I54" s="10" t="str">
        <f>IFERROR((IF(VLOOKUP(A54,'ECN-ECO_DATA'!B:Q,13,FALSE)="","",VLOOKUP(A54,'ECN-ECO_DATA'!B:Q,13,FALSE))),"")</f>
        <v/>
      </c>
      <c r="J54" s="10" t="str">
        <f>IFERROR((IF(VLOOKUP(A54,'ECN-ECO_DATA'!B:Q,14,FALSE)="","",VLOOKUP(A54,'ECN-ECO_DATA'!B:Q,14,FALSE))),"")</f>
        <v/>
      </c>
      <c r="K54" s="10" t="str">
        <f>IFERROR((IF(VLOOKUP(A54,'ECN-ECO_DATA'!B:Q,15,FALSE)="","",VLOOKUP(A54,'ECN-ECO_DATA'!B:Q,15,FALSE))),"")</f>
        <v/>
      </c>
      <c r="L54" s="10" t="str">
        <f>IFERROR((IF(VLOOKUP(A54,'ECN-ECO_DATA'!B:Q,16,FALSE)="","",VLOOKUP(A54,'ECN-ECO_DATA'!B:Q,16,FALSE))),"")</f>
        <v/>
      </c>
      <c r="M54" s="9" t="str">
        <f>IFERROR((IF(VLOOKUP(A54,'ECN-ECO_DATA'!B:V,18,FALSE)=0/1/1900,"",VLOOKUP(A54,'ECN-ECO_DATA'!B:V,18,FALSE))),"")</f>
        <v/>
      </c>
      <c r="N54" s="9" t="str">
        <f>IFERROR((IF(VLOOKUP(A54,'ECN-ECO_DATA'!B:V,19,FALSE)=0/1/1900,"",VLOOKUP(A54,'ECN-ECO_DATA'!B:V,19,FALSE))),"")</f>
        <v/>
      </c>
      <c r="O54" s="9" t="str">
        <f>IFERROR((IF(VLOOKUP(A54,'ECN-ECO_DATA'!B:V,20,FALSE)=0/1/1900,"",VLOOKUP(A54,'ECN-ECO_DATA'!B:V,20,FALSE))),"")</f>
        <v/>
      </c>
      <c r="P54" s="9" t="str">
        <f>IFERROR((IF(VLOOKUP(A54,'ECN-ECO_DATA'!B:V,21,FALSE)=0/1/1900,"",VLOOKUP(A54,'ECN-ECO_DATA'!B:V,21,FALSE))),"")</f>
        <v/>
      </c>
      <c r="Q54" s="10" t="str">
        <f t="shared" ca="1" si="0"/>
        <v/>
      </c>
      <c r="R54" s="4" t="str">
        <f t="shared" si="1"/>
        <v/>
      </c>
      <c r="S54" s="4" t="str">
        <f t="shared" si="2"/>
        <v/>
      </c>
      <c r="T54" s="4" t="str">
        <f t="shared" si="3"/>
        <v/>
      </c>
      <c r="U54" s="10" t="str">
        <f t="shared" si="4"/>
        <v/>
      </c>
      <c r="V54" s="4"/>
    </row>
    <row r="55" spans="2:22" x14ac:dyDescent="0.25">
      <c r="B55" s="4" t="str">
        <f>IFERROR(VLOOKUP(A55,'ECN-ECO_DATA'!B:G,4,FALSE),"")</f>
        <v/>
      </c>
      <c r="C55" s="9" t="str">
        <f>IFERROR(VLOOKUP(A55,'ECN-ECO_DATA'!B:G,5,FALSE),"")</f>
        <v/>
      </c>
      <c r="D55" s="9" t="str">
        <f ca="1">IFERROR((IF(VLOOKUP(A55,'ECN-ECO_DATA'!B:G,6,FALSE)=0/1/1900,TODAY(),VLOOKUP(A55,'ECN-ECO_DATA'!B:G,6,FALSE))),"")</f>
        <v/>
      </c>
      <c r="E55" s="9" t="str">
        <f>IFERROR((IF(VLOOKUP(A55,'ECN-ECO_DATA'!B:G,6,FALSE)=0/1/1900,"",VLOOKUP(A55,'ECN-ECO_DATA'!B:G,6,FALSE))),"")</f>
        <v/>
      </c>
      <c r="F55" s="9" t="str">
        <f>IFERROR((IF(VLOOKUP(A55,'ECN-ECO_DATA'!B:J,7,FALSE)=0/1/1900,"",VLOOKUP(A55,'ECN-ECO_DATA'!B:J,7,FALSE))),"")</f>
        <v/>
      </c>
      <c r="G55" s="9" t="str">
        <f>IFERROR((IF(VLOOKUP(A55,'ECN-ECO_DATA'!B:J,8,FALSE)=0/1/1900,"",VLOOKUP(A55,'ECN-ECO_DATA'!B:J,8,FALSE))),"")</f>
        <v/>
      </c>
      <c r="H55" s="9" t="str">
        <f>IFERROR((IF(VLOOKUP(A55,'ECN-ECO_DATA'!B:J,9,FALSE)=0/1/1900,"",VLOOKUP(A55,'ECN-ECO_DATA'!B:J,9,FALSE))),"")</f>
        <v/>
      </c>
      <c r="I55" s="10" t="str">
        <f>IFERROR((IF(VLOOKUP(A55,'ECN-ECO_DATA'!B:Q,13,FALSE)="","",VLOOKUP(A55,'ECN-ECO_DATA'!B:Q,13,FALSE))),"")</f>
        <v/>
      </c>
      <c r="J55" s="10" t="str">
        <f>IFERROR((IF(VLOOKUP(A55,'ECN-ECO_DATA'!B:Q,14,FALSE)="","",VLOOKUP(A55,'ECN-ECO_DATA'!B:Q,14,FALSE))),"")</f>
        <v/>
      </c>
      <c r="K55" s="10" t="str">
        <f>IFERROR((IF(VLOOKUP(A55,'ECN-ECO_DATA'!B:Q,15,FALSE)="","",VLOOKUP(A55,'ECN-ECO_DATA'!B:Q,15,FALSE))),"")</f>
        <v/>
      </c>
      <c r="L55" s="10" t="str">
        <f>IFERROR((IF(VLOOKUP(A55,'ECN-ECO_DATA'!B:Q,16,FALSE)="","",VLOOKUP(A55,'ECN-ECO_DATA'!B:Q,16,FALSE))),"")</f>
        <v/>
      </c>
      <c r="M55" s="9" t="str">
        <f>IFERROR((IF(VLOOKUP(A55,'ECN-ECO_DATA'!B:V,18,FALSE)=0/1/1900,"",VLOOKUP(A55,'ECN-ECO_DATA'!B:V,18,FALSE))),"")</f>
        <v/>
      </c>
      <c r="N55" s="9" t="str">
        <f>IFERROR((IF(VLOOKUP(A55,'ECN-ECO_DATA'!B:V,19,FALSE)=0/1/1900,"",VLOOKUP(A55,'ECN-ECO_DATA'!B:V,19,FALSE))),"")</f>
        <v/>
      </c>
      <c r="O55" s="9" t="str">
        <f>IFERROR((IF(VLOOKUP(A55,'ECN-ECO_DATA'!B:V,20,FALSE)=0/1/1900,"",VLOOKUP(A55,'ECN-ECO_DATA'!B:V,20,FALSE))),"")</f>
        <v/>
      </c>
      <c r="P55" s="9" t="str">
        <f>IFERROR((IF(VLOOKUP(A55,'ECN-ECO_DATA'!B:V,21,FALSE)=0/1/1900,"",VLOOKUP(A55,'ECN-ECO_DATA'!B:V,21,FALSE))),"")</f>
        <v/>
      </c>
      <c r="Q55" s="10" t="str">
        <f t="shared" ca="1" si="0"/>
        <v/>
      </c>
      <c r="R55" s="4" t="str">
        <f t="shared" si="1"/>
        <v/>
      </c>
      <c r="S55" s="4" t="str">
        <f t="shared" si="2"/>
        <v/>
      </c>
      <c r="T55" s="4" t="str">
        <f t="shared" si="3"/>
        <v/>
      </c>
      <c r="U55" s="10" t="str">
        <f t="shared" si="4"/>
        <v/>
      </c>
      <c r="V55" s="4"/>
    </row>
    <row r="56" spans="2:22" x14ac:dyDescent="0.25">
      <c r="B56" s="4" t="str">
        <f>IFERROR(VLOOKUP(A56,'ECN-ECO_DATA'!B:G,4,FALSE),"")</f>
        <v/>
      </c>
      <c r="C56" s="9" t="str">
        <f>IFERROR(VLOOKUP(A56,'ECN-ECO_DATA'!B:G,5,FALSE),"")</f>
        <v/>
      </c>
      <c r="D56" s="9" t="str">
        <f ca="1">IFERROR((IF(VLOOKUP(A56,'ECN-ECO_DATA'!B:G,6,FALSE)=0/1/1900,TODAY(),VLOOKUP(A56,'ECN-ECO_DATA'!B:G,6,FALSE))),"")</f>
        <v/>
      </c>
      <c r="E56" s="9" t="str">
        <f>IFERROR((IF(VLOOKUP(A56,'ECN-ECO_DATA'!B:G,6,FALSE)=0/1/1900,"",VLOOKUP(A56,'ECN-ECO_DATA'!B:G,6,FALSE))),"")</f>
        <v/>
      </c>
      <c r="F56" s="9" t="str">
        <f>IFERROR((IF(VLOOKUP(A56,'ECN-ECO_DATA'!B:J,7,FALSE)=0/1/1900,"",VLOOKUP(A56,'ECN-ECO_DATA'!B:J,7,FALSE))),"")</f>
        <v/>
      </c>
      <c r="G56" s="9" t="str">
        <f>IFERROR((IF(VLOOKUP(A56,'ECN-ECO_DATA'!B:J,8,FALSE)=0/1/1900,"",VLOOKUP(A56,'ECN-ECO_DATA'!B:J,8,FALSE))),"")</f>
        <v/>
      </c>
      <c r="H56" s="9" t="str">
        <f>IFERROR((IF(VLOOKUP(A56,'ECN-ECO_DATA'!B:J,9,FALSE)=0/1/1900,"",VLOOKUP(A56,'ECN-ECO_DATA'!B:J,9,FALSE))),"")</f>
        <v/>
      </c>
      <c r="I56" s="10" t="str">
        <f>IFERROR((IF(VLOOKUP(A56,'ECN-ECO_DATA'!B:Q,13,FALSE)="","",VLOOKUP(A56,'ECN-ECO_DATA'!B:Q,13,FALSE))),"")</f>
        <v/>
      </c>
      <c r="J56" s="10" t="str">
        <f>IFERROR((IF(VLOOKUP(A56,'ECN-ECO_DATA'!B:Q,14,FALSE)="","",VLOOKUP(A56,'ECN-ECO_DATA'!B:Q,14,FALSE))),"")</f>
        <v/>
      </c>
      <c r="K56" s="10" t="str">
        <f>IFERROR((IF(VLOOKUP(A56,'ECN-ECO_DATA'!B:Q,15,FALSE)="","",VLOOKUP(A56,'ECN-ECO_DATA'!B:Q,15,FALSE))),"")</f>
        <v/>
      </c>
      <c r="L56" s="10" t="str">
        <f>IFERROR((IF(VLOOKUP(A56,'ECN-ECO_DATA'!B:Q,16,FALSE)="","",VLOOKUP(A56,'ECN-ECO_DATA'!B:Q,16,FALSE))),"")</f>
        <v/>
      </c>
      <c r="M56" s="9" t="str">
        <f>IFERROR((IF(VLOOKUP(A56,'ECN-ECO_DATA'!B:V,18,FALSE)=0/1/1900,"",VLOOKUP(A56,'ECN-ECO_DATA'!B:V,18,FALSE))),"")</f>
        <v/>
      </c>
      <c r="N56" s="9" t="str">
        <f>IFERROR((IF(VLOOKUP(A56,'ECN-ECO_DATA'!B:V,19,FALSE)=0/1/1900,"",VLOOKUP(A56,'ECN-ECO_DATA'!B:V,19,FALSE))),"")</f>
        <v/>
      </c>
      <c r="O56" s="9" t="str">
        <f>IFERROR((IF(VLOOKUP(A56,'ECN-ECO_DATA'!B:V,20,FALSE)=0/1/1900,"",VLOOKUP(A56,'ECN-ECO_DATA'!B:V,20,FALSE))),"")</f>
        <v/>
      </c>
      <c r="P56" s="9" t="str">
        <f>IFERROR((IF(VLOOKUP(A56,'ECN-ECO_DATA'!B:V,21,FALSE)=0/1/1900,"",VLOOKUP(A56,'ECN-ECO_DATA'!B:V,21,FALSE))),"")</f>
        <v/>
      </c>
      <c r="Q56" s="10" t="str">
        <f t="shared" ca="1" si="0"/>
        <v/>
      </c>
      <c r="R56" s="4" t="str">
        <f t="shared" si="1"/>
        <v/>
      </c>
      <c r="S56" s="4" t="str">
        <f t="shared" si="2"/>
        <v/>
      </c>
      <c r="T56" s="4" t="str">
        <f t="shared" si="3"/>
        <v/>
      </c>
      <c r="U56" s="10" t="str">
        <f t="shared" si="4"/>
        <v/>
      </c>
      <c r="V56" s="4"/>
    </row>
    <row r="57" spans="2:22" x14ac:dyDescent="0.25">
      <c r="B57" s="4" t="str">
        <f>IFERROR(VLOOKUP(A57,'ECN-ECO_DATA'!B:G,4,FALSE),"")</f>
        <v/>
      </c>
      <c r="C57" s="9" t="str">
        <f>IFERROR(VLOOKUP(A57,'ECN-ECO_DATA'!B:G,5,FALSE),"")</f>
        <v/>
      </c>
      <c r="D57" s="9" t="str">
        <f ca="1">IFERROR((IF(VLOOKUP(A57,'ECN-ECO_DATA'!B:G,6,FALSE)=0/1/1900,TODAY(),VLOOKUP(A57,'ECN-ECO_DATA'!B:G,6,FALSE))),"")</f>
        <v/>
      </c>
      <c r="E57" s="9" t="str">
        <f>IFERROR((IF(VLOOKUP(A57,'ECN-ECO_DATA'!B:G,6,FALSE)=0/1/1900,"",VLOOKUP(A57,'ECN-ECO_DATA'!B:G,6,FALSE))),"")</f>
        <v/>
      </c>
      <c r="F57" s="9" t="str">
        <f>IFERROR((IF(VLOOKUP(A57,'ECN-ECO_DATA'!B:J,7,FALSE)=0/1/1900,"",VLOOKUP(A57,'ECN-ECO_DATA'!B:J,7,FALSE))),"")</f>
        <v/>
      </c>
      <c r="G57" s="9" t="str">
        <f>IFERROR((IF(VLOOKUP(A57,'ECN-ECO_DATA'!B:J,8,FALSE)=0/1/1900,"",VLOOKUP(A57,'ECN-ECO_DATA'!B:J,8,FALSE))),"")</f>
        <v/>
      </c>
      <c r="H57" s="9" t="str">
        <f>IFERROR((IF(VLOOKUP(A57,'ECN-ECO_DATA'!B:J,9,FALSE)=0/1/1900,"",VLOOKUP(A57,'ECN-ECO_DATA'!B:J,9,FALSE))),"")</f>
        <v/>
      </c>
      <c r="I57" s="10" t="str">
        <f>IFERROR((IF(VLOOKUP(A57,'ECN-ECO_DATA'!B:Q,13,FALSE)="","",VLOOKUP(A57,'ECN-ECO_DATA'!B:Q,13,FALSE))),"")</f>
        <v/>
      </c>
      <c r="J57" s="10" t="str">
        <f>IFERROR((IF(VLOOKUP(A57,'ECN-ECO_DATA'!B:Q,14,FALSE)="","",VLOOKUP(A57,'ECN-ECO_DATA'!B:Q,14,FALSE))),"")</f>
        <v/>
      </c>
      <c r="K57" s="10" t="str">
        <f>IFERROR((IF(VLOOKUP(A57,'ECN-ECO_DATA'!B:Q,15,FALSE)="","",VLOOKUP(A57,'ECN-ECO_DATA'!B:Q,15,FALSE))),"")</f>
        <v/>
      </c>
      <c r="L57" s="10" t="str">
        <f>IFERROR((IF(VLOOKUP(A57,'ECN-ECO_DATA'!B:Q,16,FALSE)="","",VLOOKUP(A57,'ECN-ECO_DATA'!B:Q,16,FALSE))),"")</f>
        <v/>
      </c>
      <c r="M57" s="9" t="str">
        <f>IFERROR((IF(VLOOKUP(A57,'ECN-ECO_DATA'!B:V,18,FALSE)=0/1/1900,"",VLOOKUP(A57,'ECN-ECO_DATA'!B:V,18,FALSE))),"")</f>
        <v/>
      </c>
      <c r="N57" s="9" t="str">
        <f>IFERROR((IF(VLOOKUP(A57,'ECN-ECO_DATA'!B:V,19,FALSE)=0/1/1900,"",VLOOKUP(A57,'ECN-ECO_DATA'!B:V,19,FALSE))),"")</f>
        <v/>
      </c>
      <c r="O57" s="9" t="str">
        <f>IFERROR((IF(VLOOKUP(A57,'ECN-ECO_DATA'!B:V,20,FALSE)=0/1/1900,"",VLOOKUP(A57,'ECN-ECO_DATA'!B:V,20,FALSE))),"")</f>
        <v/>
      </c>
      <c r="P57" s="9" t="str">
        <f>IFERROR((IF(VLOOKUP(A57,'ECN-ECO_DATA'!B:V,21,FALSE)=0/1/1900,"",VLOOKUP(A57,'ECN-ECO_DATA'!B:V,21,FALSE))),"")</f>
        <v/>
      </c>
      <c r="Q57" s="10" t="str">
        <f t="shared" ca="1" si="0"/>
        <v/>
      </c>
      <c r="R57" s="4" t="str">
        <f t="shared" si="1"/>
        <v/>
      </c>
      <c r="S57" s="4" t="str">
        <f t="shared" si="2"/>
        <v/>
      </c>
      <c r="T57" s="4" t="str">
        <f t="shared" si="3"/>
        <v/>
      </c>
      <c r="U57" s="10" t="str">
        <f t="shared" si="4"/>
        <v/>
      </c>
      <c r="V57" s="4"/>
    </row>
    <row r="58" spans="2:22" x14ac:dyDescent="0.25">
      <c r="B58" s="4" t="str">
        <f>IFERROR(VLOOKUP(A58,'ECN-ECO_DATA'!B:G,4,FALSE),"")</f>
        <v/>
      </c>
      <c r="C58" s="9" t="str">
        <f>IFERROR(VLOOKUP(A58,'ECN-ECO_DATA'!B:G,5,FALSE),"")</f>
        <v/>
      </c>
      <c r="D58" s="9" t="str">
        <f ca="1">IFERROR((IF(VLOOKUP(A58,'ECN-ECO_DATA'!B:G,6,FALSE)=0/1/1900,TODAY(),VLOOKUP(A58,'ECN-ECO_DATA'!B:G,6,FALSE))),"")</f>
        <v/>
      </c>
      <c r="E58" s="9" t="str">
        <f>IFERROR((IF(VLOOKUP(A58,'ECN-ECO_DATA'!B:G,6,FALSE)=0/1/1900,"",VLOOKUP(A58,'ECN-ECO_DATA'!B:G,6,FALSE))),"")</f>
        <v/>
      </c>
      <c r="F58" s="9" t="str">
        <f>IFERROR((IF(VLOOKUP(A58,'ECN-ECO_DATA'!B:J,7,FALSE)=0/1/1900,"",VLOOKUP(A58,'ECN-ECO_DATA'!B:J,7,FALSE))),"")</f>
        <v/>
      </c>
      <c r="G58" s="9" t="str">
        <f>IFERROR((IF(VLOOKUP(A58,'ECN-ECO_DATA'!B:J,8,FALSE)=0/1/1900,"",VLOOKUP(A58,'ECN-ECO_DATA'!B:J,8,FALSE))),"")</f>
        <v/>
      </c>
      <c r="H58" s="9" t="str">
        <f>IFERROR((IF(VLOOKUP(A58,'ECN-ECO_DATA'!B:J,9,FALSE)=0/1/1900,"",VLOOKUP(A58,'ECN-ECO_DATA'!B:J,9,FALSE))),"")</f>
        <v/>
      </c>
      <c r="I58" s="10" t="str">
        <f>IFERROR((IF(VLOOKUP(A58,'ECN-ECO_DATA'!B:Q,13,FALSE)="","",VLOOKUP(A58,'ECN-ECO_DATA'!B:Q,13,FALSE))),"")</f>
        <v/>
      </c>
      <c r="J58" s="10" t="str">
        <f>IFERROR((IF(VLOOKUP(A58,'ECN-ECO_DATA'!B:Q,14,FALSE)="","",VLOOKUP(A58,'ECN-ECO_DATA'!B:Q,14,FALSE))),"")</f>
        <v/>
      </c>
      <c r="K58" s="10" t="str">
        <f>IFERROR((IF(VLOOKUP(A58,'ECN-ECO_DATA'!B:Q,15,FALSE)="","",VLOOKUP(A58,'ECN-ECO_DATA'!B:Q,15,FALSE))),"")</f>
        <v/>
      </c>
      <c r="L58" s="10" t="str">
        <f>IFERROR((IF(VLOOKUP(A58,'ECN-ECO_DATA'!B:Q,16,FALSE)="","",VLOOKUP(A58,'ECN-ECO_DATA'!B:Q,16,FALSE))),"")</f>
        <v/>
      </c>
      <c r="M58" s="9" t="str">
        <f>IFERROR((IF(VLOOKUP(A58,'ECN-ECO_DATA'!B:V,18,FALSE)=0/1/1900,"",VLOOKUP(A58,'ECN-ECO_DATA'!B:V,18,FALSE))),"")</f>
        <v/>
      </c>
      <c r="N58" s="9" t="str">
        <f>IFERROR((IF(VLOOKUP(A58,'ECN-ECO_DATA'!B:V,19,FALSE)=0/1/1900,"",VLOOKUP(A58,'ECN-ECO_DATA'!B:V,19,FALSE))),"")</f>
        <v/>
      </c>
      <c r="O58" s="9" t="str">
        <f>IFERROR((IF(VLOOKUP(A58,'ECN-ECO_DATA'!B:V,20,FALSE)=0/1/1900,"",VLOOKUP(A58,'ECN-ECO_DATA'!B:V,20,FALSE))),"")</f>
        <v/>
      </c>
      <c r="P58" s="9" t="str">
        <f>IFERROR((IF(VLOOKUP(A58,'ECN-ECO_DATA'!B:V,21,FALSE)=0/1/1900,"",VLOOKUP(A58,'ECN-ECO_DATA'!B:V,21,FALSE))),"")</f>
        <v/>
      </c>
      <c r="Q58" s="10" t="str">
        <f t="shared" ca="1" si="0"/>
        <v/>
      </c>
      <c r="R58" s="4" t="str">
        <f t="shared" si="1"/>
        <v/>
      </c>
      <c r="S58" s="4" t="str">
        <f t="shared" si="2"/>
        <v/>
      </c>
      <c r="T58" s="4" t="str">
        <f t="shared" si="3"/>
        <v/>
      </c>
      <c r="U58" s="10" t="str">
        <f t="shared" si="4"/>
        <v/>
      </c>
      <c r="V58" s="4"/>
    </row>
    <row r="59" spans="2:22" x14ac:dyDescent="0.25">
      <c r="B59" s="4" t="str">
        <f>IFERROR(VLOOKUP(A59,'ECN-ECO_DATA'!B:G,4,FALSE),"")</f>
        <v/>
      </c>
      <c r="C59" s="9" t="str">
        <f>IFERROR(VLOOKUP(A59,'ECN-ECO_DATA'!B:G,5,FALSE),"")</f>
        <v/>
      </c>
      <c r="D59" s="9" t="str">
        <f ca="1">IFERROR((IF(VLOOKUP(A59,'ECN-ECO_DATA'!B:G,6,FALSE)=0/1/1900,TODAY(),VLOOKUP(A59,'ECN-ECO_DATA'!B:G,6,FALSE))),"")</f>
        <v/>
      </c>
      <c r="E59" s="9" t="str">
        <f>IFERROR((IF(VLOOKUP(A59,'ECN-ECO_DATA'!B:G,6,FALSE)=0/1/1900,"",VLOOKUP(A59,'ECN-ECO_DATA'!B:G,6,FALSE))),"")</f>
        <v/>
      </c>
      <c r="F59" s="9" t="str">
        <f>IFERROR((IF(VLOOKUP(A59,'ECN-ECO_DATA'!B:J,7,FALSE)=0/1/1900,"",VLOOKUP(A59,'ECN-ECO_DATA'!B:J,7,FALSE))),"")</f>
        <v/>
      </c>
      <c r="G59" s="9" t="str">
        <f>IFERROR((IF(VLOOKUP(A59,'ECN-ECO_DATA'!B:J,8,FALSE)=0/1/1900,"",VLOOKUP(A59,'ECN-ECO_DATA'!B:J,8,FALSE))),"")</f>
        <v/>
      </c>
      <c r="H59" s="9" t="str">
        <f>IFERROR((IF(VLOOKUP(A59,'ECN-ECO_DATA'!B:J,9,FALSE)=0/1/1900,"",VLOOKUP(A59,'ECN-ECO_DATA'!B:J,9,FALSE))),"")</f>
        <v/>
      </c>
      <c r="I59" s="10" t="str">
        <f>IFERROR((IF(VLOOKUP(A59,'ECN-ECO_DATA'!B:Q,13,FALSE)="","",VLOOKUP(A59,'ECN-ECO_DATA'!B:Q,13,FALSE))),"")</f>
        <v/>
      </c>
      <c r="J59" s="10" t="str">
        <f>IFERROR((IF(VLOOKUP(A59,'ECN-ECO_DATA'!B:Q,14,FALSE)="","",VLOOKUP(A59,'ECN-ECO_DATA'!B:Q,14,FALSE))),"")</f>
        <v/>
      </c>
      <c r="K59" s="10" t="str">
        <f>IFERROR((IF(VLOOKUP(A59,'ECN-ECO_DATA'!B:Q,15,FALSE)="","",VLOOKUP(A59,'ECN-ECO_DATA'!B:Q,15,FALSE))),"")</f>
        <v/>
      </c>
      <c r="L59" s="10" t="str">
        <f>IFERROR((IF(VLOOKUP(A59,'ECN-ECO_DATA'!B:Q,16,FALSE)="","",VLOOKUP(A59,'ECN-ECO_DATA'!B:Q,16,FALSE))),"")</f>
        <v/>
      </c>
      <c r="M59" s="9" t="str">
        <f>IFERROR((IF(VLOOKUP(A59,'ECN-ECO_DATA'!B:V,18,FALSE)=0/1/1900,"",VLOOKUP(A59,'ECN-ECO_DATA'!B:V,18,FALSE))),"")</f>
        <v/>
      </c>
      <c r="N59" s="9" t="str">
        <f>IFERROR((IF(VLOOKUP(A59,'ECN-ECO_DATA'!B:V,19,FALSE)=0/1/1900,"",VLOOKUP(A59,'ECN-ECO_DATA'!B:V,19,FALSE))),"")</f>
        <v/>
      </c>
      <c r="O59" s="9" t="str">
        <f>IFERROR((IF(VLOOKUP(A59,'ECN-ECO_DATA'!B:V,20,FALSE)=0/1/1900,"",VLOOKUP(A59,'ECN-ECO_DATA'!B:V,20,FALSE))),"")</f>
        <v/>
      </c>
      <c r="P59" s="9" t="str">
        <f>IFERROR((IF(VLOOKUP(A59,'ECN-ECO_DATA'!B:V,21,FALSE)=0/1/1900,"",VLOOKUP(A59,'ECN-ECO_DATA'!B:V,21,FALSE))),"")</f>
        <v/>
      </c>
      <c r="Q59" s="10" t="str">
        <f t="shared" ca="1" si="0"/>
        <v/>
      </c>
      <c r="R59" s="4" t="str">
        <f t="shared" si="1"/>
        <v/>
      </c>
      <c r="S59" s="4" t="str">
        <f t="shared" si="2"/>
        <v/>
      </c>
      <c r="T59" s="4" t="str">
        <f t="shared" si="3"/>
        <v/>
      </c>
      <c r="U59" s="10" t="str">
        <f t="shared" si="4"/>
        <v/>
      </c>
      <c r="V59" s="4"/>
    </row>
    <row r="60" spans="2:22" x14ac:dyDescent="0.25">
      <c r="B60" s="4" t="str">
        <f>IFERROR(VLOOKUP(A60,'ECN-ECO_DATA'!B:G,4,FALSE),"")</f>
        <v/>
      </c>
      <c r="C60" s="9" t="str">
        <f>IFERROR(VLOOKUP(A60,'ECN-ECO_DATA'!B:G,5,FALSE),"")</f>
        <v/>
      </c>
      <c r="D60" s="9" t="str">
        <f ca="1">IFERROR((IF(VLOOKUP(A60,'ECN-ECO_DATA'!B:G,6,FALSE)=0/1/1900,TODAY(),VLOOKUP(A60,'ECN-ECO_DATA'!B:G,6,FALSE))),"")</f>
        <v/>
      </c>
      <c r="E60" s="9" t="str">
        <f>IFERROR((IF(VLOOKUP(A60,'ECN-ECO_DATA'!B:G,6,FALSE)=0/1/1900,"",VLOOKUP(A60,'ECN-ECO_DATA'!B:G,6,FALSE))),"")</f>
        <v/>
      </c>
      <c r="F60" s="9" t="str">
        <f>IFERROR((IF(VLOOKUP(A60,'ECN-ECO_DATA'!B:J,7,FALSE)=0/1/1900,"",VLOOKUP(A60,'ECN-ECO_DATA'!B:J,7,FALSE))),"")</f>
        <v/>
      </c>
      <c r="G60" s="9" t="str">
        <f>IFERROR((IF(VLOOKUP(A60,'ECN-ECO_DATA'!B:J,8,FALSE)=0/1/1900,"",VLOOKUP(A60,'ECN-ECO_DATA'!B:J,8,FALSE))),"")</f>
        <v/>
      </c>
      <c r="H60" s="9" t="str">
        <f>IFERROR((IF(VLOOKUP(A60,'ECN-ECO_DATA'!B:J,9,FALSE)=0/1/1900,"",VLOOKUP(A60,'ECN-ECO_DATA'!B:J,9,FALSE))),"")</f>
        <v/>
      </c>
      <c r="I60" s="10" t="str">
        <f>IFERROR((IF(VLOOKUP(A60,'ECN-ECO_DATA'!B:Q,13,FALSE)="","",VLOOKUP(A60,'ECN-ECO_DATA'!B:Q,13,FALSE))),"")</f>
        <v/>
      </c>
      <c r="J60" s="10" t="str">
        <f>IFERROR((IF(VLOOKUP(A60,'ECN-ECO_DATA'!B:Q,14,FALSE)="","",VLOOKUP(A60,'ECN-ECO_DATA'!B:Q,14,FALSE))),"")</f>
        <v/>
      </c>
      <c r="K60" s="10" t="str">
        <f>IFERROR((IF(VLOOKUP(A60,'ECN-ECO_DATA'!B:Q,15,FALSE)="","",VLOOKUP(A60,'ECN-ECO_DATA'!B:Q,15,FALSE))),"")</f>
        <v/>
      </c>
      <c r="L60" s="10" t="str">
        <f>IFERROR((IF(VLOOKUP(A60,'ECN-ECO_DATA'!B:Q,16,FALSE)="","",VLOOKUP(A60,'ECN-ECO_DATA'!B:Q,16,FALSE))),"")</f>
        <v/>
      </c>
      <c r="M60" s="9" t="str">
        <f>IFERROR((IF(VLOOKUP(A60,'ECN-ECO_DATA'!B:V,18,FALSE)=0/1/1900,"",VLOOKUP(A60,'ECN-ECO_DATA'!B:V,18,FALSE))),"")</f>
        <v/>
      </c>
      <c r="N60" s="9" t="str">
        <f>IFERROR((IF(VLOOKUP(A60,'ECN-ECO_DATA'!B:V,19,FALSE)=0/1/1900,"",VLOOKUP(A60,'ECN-ECO_DATA'!B:V,19,FALSE))),"")</f>
        <v/>
      </c>
      <c r="O60" s="9" t="str">
        <f>IFERROR((IF(VLOOKUP(A60,'ECN-ECO_DATA'!B:V,20,FALSE)=0/1/1900,"",VLOOKUP(A60,'ECN-ECO_DATA'!B:V,20,FALSE))),"")</f>
        <v/>
      </c>
      <c r="P60" s="9" t="str">
        <f>IFERROR((IF(VLOOKUP(A60,'ECN-ECO_DATA'!B:V,21,FALSE)=0/1/1900,"",VLOOKUP(A60,'ECN-ECO_DATA'!B:V,21,FALSE))),"")</f>
        <v/>
      </c>
      <c r="Q60" s="10" t="str">
        <f t="shared" ca="1" si="0"/>
        <v/>
      </c>
      <c r="R60" s="4" t="str">
        <f t="shared" si="1"/>
        <v/>
      </c>
      <c r="S60" s="4" t="str">
        <f t="shared" si="2"/>
        <v/>
      </c>
      <c r="T60" s="4" t="str">
        <f t="shared" si="3"/>
        <v/>
      </c>
      <c r="U60" s="10" t="str">
        <f t="shared" si="4"/>
        <v/>
      </c>
      <c r="V60" s="4"/>
    </row>
    <row r="61" spans="2:22" x14ac:dyDescent="0.25">
      <c r="B61" s="4" t="str">
        <f>IFERROR(VLOOKUP(A61,'ECN-ECO_DATA'!B:G,4,FALSE),"")</f>
        <v/>
      </c>
      <c r="C61" s="9" t="str">
        <f>IFERROR(VLOOKUP(A61,'ECN-ECO_DATA'!B:G,5,FALSE),"")</f>
        <v/>
      </c>
      <c r="D61" s="9" t="str">
        <f ca="1">IFERROR((IF(VLOOKUP(A61,'ECN-ECO_DATA'!B:G,6,FALSE)=0/1/1900,TODAY(),VLOOKUP(A61,'ECN-ECO_DATA'!B:G,6,FALSE))),"")</f>
        <v/>
      </c>
      <c r="E61" s="9" t="str">
        <f>IFERROR((IF(VLOOKUP(A61,'ECN-ECO_DATA'!B:G,6,FALSE)=0/1/1900,"",VLOOKUP(A61,'ECN-ECO_DATA'!B:G,6,FALSE))),"")</f>
        <v/>
      </c>
      <c r="F61" s="9" t="str">
        <f>IFERROR((IF(VLOOKUP(A61,'ECN-ECO_DATA'!B:J,7,FALSE)=0/1/1900,"",VLOOKUP(A61,'ECN-ECO_DATA'!B:J,7,FALSE))),"")</f>
        <v/>
      </c>
      <c r="G61" s="9" t="str">
        <f>IFERROR((IF(VLOOKUP(A61,'ECN-ECO_DATA'!B:J,8,FALSE)=0/1/1900,"",VLOOKUP(A61,'ECN-ECO_DATA'!B:J,8,FALSE))),"")</f>
        <v/>
      </c>
      <c r="H61" s="9" t="str">
        <f>IFERROR((IF(VLOOKUP(A61,'ECN-ECO_DATA'!B:J,9,FALSE)=0/1/1900,"",VLOOKUP(A61,'ECN-ECO_DATA'!B:J,9,FALSE))),"")</f>
        <v/>
      </c>
      <c r="I61" s="10" t="str">
        <f>IFERROR((IF(VLOOKUP(A61,'ECN-ECO_DATA'!B:Q,13,FALSE)="","",VLOOKUP(A61,'ECN-ECO_DATA'!B:Q,13,FALSE))),"")</f>
        <v/>
      </c>
      <c r="J61" s="10" t="str">
        <f>IFERROR((IF(VLOOKUP(A61,'ECN-ECO_DATA'!B:Q,14,FALSE)="","",VLOOKUP(A61,'ECN-ECO_DATA'!B:Q,14,FALSE))),"")</f>
        <v/>
      </c>
      <c r="K61" s="10" t="str">
        <f>IFERROR((IF(VLOOKUP(A61,'ECN-ECO_DATA'!B:Q,15,FALSE)="","",VLOOKUP(A61,'ECN-ECO_DATA'!B:Q,15,FALSE))),"")</f>
        <v/>
      </c>
      <c r="L61" s="10" t="str">
        <f>IFERROR((IF(VLOOKUP(A61,'ECN-ECO_DATA'!B:Q,16,FALSE)="","",VLOOKUP(A61,'ECN-ECO_DATA'!B:Q,16,FALSE))),"")</f>
        <v/>
      </c>
      <c r="M61" s="9" t="str">
        <f>IFERROR((IF(VLOOKUP(A61,'ECN-ECO_DATA'!B:V,18,FALSE)=0/1/1900,"",VLOOKUP(A61,'ECN-ECO_DATA'!B:V,18,FALSE))),"")</f>
        <v/>
      </c>
      <c r="N61" s="9" t="str">
        <f>IFERROR((IF(VLOOKUP(A61,'ECN-ECO_DATA'!B:V,19,FALSE)=0/1/1900,"",VLOOKUP(A61,'ECN-ECO_DATA'!B:V,19,FALSE))),"")</f>
        <v/>
      </c>
      <c r="O61" s="9" t="str">
        <f>IFERROR((IF(VLOOKUP(A61,'ECN-ECO_DATA'!B:V,20,FALSE)=0/1/1900,"",VLOOKUP(A61,'ECN-ECO_DATA'!B:V,20,FALSE))),"")</f>
        <v/>
      </c>
      <c r="P61" s="9" t="str">
        <f>IFERROR((IF(VLOOKUP(A61,'ECN-ECO_DATA'!B:V,21,FALSE)=0/1/1900,"",VLOOKUP(A61,'ECN-ECO_DATA'!B:V,21,FALSE))),"")</f>
        <v/>
      </c>
      <c r="Q61" s="10" t="str">
        <f t="shared" ca="1" si="0"/>
        <v/>
      </c>
      <c r="R61" s="4" t="str">
        <f t="shared" si="1"/>
        <v/>
      </c>
      <c r="S61" s="4" t="str">
        <f t="shared" si="2"/>
        <v/>
      </c>
      <c r="T61" s="4" t="str">
        <f t="shared" si="3"/>
        <v/>
      </c>
      <c r="U61" s="10" t="str">
        <f t="shared" si="4"/>
        <v/>
      </c>
      <c r="V61" s="4"/>
    </row>
    <row r="62" spans="2:22" x14ac:dyDescent="0.25">
      <c r="B62" s="4" t="str">
        <f>IFERROR(VLOOKUP(A62,'ECN-ECO_DATA'!B:G,4,FALSE),"")</f>
        <v/>
      </c>
      <c r="C62" s="9" t="str">
        <f>IFERROR(VLOOKUP(A62,'ECN-ECO_DATA'!B:G,5,FALSE),"")</f>
        <v/>
      </c>
      <c r="D62" s="9" t="str">
        <f ca="1">IFERROR((IF(VLOOKUP(A62,'ECN-ECO_DATA'!B:G,6,FALSE)=0/1/1900,TODAY(),VLOOKUP(A62,'ECN-ECO_DATA'!B:G,6,FALSE))),"")</f>
        <v/>
      </c>
      <c r="E62" s="9" t="str">
        <f>IFERROR((IF(VLOOKUP(A62,'ECN-ECO_DATA'!B:G,6,FALSE)=0/1/1900,"",VLOOKUP(A62,'ECN-ECO_DATA'!B:G,6,FALSE))),"")</f>
        <v/>
      </c>
      <c r="F62" s="9" t="str">
        <f>IFERROR((IF(VLOOKUP(A62,'ECN-ECO_DATA'!B:J,7,FALSE)=0/1/1900,"",VLOOKUP(A62,'ECN-ECO_DATA'!B:J,7,FALSE))),"")</f>
        <v/>
      </c>
      <c r="G62" s="9" t="str">
        <f>IFERROR((IF(VLOOKUP(A62,'ECN-ECO_DATA'!B:J,8,FALSE)=0/1/1900,"",VLOOKUP(A62,'ECN-ECO_DATA'!B:J,8,FALSE))),"")</f>
        <v/>
      </c>
      <c r="H62" s="9" t="str">
        <f>IFERROR((IF(VLOOKUP(A62,'ECN-ECO_DATA'!B:J,9,FALSE)=0/1/1900,"",VLOOKUP(A62,'ECN-ECO_DATA'!B:J,9,FALSE))),"")</f>
        <v/>
      </c>
      <c r="I62" s="10" t="str">
        <f>IFERROR((IF(VLOOKUP(A62,'ECN-ECO_DATA'!B:Q,13,FALSE)="","",VLOOKUP(A62,'ECN-ECO_DATA'!B:Q,13,FALSE))),"")</f>
        <v/>
      </c>
      <c r="J62" s="10" t="str">
        <f>IFERROR((IF(VLOOKUP(A62,'ECN-ECO_DATA'!B:Q,14,FALSE)="","",VLOOKUP(A62,'ECN-ECO_DATA'!B:Q,14,FALSE))),"")</f>
        <v/>
      </c>
      <c r="K62" s="10" t="str">
        <f>IFERROR((IF(VLOOKUP(A62,'ECN-ECO_DATA'!B:Q,15,FALSE)="","",VLOOKUP(A62,'ECN-ECO_DATA'!B:Q,15,FALSE))),"")</f>
        <v/>
      </c>
      <c r="L62" s="10" t="str">
        <f>IFERROR((IF(VLOOKUP(A62,'ECN-ECO_DATA'!B:Q,16,FALSE)="","",VLOOKUP(A62,'ECN-ECO_DATA'!B:Q,16,FALSE))),"")</f>
        <v/>
      </c>
      <c r="M62" s="9" t="str">
        <f>IFERROR((IF(VLOOKUP(A62,'ECN-ECO_DATA'!B:V,18,FALSE)=0/1/1900,"",VLOOKUP(A62,'ECN-ECO_DATA'!B:V,18,FALSE))),"")</f>
        <v/>
      </c>
      <c r="N62" s="9" t="str">
        <f>IFERROR((IF(VLOOKUP(A62,'ECN-ECO_DATA'!B:V,19,FALSE)=0/1/1900,"",VLOOKUP(A62,'ECN-ECO_DATA'!B:V,19,FALSE))),"")</f>
        <v/>
      </c>
      <c r="O62" s="9" t="str">
        <f>IFERROR((IF(VLOOKUP(A62,'ECN-ECO_DATA'!B:V,20,FALSE)=0/1/1900,"",VLOOKUP(A62,'ECN-ECO_DATA'!B:V,20,FALSE))),"")</f>
        <v/>
      </c>
      <c r="P62" s="9" t="str">
        <f>IFERROR((IF(VLOOKUP(A62,'ECN-ECO_DATA'!B:V,21,FALSE)=0/1/1900,"",VLOOKUP(A62,'ECN-ECO_DATA'!B:V,21,FALSE))),"")</f>
        <v/>
      </c>
      <c r="Q62" s="10" t="str">
        <f t="shared" ca="1" si="0"/>
        <v/>
      </c>
      <c r="R62" s="4" t="str">
        <f t="shared" si="1"/>
        <v/>
      </c>
      <c r="S62" s="4" t="str">
        <f t="shared" si="2"/>
        <v/>
      </c>
      <c r="T62" s="4" t="str">
        <f t="shared" si="3"/>
        <v/>
      </c>
      <c r="U62" s="10" t="str">
        <f t="shared" si="4"/>
        <v/>
      </c>
      <c r="V62" s="4"/>
    </row>
    <row r="63" spans="2:22" x14ac:dyDescent="0.25">
      <c r="B63" s="4" t="str">
        <f>IFERROR(VLOOKUP(A63,'ECN-ECO_DATA'!B:G,4,FALSE),"")</f>
        <v/>
      </c>
      <c r="C63" s="9" t="str">
        <f>IFERROR(VLOOKUP(A63,'ECN-ECO_DATA'!B:G,5,FALSE),"")</f>
        <v/>
      </c>
      <c r="D63" s="9" t="str">
        <f ca="1">IFERROR((IF(VLOOKUP(A63,'ECN-ECO_DATA'!B:G,6,FALSE)=0/1/1900,TODAY(),VLOOKUP(A63,'ECN-ECO_DATA'!B:G,6,FALSE))),"")</f>
        <v/>
      </c>
      <c r="E63" s="9" t="str">
        <f>IFERROR((IF(VLOOKUP(A63,'ECN-ECO_DATA'!B:G,6,FALSE)=0/1/1900,"",VLOOKUP(A63,'ECN-ECO_DATA'!B:G,6,FALSE))),"")</f>
        <v/>
      </c>
      <c r="F63" s="9" t="str">
        <f>IFERROR((IF(VLOOKUP(A63,'ECN-ECO_DATA'!B:J,7,FALSE)=0/1/1900,"",VLOOKUP(A63,'ECN-ECO_DATA'!B:J,7,FALSE))),"")</f>
        <v/>
      </c>
      <c r="G63" s="9" t="str">
        <f>IFERROR((IF(VLOOKUP(A63,'ECN-ECO_DATA'!B:J,8,FALSE)=0/1/1900,"",VLOOKUP(A63,'ECN-ECO_DATA'!B:J,8,FALSE))),"")</f>
        <v/>
      </c>
      <c r="H63" s="9" t="str">
        <f>IFERROR((IF(VLOOKUP(A63,'ECN-ECO_DATA'!B:J,9,FALSE)=0/1/1900,"",VLOOKUP(A63,'ECN-ECO_DATA'!B:J,9,FALSE))),"")</f>
        <v/>
      </c>
      <c r="I63" s="10" t="str">
        <f>IFERROR((IF(VLOOKUP(A63,'ECN-ECO_DATA'!B:Q,13,FALSE)="","",VLOOKUP(A63,'ECN-ECO_DATA'!B:Q,13,FALSE))),"")</f>
        <v/>
      </c>
      <c r="J63" s="10" t="str">
        <f>IFERROR((IF(VLOOKUP(A63,'ECN-ECO_DATA'!B:Q,14,FALSE)="","",VLOOKUP(A63,'ECN-ECO_DATA'!B:Q,14,FALSE))),"")</f>
        <v/>
      </c>
      <c r="K63" s="10" t="str">
        <f>IFERROR((IF(VLOOKUP(A63,'ECN-ECO_DATA'!B:Q,15,FALSE)="","",VLOOKUP(A63,'ECN-ECO_DATA'!B:Q,15,FALSE))),"")</f>
        <v/>
      </c>
      <c r="L63" s="10" t="str">
        <f>IFERROR((IF(VLOOKUP(A63,'ECN-ECO_DATA'!B:Q,16,FALSE)="","",VLOOKUP(A63,'ECN-ECO_DATA'!B:Q,16,FALSE))),"")</f>
        <v/>
      </c>
      <c r="M63" s="9" t="str">
        <f>IFERROR((IF(VLOOKUP(A63,'ECN-ECO_DATA'!B:V,18,FALSE)=0/1/1900,"",VLOOKUP(A63,'ECN-ECO_DATA'!B:V,18,FALSE))),"")</f>
        <v/>
      </c>
      <c r="N63" s="9" t="str">
        <f>IFERROR((IF(VLOOKUP(A63,'ECN-ECO_DATA'!B:V,19,FALSE)=0/1/1900,"",VLOOKUP(A63,'ECN-ECO_DATA'!B:V,19,FALSE))),"")</f>
        <v/>
      </c>
      <c r="O63" s="9" t="str">
        <f>IFERROR((IF(VLOOKUP(A63,'ECN-ECO_DATA'!B:V,20,FALSE)=0/1/1900,"",VLOOKUP(A63,'ECN-ECO_DATA'!B:V,20,FALSE))),"")</f>
        <v/>
      </c>
      <c r="P63" s="9" t="str">
        <f>IFERROR((IF(VLOOKUP(A63,'ECN-ECO_DATA'!B:V,21,FALSE)=0/1/1900,"",VLOOKUP(A63,'ECN-ECO_DATA'!B:V,21,FALSE))),"")</f>
        <v/>
      </c>
      <c r="Q63" s="10" t="str">
        <f t="shared" ca="1" si="0"/>
        <v/>
      </c>
      <c r="R63" s="4" t="str">
        <f t="shared" si="1"/>
        <v/>
      </c>
      <c r="S63" s="4" t="str">
        <f t="shared" si="2"/>
        <v/>
      </c>
      <c r="T63" s="4" t="str">
        <f t="shared" si="3"/>
        <v/>
      </c>
      <c r="U63" s="10" t="str">
        <f t="shared" si="4"/>
        <v/>
      </c>
      <c r="V63" s="4"/>
    </row>
    <row r="64" spans="2:22" x14ac:dyDescent="0.25">
      <c r="B64" s="4" t="str">
        <f>IFERROR(VLOOKUP(A64,'ECN-ECO_DATA'!B:G,4,FALSE),"")</f>
        <v/>
      </c>
      <c r="C64" s="9" t="str">
        <f>IFERROR(VLOOKUP(A64,'ECN-ECO_DATA'!B:G,5,FALSE),"")</f>
        <v/>
      </c>
      <c r="D64" s="9" t="str">
        <f ca="1">IFERROR((IF(VLOOKUP(A64,'ECN-ECO_DATA'!B:G,6,FALSE)=0/1/1900,TODAY(),VLOOKUP(A64,'ECN-ECO_DATA'!B:G,6,FALSE))),"")</f>
        <v/>
      </c>
      <c r="E64" s="9" t="str">
        <f>IFERROR((IF(VLOOKUP(A64,'ECN-ECO_DATA'!B:G,6,FALSE)=0/1/1900,"",VLOOKUP(A64,'ECN-ECO_DATA'!B:G,6,FALSE))),"")</f>
        <v/>
      </c>
      <c r="F64" s="9" t="str">
        <f>IFERROR((IF(VLOOKUP(A64,'ECN-ECO_DATA'!B:J,7,FALSE)=0/1/1900,"",VLOOKUP(A64,'ECN-ECO_DATA'!B:J,7,FALSE))),"")</f>
        <v/>
      </c>
      <c r="G64" s="9" t="str">
        <f>IFERROR((IF(VLOOKUP(A64,'ECN-ECO_DATA'!B:J,8,FALSE)=0/1/1900,"",VLOOKUP(A64,'ECN-ECO_DATA'!B:J,8,FALSE))),"")</f>
        <v/>
      </c>
      <c r="H64" s="9" t="str">
        <f>IFERROR((IF(VLOOKUP(A64,'ECN-ECO_DATA'!B:J,9,FALSE)=0/1/1900,"",VLOOKUP(A64,'ECN-ECO_DATA'!B:J,9,FALSE))),"")</f>
        <v/>
      </c>
      <c r="I64" s="10" t="str">
        <f>IFERROR((IF(VLOOKUP(A64,'ECN-ECO_DATA'!B:Q,13,FALSE)="","",VLOOKUP(A64,'ECN-ECO_DATA'!B:Q,13,FALSE))),"")</f>
        <v/>
      </c>
      <c r="J64" s="10" t="str">
        <f>IFERROR((IF(VLOOKUP(A64,'ECN-ECO_DATA'!B:Q,14,FALSE)="","",VLOOKUP(A64,'ECN-ECO_DATA'!B:Q,14,FALSE))),"")</f>
        <v/>
      </c>
      <c r="K64" s="10" t="str">
        <f>IFERROR((IF(VLOOKUP(A64,'ECN-ECO_DATA'!B:Q,15,FALSE)="","",VLOOKUP(A64,'ECN-ECO_DATA'!B:Q,15,FALSE))),"")</f>
        <v/>
      </c>
      <c r="L64" s="10" t="str">
        <f>IFERROR((IF(VLOOKUP(A64,'ECN-ECO_DATA'!B:Q,16,FALSE)="","",VLOOKUP(A64,'ECN-ECO_DATA'!B:Q,16,FALSE))),"")</f>
        <v/>
      </c>
      <c r="M64" s="9" t="str">
        <f>IFERROR((IF(VLOOKUP(A64,'ECN-ECO_DATA'!B:V,18,FALSE)=0/1/1900,"",VLOOKUP(A64,'ECN-ECO_DATA'!B:V,18,FALSE))),"")</f>
        <v/>
      </c>
      <c r="N64" s="9" t="str">
        <f>IFERROR((IF(VLOOKUP(A64,'ECN-ECO_DATA'!B:V,19,FALSE)=0/1/1900,"",VLOOKUP(A64,'ECN-ECO_DATA'!B:V,19,FALSE))),"")</f>
        <v/>
      </c>
      <c r="O64" s="9" t="str">
        <f>IFERROR((IF(VLOOKUP(A64,'ECN-ECO_DATA'!B:V,20,FALSE)=0/1/1900,"",VLOOKUP(A64,'ECN-ECO_DATA'!B:V,20,FALSE))),"")</f>
        <v/>
      </c>
      <c r="P64" s="9" t="str">
        <f>IFERROR((IF(VLOOKUP(A64,'ECN-ECO_DATA'!B:V,21,FALSE)=0/1/1900,"",VLOOKUP(A64,'ECN-ECO_DATA'!B:V,21,FALSE))),"")</f>
        <v/>
      </c>
      <c r="Q64" s="10" t="str">
        <f t="shared" ca="1" si="0"/>
        <v/>
      </c>
      <c r="R64" s="4" t="str">
        <f t="shared" si="1"/>
        <v/>
      </c>
      <c r="S64" s="4" t="str">
        <f t="shared" si="2"/>
        <v/>
      </c>
      <c r="T64" s="4" t="str">
        <f t="shared" si="3"/>
        <v/>
      </c>
      <c r="U64" s="10" t="str">
        <f t="shared" si="4"/>
        <v/>
      </c>
      <c r="V64" s="4"/>
    </row>
    <row r="65" spans="2:22" x14ac:dyDescent="0.25">
      <c r="B65" s="4" t="str">
        <f>IFERROR(VLOOKUP(A65,'ECN-ECO_DATA'!B:G,4,FALSE),"")</f>
        <v/>
      </c>
      <c r="C65" s="9" t="str">
        <f>IFERROR(VLOOKUP(A65,'ECN-ECO_DATA'!B:G,5,FALSE),"")</f>
        <v/>
      </c>
      <c r="D65" s="9" t="str">
        <f ca="1">IFERROR((IF(VLOOKUP(A65,'ECN-ECO_DATA'!B:G,6,FALSE)=0/1/1900,TODAY(),VLOOKUP(A65,'ECN-ECO_DATA'!B:G,6,FALSE))),"")</f>
        <v/>
      </c>
      <c r="E65" s="9" t="str">
        <f>IFERROR((IF(VLOOKUP(A65,'ECN-ECO_DATA'!B:G,6,FALSE)=0/1/1900,"",VLOOKUP(A65,'ECN-ECO_DATA'!B:G,6,FALSE))),"")</f>
        <v/>
      </c>
      <c r="F65" s="9" t="str">
        <f>IFERROR((IF(VLOOKUP(A65,'ECN-ECO_DATA'!B:J,7,FALSE)=0/1/1900,"",VLOOKUP(A65,'ECN-ECO_DATA'!B:J,7,FALSE))),"")</f>
        <v/>
      </c>
      <c r="G65" s="9" t="str">
        <f>IFERROR((IF(VLOOKUP(A65,'ECN-ECO_DATA'!B:J,8,FALSE)=0/1/1900,"",VLOOKUP(A65,'ECN-ECO_DATA'!B:J,8,FALSE))),"")</f>
        <v/>
      </c>
      <c r="H65" s="9" t="str">
        <f>IFERROR((IF(VLOOKUP(A65,'ECN-ECO_DATA'!B:J,9,FALSE)=0/1/1900,"",VLOOKUP(A65,'ECN-ECO_DATA'!B:J,9,FALSE))),"")</f>
        <v/>
      </c>
      <c r="I65" s="10" t="str">
        <f>IFERROR((IF(VLOOKUP(A65,'ECN-ECO_DATA'!B:Q,13,FALSE)="","",VLOOKUP(A65,'ECN-ECO_DATA'!B:Q,13,FALSE))),"")</f>
        <v/>
      </c>
      <c r="J65" s="10" t="str">
        <f>IFERROR((IF(VLOOKUP(A65,'ECN-ECO_DATA'!B:Q,14,FALSE)="","",VLOOKUP(A65,'ECN-ECO_DATA'!B:Q,14,FALSE))),"")</f>
        <v/>
      </c>
      <c r="K65" s="10" t="str">
        <f>IFERROR((IF(VLOOKUP(A65,'ECN-ECO_DATA'!B:Q,15,FALSE)="","",VLOOKUP(A65,'ECN-ECO_DATA'!B:Q,15,FALSE))),"")</f>
        <v/>
      </c>
      <c r="L65" s="10" t="str">
        <f>IFERROR((IF(VLOOKUP(A65,'ECN-ECO_DATA'!B:Q,16,FALSE)="","",VLOOKUP(A65,'ECN-ECO_DATA'!B:Q,16,FALSE))),"")</f>
        <v/>
      </c>
      <c r="M65" s="9" t="str">
        <f>IFERROR((IF(VLOOKUP(A65,'ECN-ECO_DATA'!B:V,18,FALSE)=0/1/1900,"",VLOOKUP(A65,'ECN-ECO_DATA'!B:V,18,FALSE))),"")</f>
        <v/>
      </c>
      <c r="N65" s="9" t="str">
        <f>IFERROR((IF(VLOOKUP(A65,'ECN-ECO_DATA'!B:V,19,FALSE)=0/1/1900,"",VLOOKUP(A65,'ECN-ECO_DATA'!B:V,19,FALSE))),"")</f>
        <v/>
      </c>
      <c r="O65" s="9" t="str">
        <f>IFERROR((IF(VLOOKUP(A65,'ECN-ECO_DATA'!B:V,20,FALSE)=0/1/1900,"",VLOOKUP(A65,'ECN-ECO_DATA'!B:V,20,FALSE))),"")</f>
        <v/>
      </c>
      <c r="P65" s="9" t="str">
        <f>IFERROR((IF(VLOOKUP(A65,'ECN-ECO_DATA'!B:V,21,FALSE)=0/1/1900,"",VLOOKUP(A65,'ECN-ECO_DATA'!B:V,21,FALSE))),"")</f>
        <v/>
      </c>
      <c r="Q65" s="10" t="str">
        <f t="shared" ca="1" si="0"/>
        <v/>
      </c>
      <c r="R65" s="4" t="str">
        <f t="shared" si="1"/>
        <v/>
      </c>
      <c r="S65" s="4" t="str">
        <f t="shared" si="2"/>
        <v/>
      </c>
      <c r="T65" s="4" t="str">
        <f t="shared" si="3"/>
        <v/>
      </c>
      <c r="U65" s="10" t="str">
        <f t="shared" si="4"/>
        <v/>
      </c>
      <c r="V65" s="4"/>
    </row>
    <row r="66" spans="2:22" x14ac:dyDescent="0.25">
      <c r="B66" s="4" t="str">
        <f>IFERROR(VLOOKUP(A66,'ECN-ECO_DATA'!B:G,4,FALSE),"")</f>
        <v/>
      </c>
      <c r="C66" s="9" t="str">
        <f>IFERROR(VLOOKUP(A66,'ECN-ECO_DATA'!B:G,5,FALSE),"")</f>
        <v/>
      </c>
      <c r="D66" s="9" t="str">
        <f ca="1">IFERROR((IF(VLOOKUP(A66,'ECN-ECO_DATA'!B:G,6,FALSE)=0/1/1900,TODAY(),VLOOKUP(A66,'ECN-ECO_DATA'!B:G,6,FALSE))),"")</f>
        <v/>
      </c>
      <c r="E66" s="9" t="str">
        <f>IFERROR((IF(VLOOKUP(A66,'ECN-ECO_DATA'!B:G,6,FALSE)=0/1/1900,"",VLOOKUP(A66,'ECN-ECO_DATA'!B:G,6,FALSE))),"")</f>
        <v/>
      </c>
      <c r="F66" s="9" t="str">
        <f>IFERROR((IF(VLOOKUP(A66,'ECN-ECO_DATA'!B:J,7,FALSE)=0/1/1900,"",VLOOKUP(A66,'ECN-ECO_DATA'!B:J,7,FALSE))),"")</f>
        <v/>
      </c>
      <c r="G66" s="9" t="str">
        <f>IFERROR((IF(VLOOKUP(A66,'ECN-ECO_DATA'!B:J,8,FALSE)=0/1/1900,"",VLOOKUP(A66,'ECN-ECO_DATA'!B:J,8,FALSE))),"")</f>
        <v/>
      </c>
      <c r="H66" s="9" t="str">
        <f>IFERROR((IF(VLOOKUP(A66,'ECN-ECO_DATA'!B:J,9,FALSE)=0/1/1900,"",VLOOKUP(A66,'ECN-ECO_DATA'!B:J,9,FALSE))),"")</f>
        <v/>
      </c>
      <c r="I66" s="10" t="str">
        <f>IFERROR((IF(VLOOKUP(A66,'ECN-ECO_DATA'!B:Q,13,FALSE)="","",VLOOKUP(A66,'ECN-ECO_DATA'!B:Q,13,FALSE))),"")</f>
        <v/>
      </c>
      <c r="J66" s="10" t="str">
        <f>IFERROR((IF(VLOOKUP(A66,'ECN-ECO_DATA'!B:Q,14,FALSE)="","",VLOOKUP(A66,'ECN-ECO_DATA'!B:Q,14,FALSE))),"")</f>
        <v/>
      </c>
      <c r="K66" s="10" t="str">
        <f>IFERROR((IF(VLOOKUP(A66,'ECN-ECO_DATA'!B:Q,15,FALSE)="","",VLOOKUP(A66,'ECN-ECO_DATA'!B:Q,15,FALSE))),"")</f>
        <v/>
      </c>
      <c r="L66" s="10" t="str">
        <f>IFERROR((IF(VLOOKUP(A66,'ECN-ECO_DATA'!B:Q,16,FALSE)="","",VLOOKUP(A66,'ECN-ECO_DATA'!B:Q,16,FALSE))),"")</f>
        <v/>
      </c>
      <c r="M66" s="9" t="str">
        <f>IFERROR((IF(VLOOKUP(A66,'ECN-ECO_DATA'!B:V,18,FALSE)=0/1/1900,"",VLOOKUP(A66,'ECN-ECO_DATA'!B:V,18,FALSE))),"")</f>
        <v/>
      </c>
      <c r="N66" s="9" t="str">
        <f>IFERROR((IF(VLOOKUP(A66,'ECN-ECO_DATA'!B:V,19,FALSE)=0/1/1900,"",VLOOKUP(A66,'ECN-ECO_DATA'!B:V,19,FALSE))),"")</f>
        <v/>
      </c>
      <c r="O66" s="9" t="str">
        <f>IFERROR((IF(VLOOKUP(A66,'ECN-ECO_DATA'!B:V,20,FALSE)=0/1/1900,"",VLOOKUP(A66,'ECN-ECO_DATA'!B:V,20,FALSE))),"")</f>
        <v/>
      </c>
      <c r="P66" s="9" t="str">
        <f>IFERROR((IF(VLOOKUP(A66,'ECN-ECO_DATA'!B:V,21,FALSE)=0/1/1900,"",VLOOKUP(A66,'ECN-ECO_DATA'!B:V,21,FALSE))),"")</f>
        <v/>
      </c>
      <c r="Q66" s="10" t="str">
        <f t="shared" ca="1" si="0"/>
        <v/>
      </c>
      <c r="R66" s="4" t="str">
        <f t="shared" si="1"/>
        <v/>
      </c>
      <c r="S66" s="4" t="str">
        <f t="shared" si="2"/>
        <v/>
      </c>
      <c r="T66" s="4" t="str">
        <f t="shared" si="3"/>
        <v/>
      </c>
      <c r="U66" s="10" t="str">
        <f t="shared" si="4"/>
        <v/>
      </c>
      <c r="V66" s="4"/>
    </row>
    <row r="67" spans="2:22" x14ac:dyDescent="0.25">
      <c r="B67" s="4" t="str">
        <f>IFERROR(VLOOKUP(A67,'ECN-ECO_DATA'!B:G,4,FALSE),"")</f>
        <v/>
      </c>
      <c r="C67" s="9" t="str">
        <f>IFERROR(VLOOKUP(A67,'ECN-ECO_DATA'!B:G,5,FALSE),"")</f>
        <v/>
      </c>
      <c r="D67" s="9" t="str">
        <f ca="1">IFERROR((IF(VLOOKUP(A67,'ECN-ECO_DATA'!B:G,6,FALSE)=0/1/1900,TODAY(),VLOOKUP(A67,'ECN-ECO_DATA'!B:G,6,FALSE))),"")</f>
        <v/>
      </c>
      <c r="E67" s="9" t="str">
        <f>IFERROR((IF(VLOOKUP(A67,'ECN-ECO_DATA'!B:G,6,FALSE)=0/1/1900,"",VLOOKUP(A67,'ECN-ECO_DATA'!B:G,6,FALSE))),"")</f>
        <v/>
      </c>
      <c r="F67" s="9" t="str">
        <f>IFERROR((IF(VLOOKUP(A67,'ECN-ECO_DATA'!B:J,7,FALSE)=0/1/1900,"",VLOOKUP(A67,'ECN-ECO_DATA'!B:J,7,FALSE))),"")</f>
        <v/>
      </c>
      <c r="G67" s="9" t="str">
        <f>IFERROR((IF(VLOOKUP(A67,'ECN-ECO_DATA'!B:J,8,FALSE)=0/1/1900,"",VLOOKUP(A67,'ECN-ECO_DATA'!B:J,8,FALSE))),"")</f>
        <v/>
      </c>
      <c r="H67" s="9" t="str">
        <f>IFERROR((IF(VLOOKUP(A67,'ECN-ECO_DATA'!B:J,9,FALSE)=0/1/1900,"",VLOOKUP(A67,'ECN-ECO_DATA'!B:J,9,FALSE))),"")</f>
        <v/>
      </c>
      <c r="I67" s="10" t="str">
        <f>IFERROR((IF(VLOOKUP(A67,'ECN-ECO_DATA'!B:Q,13,FALSE)="","",VLOOKUP(A67,'ECN-ECO_DATA'!B:Q,13,FALSE))),"")</f>
        <v/>
      </c>
      <c r="J67" s="10" t="str">
        <f>IFERROR((IF(VLOOKUP(A67,'ECN-ECO_DATA'!B:Q,14,FALSE)="","",VLOOKUP(A67,'ECN-ECO_DATA'!B:Q,14,FALSE))),"")</f>
        <v/>
      </c>
      <c r="K67" s="10" t="str">
        <f>IFERROR((IF(VLOOKUP(A67,'ECN-ECO_DATA'!B:Q,15,FALSE)="","",VLOOKUP(A67,'ECN-ECO_DATA'!B:Q,15,FALSE))),"")</f>
        <v/>
      </c>
      <c r="L67" s="10" t="str">
        <f>IFERROR((IF(VLOOKUP(A67,'ECN-ECO_DATA'!B:Q,16,FALSE)="","",VLOOKUP(A67,'ECN-ECO_DATA'!B:Q,16,FALSE))),"")</f>
        <v/>
      </c>
      <c r="M67" s="9" t="str">
        <f>IFERROR((IF(VLOOKUP(A67,'ECN-ECO_DATA'!B:V,18,FALSE)=0/1/1900,"",VLOOKUP(A67,'ECN-ECO_DATA'!B:V,18,FALSE))),"")</f>
        <v/>
      </c>
      <c r="N67" s="9" t="str">
        <f>IFERROR((IF(VLOOKUP(A67,'ECN-ECO_DATA'!B:V,19,FALSE)=0/1/1900,"",VLOOKUP(A67,'ECN-ECO_DATA'!B:V,19,FALSE))),"")</f>
        <v/>
      </c>
      <c r="O67" s="9" t="str">
        <f>IFERROR((IF(VLOOKUP(A67,'ECN-ECO_DATA'!B:V,20,FALSE)=0/1/1900,"",VLOOKUP(A67,'ECN-ECO_DATA'!B:V,20,FALSE))),"")</f>
        <v/>
      </c>
      <c r="P67" s="9" t="str">
        <f>IFERROR((IF(VLOOKUP(A67,'ECN-ECO_DATA'!B:V,21,FALSE)=0/1/1900,"",VLOOKUP(A67,'ECN-ECO_DATA'!B:V,21,FALSE))),"")</f>
        <v/>
      </c>
      <c r="Q67" s="10" t="str">
        <f t="shared" ref="Q67:Q130" ca="1" si="5">IFERROR(D67-C67,"")</f>
        <v/>
      </c>
      <c r="R67" s="4" t="str">
        <f t="shared" ref="R67:R130" si="6">IFERROR(H67-E67,"")</f>
        <v/>
      </c>
      <c r="S67" s="4" t="str">
        <f t="shared" ref="S67:S130" si="7">IFERROR(N67-H67,"")</f>
        <v/>
      </c>
      <c r="T67" s="4" t="str">
        <f t="shared" ref="T67:T130" si="8">IFERROR(O67-N67,"")</f>
        <v/>
      </c>
      <c r="U67" s="10" t="str">
        <f t="shared" ref="U67:U130" si="9">IF(O67="","",IF(SUM(Q67:T67)=0,"",SUM(Q67:T67)))</f>
        <v/>
      </c>
      <c r="V67" s="4"/>
    </row>
    <row r="68" spans="2:22" x14ac:dyDescent="0.25">
      <c r="B68" s="4" t="str">
        <f>IFERROR(VLOOKUP(A68,'ECN-ECO_DATA'!B:G,4,FALSE),"")</f>
        <v/>
      </c>
      <c r="C68" s="9" t="str">
        <f>IFERROR(VLOOKUP(A68,'ECN-ECO_DATA'!B:G,5,FALSE),"")</f>
        <v/>
      </c>
      <c r="D68" s="9" t="str">
        <f ca="1">IFERROR((IF(VLOOKUP(A68,'ECN-ECO_DATA'!B:G,6,FALSE)=0/1/1900,TODAY(),VLOOKUP(A68,'ECN-ECO_DATA'!B:G,6,FALSE))),"")</f>
        <v/>
      </c>
      <c r="E68" s="9" t="str">
        <f>IFERROR((IF(VLOOKUP(A68,'ECN-ECO_DATA'!B:G,6,FALSE)=0/1/1900,"",VLOOKUP(A68,'ECN-ECO_DATA'!B:G,6,FALSE))),"")</f>
        <v/>
      </c>
      <c r="F68" s="9" t="str">
        <f>IFERROR((IF(VLOOKUP(A68,'ECN-ECO_DATA'!B:J,7,FALSE)=0/1/1900,"",VLOOKUP(A68,'ECN-ECO_DATA'!B:J,7,FALSE))),"")</f>
        <v/>
      </c>
      <c r="G68" s="9" t="str">
        <f>IFERROR((IF(VLOOKUP(A68,'ECN-ECO_DATA'!B:J,8,FALSE)=0/1/1900,"",VLOOKUP(A68,'ECN-ECO_DATA'!B:J,8,FALSE))),"")</f>
        <v/>
      </c>
      <c r="H68" s="9" t="str">
        <f>IFERROR((IF(VLOOKUP(A68,'ECN-ECO_DATA'!B:J,9,FALSE)=0/1/1900,"",VLOOKUP(A68,'ECN-ECO_DATA'!B:J,9,FALSE))),"")</f>
        <v/>
      </c>
      <c r="I68" s="10" t="str">
        <f>IFERROR((IF(VLOOKUP(A68,'ECN-ECO_DATA'!B:Q,13,FALSE)="","",VLOOKUP(A68,'ECN-ECO_DATA'!B:Q,13,FALSE))),"")</f>
        <v/>
      </c>
      <c r="J68" s="10" t="str">
        <f>IFERROR((IF(VLOOKUP(A68,'ECN-ECO_DATA'!B:Q,14,FALSE)="","",VLOOKUP(A68,'ECN-ECO_DATA'!B:Q,14,FALSE))),"")</f>
        <v/>
      </c>
      <c r="K68" s="10" t="str">
        <f>IFERROR((IF(VLOOKUP(A68,'ECN-ECO_DATA'!B:Q,15,FALSE)="","",VLOOKUP(A68,'ECN-ECO_DATA'!B:Q,15,FALSE))),"")</f>
        <v/>
      </c>
      <c r="L68" s="10" t="str">
        <f>IFERROR((IF(VLOOKUP(A68,'ECN-ECO_DATA'!B:Q,16,FALSE)="","",VLOOKUP(A68,'ECN-ECO_DATA'!B:Q,16,FALSE))),"")</f>
        <v/>
      </c>
      <c r="M68" s="9" t="str">
        <f>IFERROR((IF(VLOOKUP(A68,'ECN-ECO_DATA'!B:V,18,FALSE)=0/1/1900,"",VLOOKUP(A68,'ECN-ECO_DATA'!B:V,18,FALSE))),"")</f>
        <v/>
      </c>
      <c r="N68" s="9" t="str">
        <f>IFERROR((IF(VLOOKUP(A68,'ECN-ECO_DATA'!B:V,19,FALSE)=0/1/1900,"",VLOOKUP(A68,'ECN-ECO_DATA'!B:V,19,FALSE))),"")</f>
        <v/>
      </c>
      <c r="O68" s="9" t="str">
        <f>IFERROR((IF(VLOOKUP(A68,'ECN-ECO_DATA'!B:V,20,FALSE)=0/1/1900,"",VLOOKUP(A68,'ECN-ECO_DATA'!B:V,20,FALSE))),"")</f>
        <v/>
      </c>
      <c r="P68" s="9" t="str">
        <f>IFERROR((IF(VLOOKUP(A68,'ECN-ECO_DATA'!B:V,21,FALSE)=0/1/1900,"",VLOOKUP(A68,'ECN-ECO_DATA'!B:V,21,FALSE))),"")</f>
        <v/>
      </c>
      <c r="Q68" s="10" t="str">
        <f t="shared" ca="1" si="5"/>
        <v/>
      </c>
      <c r="R68" s="4" t="str">
        <f t="shared" si="6"/>
        <v/>
      </c>
      <c r="S68" s="4" t="str">
        <f t="shared" si="7"/>
        <v/>
      </c>
      <c r="T68" s="4" t="str">
        <f t="shared" si="8"/>
        <v/>
      </c>
      <c r="U68" s="10" t="str">
        <f t="shared" si="9"/>
        <v/>
      </c>
      <c r="V68" s="4"/>
    </row>
    <row r="69" spans="2:22" x14ac:dyDescent="0.25">
      <c r="B69" s="4" t="str">
        <f>IFERROR(VLOOKUP(A69,'ECN-ECO_DATA'!B:G,4,FALSE),"")</f>
        <v/>
      </c>
      <c r="C69" s="9" t="str">
        <f>IFERROR(VLOOKUP(A69,'ECN-ECO_DATA'!B:G,5,FALSE),"")</f>
        <v/>
      </c>
      <c r="D69" s="9" t="str">
        <f ca="1">IFERROR((IF(VLOOKUP(A69,'ECN-ECO_DATA'!B:G,6,FALSE)=0/1/1900,TODAY(),VLOOKUP(A69,'ECN-ECO_DATA'!B:G,6,FALSE))),"")</f>
        <v/>
      </c>
      <c r="E69" s="9" t="str">
        <f>IFERROR((IF(VLOOKUP(A69,'ECN-ECO_DATA'!B:G,6,FALSE)=0/1/1900,"",VLOOKUP(A69,'ECN-ECO_DATA'!B:G,6,FALSE))),"")</f>
        <v/>
      </c>
      <c r="F69" s="9" t="str">
        <f>IFERROR((IF(VLOOKUP(A69,'ECN-ECO_DATA'!B:J,7,FALSE)=0/1/1900,"",VLOOKUP(A69,'ECN-ECO_DATA'!B:J,7,FALSE))),"")</f>
        <v/>
      </c>
      <c r="G69" s="9" t="str">
        <f>IFERROR((IF(VLOOKUP(A69,'ECN-ECO_DATA'!B:J,8,FALSE)=0/1/1900,"",VLOOKUP(A69,'ECN-ECO_DATA'!B:J,8,FALSE))),"")</f>
        <v/>
      </c>
      <c r="H69" s="9" t="str">
        <f>IFERROR((IF(VLOOKUP(A69,'ECN-ECO_DATA'!B:J,9,FALSE)=0/1/1900,"",VLOOKUP(A69,'ECN-ECO_DATA'!B:J,9,FALSE))),"")</f>
        <v/>
      </c>
      <c r="I69" s="10" t="str">
        <f>IFERROR((IF(VLOOKUP(A69,'ECN-ECO_DATA'!B:Q,13,FALSE)="","",VLOOKUP(A69,'ECN-ECO_DATA'!B:Q,13,FALSE))),"")</f>
        <v/>
      </c>
      <c r="J69" s="10" t="str">
        <f>IFERROR((IF(VLOOKUP(A69,'ECN-ECO_DATA'!B:Q,14,FALSE)="","",VLOOKUP(A69,'ECN-ECO_DATA'!B:Q,14,FALSE))),"")</f>
        <v/>
      </c>
      <c r="K69" s="10" t="str">
        <f>IFERROR((IF(VLOOKUP(A69,'ECN-ECO_DATA'!B:Q,15,FALSE)="","",VLOOKUP(A69,'ECN-ECO_DATA'!B:Q,15,FALSE))),"")</f>
        <v/>
      </c>
      <c r="L69" s="10" t="str">
        <f>IFERROR((IF(VLOOKUP(A69,'ECN-ECO_DATA'!B:Q,16,FALSE)="","",VLOOKUP(A69,'ECN-ECO_DATA'!B:Q,16,FALSE))),"")</f>
        <v/>
      </c>
      <c r="M69" s="9" t="str">
        <f>IFERROR((IF(VLOOKUP(A69,'ECN-ECO_DATA'!B:V,18,FALSE)=0/1/1900,"",VLOOKUP(A69,'ECN-ECO_DATA'!B:V,18,FALSE))),"")</f>
        <v/>
      </c>
      <c r="N69" s="9" t="str">
        <f>IFERROR((IF(VLOOKUP(A69,'ECN-ECO_DATA'!B:V,19,FALSE)=0/1/1900,"",VLOOKUP(A69,'ECN-ECO_DATA'!B:V,19,FALSE))),"")</f>
        <v/>
      </c>
      <c r="O69" s="9" t="str">
        <f>IFERROR((IF(VLOOKUP(A69,'ECN-ECO_DATA'!B:V,20,FALSE)=0/1/1900,"",VLOOKUP(A69,'ECN-ECO_DATA'!B:V,20,FALSE))),"")</f>
        <v/>
      </c>
      <c r="P69" s="9" t="str">
        <f>IFERROR((IF(VLOOKUP(A69,'ECN-ECO_DATA'!B:V,21,FALSE)=0/1/1900,"",VLOOKUP(A69,'ECN-ECO_DATA'!B:V,21,FALSE))),"")</f>
        <v/>
      </c>
      <c r="Q69" s="10" t="str">
        <f t="shared" ca="1" si="5"/>
        <v/>
      </c>
      <c r="R69" s="4" t="str">
        <f t="shared" si="6"/>
        <v/>
      </c>
      <c r="S69" s="4" t="str">
        <f t="shared" si="7"/>
        <v/>
      </c>
      <c r="T69" s="4" t="str">
        <f t="shared" si="8"/>
        <v/>
      </c>
      <c r="U69" s="10" t="str">
        <f t="shared" si="9"/>
        <v/>
      </c>
      <c r="V69" s="4"/>
    </row>
    <row r="70" spans="2:22" x14ac:dyDescent="0.25">
      <c r="B70" s="4" t="str">
        <f>IFERROR(VLOOKUP(A70,'ECN-ECO_DATA'!B:G,4,FALSE),"")</f>
        <v/>
      </c>
      <c r="C70" s="9" t="str">
        <f>IFERROR(VLOOKUP(A70,'ECN-ECO_DATA'!B:G,5,FALSE),"")</f>
        <v/>
      </c>
      <c r="D70" s="9" t="str">
        <f ca="1">IFERROR((IF(VLOOKUP(A70,'ECN-ECO_DATA'!B:G,6,FALSE)=0/1/1900,TODAY(),VLOOKUP(A70,'ECN-ECO_DATA'!B:G,6,FALSE))),"")</f>
        <v/>
      </c>
      <c r="E70" s="9" t="str">
        <f>IFERROR((IF(VLOOKUP(A70,'ECN-ECO_DATA'!B:G,6,FALSE)=0/1/1900,"",VLOOKUP(A70,'ECN-ECO_DATA'!B:G,6,FALSE))),"")</f>
        <v/>
      </c>
      <c r="F70" s="9" t="str">
        <f>IFERROR((IF(VLOOKUP(A70,'ECN-ECO_DATA'!B:J,7,FALSE)=0/1/1900,"",VLOOKUP(A70,'ECN-ECO_DATA'!B:J,7,FALSE))),"")</f>
        <v/>
      </c>
      <c r="G70" s="9" t="str">
        <f>IFERROR((IF(VLOOKUP(A70,'ECN-ECO_DATA'!B:J,8,FALSE)=0/1/1900,"",VLOOKUP(A70,'ECN-ECO_DATA'!B:J,8,FALSE))),"")</f>
        <v/>
      </c>
      <c r="H70" s="9" t="str">
        <f>IFERROR((IF(VLOOKUP(A70,'ECN-ECO_DATA'!B:J,9,FALSE)=0/1/1900,"",VLOOKUP(A70,'ECN-ECO_DATA'!B:J,9,FALSE))),"")</f>
        <v/>
      </c>
      <c r="I70" s="10" t="str">
        <f>IFERROR((IF(VLOOKUP(A70,'ECN-ECO_DATA'!B:Q,13,FALSE)="","",VLOOKUP(A70,'ECN-ECO_DATA'!B:Q,13,FALSE))),"")</f>
        <v/>
      </c>
      <c r="J70" s="10" t="str">
        <f>IFERROR((IF(VLOOKUP(A70,'ECN-ECO_DATA'!B:Q,14,FALSE)="","",VLOOKUP(A70,'ECN-ECO_DATA'!B:Q,14,FALSE))),"")</f>
        <v/>
      </c>
      <c r="K70" s="10" t="str">
        <f>IFERROR((IF(VLOOKUP(A70,'ECN-ECO_DATA'!B:Q,15,FALSE)="","",VLOOKUP(A70,'ECN-ECO_DATA'!B:Q,15,FALSE))),"")</f>
        <v/>
      </c>
      <c r="L70" s="10" t="str">
        <f>IFERROR((IF(VLOOKUP(A70,'ECN-ECO_DATA'!B:Q,16,FALSE)="","",VLOOKUP(A70,'ECN-ECO_DATA'!B:Q,16,FALSE))),"")</f>
        <v/>
      </c>
      <c r="M70" s="9" t="str">
        <f>IFERROR((IF(VLOOKUP(A70,'ECN-ECO_DATA'!B:V,18,FALSE)=0/1/1900,"",VLOOKUP(A70,'ECN-ECO_DATA'!B:V,18,FALSE))),"")</f>
        <v/>
      </c>
      <c r="N70" s="9" t="str">
        <f>IFERROR((IF(VLOOKUP(A70,'ECN-ECO_DATA'!B:V,19,FALSE)=0/1/1900,"",VLOOKUP(A70,'ECN-ECO_DATA'!B:V,19,FALSE))),"")</f>
        <v/>
      </c>
      <c r="O70" s="9" t="str">
        <f>IFERROR((IF(VLOOKUP(A70,'ECN-ECO_DATA'!B:V,20,FALSE)=0/1/1900,"",VLOOKUP(A70,'ECN-ECO_DATA'!B:V,20,FALSE))),"")</f>
        <v/>
      </c>
      <c r="P70" s="9" t="str">
        <f>IFERROR((IF(VLOOKUP(A70,'ECN-ECO_DATA'!B:V,21,FALSE)=0/1/1900,"",VLOOKUP(A70,'ECN-ECO_DATA'!B:V,21,FALSE))),"")</f>
        <v/>
      </c>
      <c r="Q70" s="10" t="str">
        <f t="shared" ca="1" si="5"/>
        <v/>
      </c>
      <c r="R70" s="4" t="str">
        <f t="shared" si="6"/>
        <v/>
      </c>
      <c r="S70" s="4" t="str">
        <f t="shared" si="7"/>
        <v/>
      </c>
      <c r="T70" s="4" t="str">
        <f t="shared" si="8"/>
        <v/>
      </c>
      <c r="U70" s="10" t="str">
        <f t="shared" si="9"/>
        <v/>
      </c>
      <c r="V70" s="4"/>
    </row>
    <row r="71" spans="2:22" x14ac:dyDescent="0.25">
      <c r="B71" s="4" t="str">
        <f>IFERROR(VLOOKUP(A71,'ECN-ECO_DATA'!B:G,4,FALSE),"")</f>
        <v/>
      </c>
      <c r="C71" s="9" t="str">
        <f>IFERROR(VLOOKUP(A71,'ECN-ECO_DATA'!B:G,5,FALSE),"")</f>
        <v/>
      </c>
      <c r="D71" s="9" t="str">
        <f ca="1">IFERROR((IF(VLOOKUP(A71,'ECN-ECO_DATA'!B:G,6,FALSE)=0/1/1900,TODAY(),VLOOKUP(A71,'ECN-ECO_DATA'!B:G,6,FALSE))),"")</f>
        <v/>
      </c>
      <c r="E71" s="9" t="str">
        <f>IFERROR((IF(VLOOKUP(A71,'ECN-ECO_DATA'!B:G,6,FALSE)=0/1/1900,"",VLOOKUP(A71,'ECN-ECO_DATA'!B:G,6,FALSE))),"")</f>
        <v/>
      </c>
      <c r="F71" s="9" t="str">
        <f>IFERROR((IF(VLOOKUP(A71,'ECN-ECO_DATA'!B:J,7,FALSE)=0/1/1900,"",VLOOKUP(A71,'ECN-ECO_DATA'!B:J,7,FALSE))),"")</f>
        <v/>
      </c>
      <c r="G71" s="9" t="str">
        <f>IFERROR((IF(VLOOKUP(A71,'ECN-ECO_DATA'!B:J,8,FALSE)=0/1/1900,"",VLOOKUP(A71,'ECN-ECO_DATA'!B:J,8,FALSE))),"")</f>
        <v/>
      </c>
      <c r="H71" s="9" t="str">
        <f>IFERROR((IF(VLOOKUP(A71,'ECN-ECO_DATA'!B:J,9,FALSE)=0/1/1900,"",VLOOKUP(A71,'ECN-ECO_DATA'!B:J,9,FALSE))),"")</f>
        <v/>
      </c>
      <c r="I71" s="10" t="str">
        <f>IFERROR((IF(VLOOKUP(A71,'ECN-ECO_DATA'!B:Q,13,FALSE)="","",VLOOKUP(A71,'ECN-ECO_DATA'!B:Q,13,FALSE))),"")</f>
        <v/>
      </c>
      <c r="J71" s="10" t="str">
        <f>IFERROR((IF(VLOOKUP(A71,'ECN-ECO_DATA'!B:Q,14,FALSE)="","",VLOOKUP(A71,'ECN-ECO_DATA'!B:Q,14,FALSE))),"")</f>
        <v/>
      </c>
      <c r="K71" s="10" t="str">
        <f>IFERROR((IF(VLOOKUP(A71,'ECN-ECO_DATA'!B:Q,15,FALSE)="","",VLOOKUP(A71,'ECN-ECO_DATA'!B:Q,15,FALSE))),"")</f>
        <v/>
      </c>
      <c r="L71" s="10" t="str">
        <f>IFERROR((IF(VLOOKUP(A71,'ECN-ECO_DATA'!B:Q,16,FALSE)="","",VLOOKUP(A71,'ECN-ECO_DATA'!B:Q,16,FALSE))),"")</f>
        <v/>
      </c>
      <c r="M71" s="9" t="str">
        <f>IFERROR((IF(VLOOKUP(A71,'ECN-ECO_DATA'!B:V,18,FALSE)=0/1/1900,"",VLOOKUP(A71,'ECN-ECO_DATA'!B:V,18,FALSE))),"")</f>
        <v/>
      </c>
      <c r="N71" s="9" t="str">
        <f>IFERROR((IF(VLOOKUP(A71,'ECN-ECO_DATA'!B:V,19,FALSE)=0/1/1900,"",VLOOKUP(A71,'ECN-ECO_DATA'!B:V,19,FALSE))),"")</f>
        <v/>
      </c>
      <c r="O71" s="9" t="str">
        <f>IFERROR((IF(VLOOKUP(A71,'ECN-ECO_DATA'!B:V,20,FALSE)=0/1/1900,"",VLOOKUP(A71,'ECN-ECO_DATA'!B:V,20,FALSE))),"")</f>
        <v/>
      </c>
      <c r="P71" s="9" t="str">
        <f>IFERROR((IF(VLOOKUP(A71,'ECN-ECO_DATA'!B:V,21,FALSE)=0/1/1900,"",VLOOKUP(A71,'ECN-ECO_DATA'!B:V,21,FALSE))),"")</f>
        <v/>
      </c>
      <c r="Q71" s="10" t="str">
        <f t="shared" ca="1" si="5"/>
        <v/>
      </c>
      <c r="R71" s="4" t="str">
        <f t="shared" si="6"/>
        <v/>
      </c>
      <c r="S71" s="4" t="str">
        <f t="shared" si="7"/>
        <v/>
      </c>
      <c r="T71" s="4" t="str">
        <f t="shared" si="8"/>
        <v/>
      </c>
      <c r="U71" s="10" t="str">
        <f t="shared" si="9"/>
        <v/>
      </c>
      <c r="V71" s="4"/>
    </row>
    <row r="72" spans="2:22" x14ac:dyDescent="0.25">
      <c r="B72" s="4" t="str">
        <f>IFERROR(VLOOKUP(A72,'ECN-ECO_DATA'!B:G,4,FALSE),"")</f>
        <v/>
      </c>
      <c r="C72" s="9" t="str">
        <f>IFERROR(VLOOKUP(A72,'ECN-ECO_DATA'!B:G,5,FALSE),"")</f>
        <v/>
      </c>
      <c r="D72" s="9" t="str">
        <f ca="1">IFERROR((IF(VLOOKUP(A72,'ECN-ECO_DATA'!B:G,6,FALSE)=0/1/1900,TODAY(),VLOOKUP(A72,'ECN-ECO_DATA'!B:G,6,FALSE))),"")</f>
        <v/>
      </c>
      <c r="E72" s="9" t="str">
        <f>IFERROR((IF(VLOOKUP(A72,'ECN-ECO_DATA'!B:G,6,FALSE)=0/1/1900,"",VLOOKUP(A72,'ECN-ECO_DATA'!B:G,6,FALSE))),"")</f>
        <v/>
      </c>
      <c r="F72" s="9" t="str">
        <f>IFERROR((IF(VLOOKUP(A72,'ECN-ECO_DATA'!B:J,7,FALSE)=0/1/1900,"",VLOOKUP(A72,'ECN-ECO_DATA'!B:J,7,FALSE))),"")</f>
        <v/>
      </c>
      <c r="G72" s="9" t="str">
        <f>IFERROR((IF(VLOOKUP(A72,'ECN-ECO_DATA'!B:J,8,FALSE)=0/1/1900,"",VLOOKUP(A72,'ECN-ECO_DATA'!B:J,8,FALSE))),"")</f>
        <v/>
      </c>
      <c r="H72" s="9" t="str">
        <f>IFERROR((IF(VLOOKUP(A72,'ECN-ECO_DATA'!B:J,9,FALSE)=0/1/1900,"",VLOOKUP(A72,'ECN-ECO_DATA'!B:J,9,FALSE))),"")</f>
        <v/>
      </c>
      <c r="I72" s="10" t="str">
        <f>IFERROR((IF(VLOOKUP(A72,'ECN-ECO_DATA'!B:Q,13,FALSE)="","",VLOOKUP(A72,'ECN-ECO_DATA'!B:Q,13,FALSE))),"")</f>
        <v/>
      </c>
      <c r="J72" s="10" t="str">
        <f>IFERROR((IF(VLOOKUP(A72,'ECN-ECO_DATA'!B:Q,14,FALSE)="","",VLOOKUP(A72,'ECN-ECO_DATA'!B:Q,14,FALSE))),"")</f>
        <v/>
      </c>
      <c r="K72" s="10" t="str">
        <f>IFERROR((IF(VLOOKUP(A72,'ECN-ECO_DATA'!B:Q,15,FALSE)="","",VLOOKUP(A72,'ECN-ECO_DATA'!B:Q,15,FALSE))),"")</f>
        <v/>
      </c>
      <c r="L72" s="10" t="str">
        <f>IFERROR((IF(VLOOKUP(A72,'ECN-ECO_DATA'!B:Q,16,FALSE)="","",VLOOKUP(A72,'ECN-ECO_DATA'!B:Q,16,FALSE))),"")</f>
        <v/>
      </c>
      <c r="M72" s="9" t="str">
        <f>IFERROR((IF(VLOOKUP(A72,'ECN-ECO_DATA'!B:V,18,FALSE)=0/1/1900,"",VLOOKUP(A72,'ECN-ECO_DATA'!B:V,18,FALSE))),"")</f>
        <v/>
      </c>
      <c r="N72" s="9" t="str">
        <f>IFERROR((IF(VLOOKUP(A72,'ECN-ECO_DATA'!B:V,19,FALSE)=0/1/1900,"",VLOOKUP(A72,'ECN-ECO_DATA'!B:V,19,FALSE))),"")</f>
        <v/>
      </c>
      <c r="O72" s="9" t="str">
        <f>IFERROR((IF(VLOOKUP(A72,'ECN-ECO_DATA'!B:V,20,FALSE)=0/1/1900,"",VLOOKUP(A72,'ECN-ECO_DATA'!B:V,20,FALSE))),"")</f>
        <v/>
      </c>
      <c r="P72" s="9" t="str">
        <f>IFERROR((IF(VLOOKUP(A72,'ECN-ECO_DATA'!B:V,21,FALSE)=0/1/1900,"",VLOOKUP(A72,'ECN-ECO_DATA'!B:V,21,FALSE))),"")</f>
        <v/>
      </c>
      <c r="Q72" s="10" t="str">
        <f t="shared" ca="1" si="5"/>
        <v/>
      </c>
      <c r="R72" s="4" t="str">
        <f t="shared" si="6"/>
        <v/>
      </c>
      <c r="S72" s="4" t="str">
        <f t="shared" si="7"/>
        <v/>
      </c>
      <c r="T72" s="4" t="str">
        <f t="shared" si="8"/>
        <v/>
      </c>
      <c r="U72" s="10" t="str">
        <f t="shared" si="9"/>
        <v/>
      </c>
      <c r="V72" s="4"/>
    </row>
    <row r="73" spans="2:22" x14ac:dyDescent="0.25">
      <c r="B73" s="4" t="str">
        <f>IFERROR(VLOOKUP(A73,'ECN-ECO_DATA'!B:G,4,FALSE),"")</f>
        <v/>
      </c>
      <c r="C73" s="9" t="str">
        <f>IFERROR(VLOOKUP(A73,'ECN-ECO_DATA'!B:G,5,FALSE),"")</f>
        <v/>
      </c>
      <c r="D73" s="9" t="str">
        <f ca="1">IFERROR((IF(VLOOKUP(A73,'ECN-ECO_DATA'!B:G,6,FALSE)=0/1/1900,TODAY(),VLOOKUP(A73,'ECN-ECO_DATA'!B:G,6,FALSE))),"")</f>
        <v/>
      </c>
      <c r="E73" s="9" t="str">
        <f>IFERROR((IF(VLOOKUP(A73,'ECN-ECO_DATA'!B:G,6,FALSE)=0/1/1900,"",VLOOKUP(A73,'ECN-ECO_DATA'!B:G,6,FALSE))),"")</f>
        <v/>
      </c>
      <c r="F73" s="9" t="str">
        <f>IFERROR((IF(VLOOKUP(A73,'ECN-ECO_DATA'!B:J,7,FALSE)=0/1/1900,"",VLOOKUP(A73,'ECN-ECO_DATA'!B:J,7,FALSE))),"")</f>
        <v/>
      </c>
      <c r="G73" s="9" t="str">
        <f>IFERROR((IF(VLOOKUP(A73,'ECN-ECO_DATA'!B:J,8,FALSE)=0/1/1900,"",VLOOKUP(A73,'ECN-ECO_DATA'!B:J,8,FALSE))),"")</f>
        <v/>
      </c>
      <c r="H73" s="9" t="str">
        <f>IFERROR((IF(VLOOKUP(A73,'ECN-ECO_DATA'!B:J,9,FALSE)=0/1/1900,"",VLOOKUP(A73,'ECN-ECO_DATA'!B:J,9,FALSE))),"")</f>
        <v/>
      </c>
      <c r="I73" s="10" t="str">
        <f>IFERROR((IF(VLOOKUP(A73,'ECN-ECO_DATA'!B:Q,13,FALSE)="","",VLOOKUP(A73,'ECN-ECO_DATA'!B:Q,13,FALSE))),"")</f>
        <v/>
      </c>
      <c r="J73" s="10" t="str">
        <f>IFERROR((IF(VLOOKUP(A73,'ECN-ECO_DATA'!B:Q,14,FALSE)="","",VLOOKUP(A73,'ECN-ECO_DATA'!B:Q,14,FALSE))),"")</f>
        <v/>
      </c>
      <c r="K73" s="10" t="str">
        <f>IFERROR((IF(VLOOKUP(A73,'ECN-ECO_DATA'!B:Q,15,FALSE)="","",VLOOKUP(A73,'ECN-ECO_DATA'!B:Q,15,FALSE))),"")</f>
        <v/>
      </c>
      <c r="L73" s="10" t="str">
        <f>IFERROR((IF(VLOOKUP(A73,'ECN-ECO_DATA'!B:Q,16,FALSE)="","",VLOOKUP(A73,'ECN-ECO_DATA'!B:Q,16,FALSE))),"")</f>
        <v/>
      </c>
      <c r="M73" s="9" t="str">
        <f>IFERROR((IF(VLOOKUP(A73,'ECN-ECO_DATA'!B:V,18,FALSE)=0/1/1900,"",VLOOKUP(A73,'ECN-ECO_DATA'!B:V,18,FALSE))),"")</f>
        <v/>
      </c>
      <c r="N73" s="9" t="str">
        <f>IFERROR((IF(VLOOKUP(A73,'ECN-ECO_DATA'!B:V,19,FALSE)=0/1/1900,"",VLOOKUP(A73,'ECN-ECO_DATA'!B:V,19,FALSE))),"")</f>
        <v/>
      </c>
      <c r="O73" s="9" t="str">
        <f>IFERROR((IF(VLOOKUP(A73,'ECN-ECO_DATA'!B:V,20,FALSE)=0/1/1900,"",VLOOKUP(A73,'ECN-ECO_DATA'!B:V,20,FALSE))),"")</f>
        <v/>
      </c>
      <c r="P73" s="9" t="str">
        <f>IFERROR((IF(VLOOKUP(A73,'ECN-ECO_DATA'!B:V,21,FALSE)=0/1/1900,"",VLOOKUP(A73,'ECN-ECO_DATA'!B:V,21,FALSE))),"")</f>
        <v/>
      </c>
      <c r="Q73" s="10" t="str">
        <f t="shared" ca="1" si="5"/>
        <v/>
      </c>
      <c r="R73" s="4" t="str">
        <f t="shared" si="6"/>
        <v/>
      </c>
      <c r="S73" s="4" t="str">
        <f t="shared" si="7"/>
        <v/>
      </c>
      <c r="T73" s="4" t="str">
        <f t="shared" si="8"/>
        <v/>
      </c>
      <c r="U73" s="10" t="str">
        <f t="shared" si="9"/>
        <v/>
      </c>
      <c r="V73" s="4"/>
    </row>
    <row r="74" spans="2:22" x14ac:dyDescent="0.25">
      <c r="B74" s="4" t="str">
        <f>IFERROR(VLOOKUP(A74,'ECN-ECO_DATA'!B:G,4,FALSE),"")</f>
        <v/>
      </c>
      <c r="C74" s="9" t="str">
        <f>IFERROR(VLOOKUP(A74,'ECN-ECO_DATA'!B:G,5,FALSE),"")</f>
        <v/>
      </c>
      <c r="D74" s="9" t="str">
        <f ca="1">IFERROR((IF(VLOOKUP(A74,'ECN-ECO_DATA'!B:G,6,FALSE)=0/1/1900,TODAY(),VLOOKUP(A74,'ECN-ECO_DATA'!B:G,6,FALSE))),"")</f>
        <v/>
      </c>
      <c r="E74" s="9" t="str">
        <f>IFERROR((IF(VLOOKUP(A74,'ECN-ECO_DATA'!B:G,6,FALSE)=0/1/1900,"",VLOOKUP(A74,'ECN-ECO_DATA'!B:G,6,FALSE))),"")</f>
        <v/>
      </c>
      <c r="F74" s="9" t="str">
        <f>IFERROR((IF(VLOOKUP(A74,'ECN-ECO_DATA'!B:J,7,FALSE)=0/1/1900,"",VLOOKUP(A74,'ECN-ECO_DATA'!B:J,7,FALSE))),"")</f>
        <v/>
      </c>
      <c r="G74" s="9" t="str">
        <f>IFERROR((IF(VLOOKUP(A74,'ECN-ECO_DATA'!B:J,8,FALSE)=0/1/1900,"",VLOOKUP(A74,'ECN-ECO_DATA'!B:J,8,FALSE))),"")</f>
        <v/>
      </c>
      <c r="H74" s="9" t="str">
        <f>IFERROR((IF(VLOOKUP(A74,'ECN-ECO_DATA'!B:J,9,FALSE)=0/1/1900,"",VLOOKUP(A74,'ECN-ECO_DATA'!B:J,9,FALSE))),"")</f>
        <v/>
      </c>
      <c r="I74" s="10" t="str">
        <f>IFERROR((IF(VLOOKUP(A74,'ECN-ECO_DATA'!B:Q,13,FALSE)="","",VLOOKUP(A74,'ECN-ECO_DATA'!B:Q,13,FALSE))),"")</f>
        <v/>
      </c>
      <c r="J74" s="10" t="str">
        <f>IFERROR((IF(VLOOKUP(A74,'ECN-ECO_DATA'!B:Q,14,FALSE)="","",VLOOKUP(A74,'ECN-ECO_DATA'!B:Q,14,FALSE))),"")</f>
        <v/>
      </c>
      <c r="K74" s="10" t="str">
        <f>IFERROR((IF(VLOOKUP(A74,'ECN-ECO_DATA'!B:Q,15,FALSE)="","",VLOOKUP(A74,'ECN-ECO_DATA'!B:Q,15,FALSE))),"")</f>
        <v/>
      </c>
      <c r="L74" s="10" t="str">
        <f>IFERROR((IF(VLOOKUP(A74,'ECN-ECO_DATA'!B:Q,16,FALSE)="","",VLOOKUP(A74,'ECN-ECO_DATA'!B:Q,16,FALSE))),"")</f>
        <v/>
      </c>
      <c r="M74" s="9" t="str">
        <f>IFERROR((IF(VLOOKUP(A74,'ECN-ECO_DATA'!B:V,18,FALSE)=0/1/1900,"",VLOOKUP(A74,'ECN-ECO_DATA'!B:V,18,FALSE))),"")</f>
        <v/>
      </c>
      <c r="N74" s="9" t="str">
        <f>IFERROR((IF(VLOOKUP(A74,'ECN-ECO_DATA'!B:V,19,FALSE)=0/1/1900,"",VLOOKUP(A74,'ECN-ECO_DATA'!B:V,19,FALSE))),"")</f>
        <v/>
      </c>
      <c r="O74" s="9" t="str">
        <f>IFERROR((IF(VLOOKUP(A74,'ECN-ECO_DATA'!B:V,20,FALSE)=0/1/1900,"",VLOOKUP(A74,'ECN-ECO_DATA'!B:V,20,FALSE))),"")</f>
        <v/>
      </c>
      <c r="P74" s="9" t="str">
        <f>IFERROR((IF(VLOOKUP(A74,'ECN-ECO_DATA'!B:V,21,FALSE)=0/1/1900,"",VLOOKUP(A74,'ECN-ECO_DATA'!B:V,21,FALSE))),"")</f>
        <v/>
      </c>
      <c r="Q74" s="10" t="str">
        <f t="shared" ca="1" si="5"/>
        <v/>
      </c>
      <c r="R74" s="4" t="str">
        <f t="shared" si="6"/>
        <v/>
      </c>
      <c r="S74" s="4" t="str">
        <f t="shared" si="7"/>
        <v/>
      </c>
      <c r="T74" s="4" t="str">
        <f t="shared" si="8"/>
        <v/>
      </c>
      <c r="U74" s="10" t="str">
        <f t="shared" si="9"/>
        <v/>
      </c>
      <c r="V74" s="4"/>
    </row>
    <row r="75" spans="2:22" x14ac:dyDescent="0.25">
      <c r="B75" s="4" t="str">
        <f>IFERROR(VLOOKUP(A75,'ECN-ECO_DATA'!B:G,4,FALSE),"")</f>
        <v/>
      </c>
      <c r="C75" s="9" t="str">
        <f>IFERROR(VLOOKUP(A75,'ECN-ECO_DATA'!B:G,5,FALSE),"")</f>
        <v/>
      </c>
      <c r="D75" s="9" t="str">
        <f ca="1">IFERROR((IF(VLOOKUP(A75,'ECN-ECO_DATA'!B:G,6,FALSE)=0/1/1900,TODAY(),VLOOKUP(A75,'ECN-ECO_DATA'!B:G,6,FALSE))),"")</f>
        <v/>
      </c>
      <c r="E75" s="9" t="str">
        <f>IFERROR((IF(VLOOKUP(A75,'ECN-ECO_DATA'!B:G,6,FALSE)=0/1/1900,"",VLOOKUP(A75,'ECN-ECO_DATA'!B:G,6,FALSE))),"")</f>
        <v/>
      </c>
      <c r="F75" s="9" t="str">
        <f>IFERROR((IF(VLOOKUP(A75,'ECN-ECO_DATA'!B:J,7,FALSE)=0/1/1900,"",VLOOKUP(A75,'ECN-ECO_DATA'!B:J,7,FALSE))),"")</f>
        <v/>
      </c>
      <c r="G75" s="9" t="str">
        <f>IFERROR((IF(VLOOKUP(A75,'ECN-ECO_DATA'!B:J,8,FALSE)=0/1/1900,"",VLOOKUP(A75,'ECN-ECO_DATA'!B:J,8,FALSE))),"")</f>
        <v/>
      </c>
      <c r="H75" s="9" t="str">
        <f>IFERROR((IF(VLOOKUP(A75,'ECN-ECO_DATA'!B:J,9,FALSE)=0/1/1900,"",VLOOKUP(A75,'ECN-ECO_DATA'!B:J,9,FALSE))),"")</f>
        <v/>
      </c>
      <c r="I75" s="10" t="str">
        <f>IFERROR((IF(VLOOKUP(A75,'ECN-ECO_DATA'!B:Q,13,FALSE)="","",VLOOKUP(A75,'ECN-ECO_DATA'!B:Q,13,FALSE))),"")</f>
        <v/>
      </c>
      <c r="J75" s="10" t="str">
        <f>IFERROR((IF(VLOOKUP(A75,'ECN-ECO_DATA'!B:Q,14,FALSE)="","",VLOOKUP(A75,'ECN-ECO_DATA'!B:Q,14,FALSE))),"")</f>
        <v/>
      </c>
      <c r="K75" s="10" t="str">
        <f>IFERROR((IF(VLOOKUP(A75,'ECN-ECO_DATA'!B:Q,15,FALSE)="","",VLOOKUP(A75,'ECN-ECO_DATA'!B:Q,15,FALSE))),"")</f>
        <v/>
      </c>
      <c r="L75" s="10" t="str">
        <f>IFERROR((IF(VLOOKUP(A75,'ECN-ECO_DATA'!B:Q,16,FALSE)="","",VLOOKUP(A75,'ECN-ECO_DATA'!B:Q,16,FALSE))),"")</f>
        <v/>
      </c>
      <c r="M75" s="9" t="str">
        <f>IFERROR((IF(VLOOKUP(A75,'ECN-ECO_DATA'!B:V,18,FALSE)=0/1/1900,"",VLOOKUP(A75,'ECN-ECO_DATA'!B:V,18,FALSE))),"")</f>
        <v/>
      </c>
      <c r="N75" s="9" t="str">
        <f>IFERROR((IF(VLOOKUP(A75,'ECN-ECO_DATA'!B:V,19,FALSE)=0/1/1900,"",VLOOKUP(A75,'ECN-ECO_DATA'!B:V,19,FALSE))),"")</f>
        <v/>
      </c>
      <c r="O75" s="9" t="str">
        <f>IFERROR((IF(VLOOKUP(A75,'ECN-ECO_DATA'!B:V,20,FALSE)=0/1/1900,"",VLOOKUP(A75,'ECN-ECO_DATA'!B:V,20,FALSE))),"")</f>
        <v/>
      </c>
      <c r="P75" s="9" t="str">
        <f>IFERROR((IF(VLOOKUP(A75,'ECN-ECO_DATA'!B:V,21,FALSE)=0/1/1900,"",VLOOKUP(A75,'ECN-ECO_DATA'!B:V,21,FALSE))),"")</f>
        <v/>
      </c>
      <c r="Q75" s="10" t="str">
        <f t="shared" ca="1" si="5"/>
        <v/>
      </c>
      <c r="R75" s="4" t="str">
        <f t="shared" si="6"/>
        <v/>
      </c>
      <c r="S75" s="4" t="str">
        <f t="shared" si="7"/>
        <v/>
      </c>
      <c r="T75" s="4" t="str">
        <f t="shared" si="8"/>
        <v/>
      </c>
      <c r="U75" s="10" t="str">
        <f t="shared" si="9"/>
        <v/>
      </c>
      <c r="V75" s="4"/>
    </row>
    <row r="76" spans="2:22" x14ac:dyDescent="0.25">
      <c r="B76" s="4" t="str">
        <f>IFERROR(VLOOKUP(A76,'ECN-ECO_DATA'!B:G,4,FALSE),"")</f>
        <v/>
      </c>
      <c r="C76" s="9" t="str">
        <f>IFERROR(VLOOKUP(A76,'ECN-ECO_DATA'!B:G,5,FALSE),"")</f>
        <v/>
      </c>
      <c r="D76" s="9" t="str">
        <f ca="1">IFERROR((IF(VLOOKUP(A76,'ECN-ECO_DATA'!B:G,6,FALSE)=0/1/1900,TODAY(),VLOOKUP(A76,'ECN-ECO_DATA'!B:G,6,FALSE))),"")</f>
        <v/>
      </c>
      <c r="E76" s="9" t="str">
        <f>IFERROR((IF(VLOOKUP(A76,'ECN-ECO_DATA'!B:G,6,FALSE)=0/1/1900,"",VLOOKUP(A76,'ECN-ECO_DATA'!B:G,6,FALSE))),"")</f>
        <v/>
      </c>
      <c r="F76" s="9" t="str">
        <f>IFERROR((IF(VLOOKUP(A76,'ECN-ECO_DATA'!B:J,7,FALSE)=0/1/1900,"",VLOOKUP(A76,'ECN-ECO_DATA'!B:J,7,FALSE))),"")</f>
        <v/>
      </c>
      <c r="G76" s="9" t="str">
        <f>IFERROR((IF(VLOOKUP(A76,'ECN-ECO_DATA'!B:J,8,FALSE)=0/1/1900,"",VLOOKUP(A76,'ECN-ECO_DATA'!B:J,8,FALSE))),"")</f>
        <v/>
      </c>
      <c r="H76" s="9" t="str">
        <f>IFERROR((IF(VLOOKUP(A76,'ECN-ECO_DATA'!B:J,9,FALSE)=0/1/1900,"",VLOOKUP(A76,'ECN-ECO_DATA'!B:J,9,FALSE))),"")</f>
        <v/>
      </c>
      <c r="I76" s="10" t="str">
        <f>IFERROR((IF(VLOOKUP(A76,'ECN-ECO_DATA'!B:Q,13,FALSE)="","",VLOOKUP(A76,'ECN-ECO_DATA'!B:Q,13,FALSE))),"")</f>
        <v/>
      </c>
      <c r="J76" s="10" t="str">
        <f>IFERROR((IF(VLOOKUP(A76,'ECN-ECO_DATA'!B:Q,14,FALSE)="","",VLOOKUP(A76,'ECN-ECO_DATA'!B:Q,14,FALSE))),"")</f>
        <v/>
      </c>
      <c r="K76" s="10" t="str">
        <f>IFERROR((IF(VLOOKUP(A76,'ECN-ECO_DATA'!B:Q,15,FALSE)="","",VLOOKUP(A76,'ECN-ECO_DATA'!B:Q,15,FALSE))),"")</f>
        <v/>
      </c>
      <c r="L76" s="10" t="str">
        <f>IFERROR((IF(VLOOKUP(A76,'ECN-ECO_DATA'!B:Q,16,FALSE)="","",VLOOKUP(A76,'ECN-ECO_DATA'!B:Q,16,FALSE))),"")</f>
        <v/>
      </c>
      <c r="M76" s="9" t="str">
        <f>IFERROR((IF(VLOOKUP(A76,'ECN-ECO_DATA'!B:V,18,FALSE)=0/1/1900,"",VLOOKUP(A76,'ECN-ECO_DATA'!B:V,18,FALSE))),"")</f>
        <v/>
      </c>
      <c r="N76" s="9" t="str">
        <f>IFERROR((IF(VLOOKUP(A76,'ECN-ECO_DATA'!B:V,19,FALSE)=0/1/1900,"",VLOOKUP(A76,'ECN-ECO_DATA'!B:V,19,FALSE))),"")</f>
        <v/>
      </c>
      <c r="O76" s="9" t="str">
        <f>IFERROR((IF(VLOOKUP(A76,'ECN-ECO_DATA'!B:V,20,FALSE)=0/1/1900,"",VLOOKUP(A76,'ECN-ECO_DATA'!B:V,20,FALSE))),"")</f>
        <v/>
      </c>
      <c r="P76" s="9" t="str">
        <f>IFERROR((IF(VLOOKUP(A76,'ECN-ECO_DATA'!B:V,21,FALSE)=0/1/1900,"",VLOOKUP(A76,'ECN-ECO_DATA'!B:V,21,FALSE))),"")</f>
        <v/>
      </c>
      <c r="Q76" s="10" t="str">
        <f t="shared" ca="1" si="5"/>
        <v/>
      </c>
      <c r="R76" s="4" t="str">
        <f t="shared" si="6"/>
        <v/>
      </c>
      <c r="S76" s="4" t="str">
        <f t="shared" si="7"/>
        <v/>
      </c>
      <c r="T76" s="4" t="str">
        <f t="shared" si="8"/>
        <v/>
      </c>
      <c r="U76" s="10" t="str">
        <f t="shared" si="9"/>
        <v/>
      </c>
      <c r="V76" s="4"/>
    </row>
    <row r="77" spans="2:22" x14ac:dyDescent="0.25">
      <c r="B77" s="4" t="str">
        <f>IFERROR(VLOOKUP(A77,'ECN-ECO_DATA'!B:G,4,FALSE),"")</f>
        <v/>
      </c>
      <c r="C77" s="9" t="str">
        <f>IFERROR(VLOOKUP(A77,'ECN-ECO_DATA'!B:G,5,FALSE),"")</f>
        <v/>
      </c>
      <c r="D77" s="9" t="str">
        <f ca="1">IFERROR((IF(VLOOKUP(A77,'ECN-ECO_DATA'!B:G,6,FALSE)=0/1/1900,TODAY(),VLOOKUP(A77,'ECN-ECO_DATA'!B:G,6,FALSE))),"")</f>
        <v/>
      </c>
      <c r="E77" s="9" t="str">
        <f>IFERROR((IF(VLOOKUP(A77,'ECN-ECO_DATA'!B:G,6,FALSE)=0/1/1900,"",VLOOKUP(A77,'ECN-ECO_DATA'!B:G,6,FALSE))),"")</f>
        <v/>
      </c>
      <c r="F77" s="9" t="str">
        <f>IFERROR((IF(VLOOKUP(A77,'ECN-ECO_DATA'!B:J,7,FALSE)=0/1/1900,"",VLOOKUP(A77,'ECN-ECO_DATA'!B:J,7,FALSE))),"")</f>
        <v/>
      </c>
      <c r="G77" s="9" t="str">
        <f>IFERROR((IF(VLOOKUP(A77,'ECN-ECO_DATA'!B:J,8,FALSE)=0/1/1900,"",VLOOKUP(A77,'ECN-ECO_DATA'!B:J,8,FALSE))),"")</f>
        <v/>
      </c>
      <c r="H77" s="9" t="str">
        <f>IFERROR((IF(VLOOKUP(A77,'ECN-ECO_DATA'!B:J,9,FALSE)=0/1/1900,"",VLOOKUP(A77,'ECN-ECO_DATA'!B:J,9,FALSE))),"")</f>
        <v/>
      </c>
      <c r="I77" s="10" t="str">
        <f>IFERROR((IF(VLOOKUP(A77,'ECN-ECO_DATA'!B:Q,13,FALSE)="","",VLOOKUP(A77,'ECN-ECO_DATA'!B:Q,13,FALSE))),"")</f>
        <v/>
      </c>
      <c r="J77" s="10" t="str">
        <f>IFERROR((IF(VLOOKUP(A77,'ECN-ECO_DATA'!B:Q,14,FALSE)="","",VLOOKUP(A77,'ECN-ECO_DATA'!B:Q,14,FALSE))),"")</f>
        <v/>
      </c>
      <c r="K77" s="10" t="str">
        <f>IFERROR((IF(VLOOKUP(A77,'ECN-ECO_DATA'!B:Q,15,FALSE)="","",VLOOKUP(A77,'ECN-ECO_DATA'!B:Q,15,FALSE))),"")</f>
        <v/>
      </c>
      <c r="L77" s="10" t="str">
        <f>IFERROR((IF(VLOOKUP(A77,'ECN-ECO_DATA'!B:Q,16,FALSE)="","",VLOOKUP(A77,'ECN-ECO_DATA'!B:Q,16,FALSE))),"")</f>
        <v/>
      </c>
      <c r="M77" s="9" t="str">
        <f>IFERROR((IF(VLOOKUP(A77,'ECN-ECO_DATA'!B:V,18,FALSE)=0/1/1900,"",VLOOKUP(A77,'ECN-ECO_DATA'!B:V,18,FALSE))),"")</f>
        <v/>
      </c>
      <c r="N77" s="9" t="str">
        <f>IFERROR((IF(VLOOKUP(A77,'ECN-ECO_DATA'!B:V,19,FALSE)=0/1/1900,"",VLOOKUP(A77,'ECN-ECO_DATA'!B:V,19,FALSE))),"")</f>
        <v/>
      </c>
      <c r="O77" s="9" t="str">
        <f>IFERROR((IF(VLOOKUP(A77,'ECN-ECO_DATA'!B:V,20,FALSE)=0/1/1900,"",VLOOKUP(A77,'ECN-ECO_DATA'!B:V,20,FALSE))),"")</f>
        <v/>
      </c>
      <c r="P77" s="9" t="str">
        <f>IFERROR((IF(VLOOKUP(A77,'ECN-ECO_DATA'!B:V,21,FALSE)=0/1/1900,"",VLOOKUP(A77,'ECN-ECO_DATA'!B:V,21,FALSE))),"")</f>
        <v/>
      </c>
      <c r="Q77" s="10" t="str">
        <f t="shared" ca="1" si="5"/>
        <v/>
      </c>
      <c r="R77" s="4" t="str">
        <f t="shared" si="6"/>
        <v/>
      </c>
      <c r="S77" s="4" t="str">
        <f t="shared" si="7"/>
        <v/>
      </c>
      <c r="T77" s="4" t="str">
        <f t="shared" si="8"/>
        <v/>
      </c>
      <c r="U77" s="10" t="str">
        <f t="shared" si="9"/>
        <v/>
      </c>
      <c r="V77" s="4"/>
    </row>
    <row r="78" spans="2:22" x14ac:dyDescent="0.25">
      <c r="B78" s="4" t="str">
        <f>IFERROR(VLOOKUP(A78,'ECN-ECO_DATA'!B:G,4,FALSE),"")</f>
        <v/>
      </c>
      <c r="C78" s="9" t="str">
        <f>IFERROR(VLOOKUP(A78,'ECN-ECO_DATA'!B:G,5,FALSE),"")</f>
        <v/>
      </c>
      <c r="D78" s="9" t="str">
        <f ca="1">IFERROR((IF(VLOOKUP(A78,'ECN-ECO_DATA'!B:G,6,FALSE)=0/1/1900,TODAY(),VLOOKUP(A78,'ECN-ECO_DATA'!B:G,6,FALSE))),"")</f>
        <v/>
      </c>
      <c r="E78" s="9" t="str">
        <f>IFERROR((IF(VLOOKUP(A78,'ECN-ECO_DATA'!B:G,6,FALSE)=0/1/1900,"",VLOOKUP(A78,'ECN-ECO_DATA'!B:G,6,FALSE))),"")</f>
        <v/>
      </c>
      <c r="F78" s="9" t="str">
        <f>IFERROR((IF(VLOOKUP(A78,'ECN-ECO_DATA'!B:J,7,FALSE)=0/1/1900,"",VLOOKUP(A78,'ECN-ECO_DATA'!B:J,7,FALSE))),"")</f>
        <v/>
      </c>
      <c r="G78" s="9" t="str">
        <f>IFERROR((IF(VLOOKUP(A78,'ECN-ECO_DATA'!B:J,8,FALSE)=0/1/1900,"",VLOOKUP(A78,'ECN-ECO_DATA'!B:J,8,FALSE))),"")</f>
        <v/>
      </c>
      <c r="H78" s="9" t="str">
        <f>IFERROR((IF(VLOOKUP(A78,'ECN-ECO_DATA'!B:J,9,FALSE)=0/1/1900,"",VLOOKUP(A78,'ECN-ECO_DATA'!B:J,9,FALSE))),"")</f>
        <v/>
      </c>
      <c r="I78" s="10" t="str">
        <f>IFERROR((IF(VLOOKUP(A78,'ECN-ECO_DATA'!B:Q,13,FALSE)="","",VLOOKUP(A78,'ECN-ECO_DATA'!B:Q,13,FALSE))),"")</f>
        <v/>
      </c>
      <c r="J78" s="10" t="str">
        <f>IFERROR((IF(VLOOKUP(A78,'ECN-ECO_DATA'!B:Q,14,FALSE)="","",VLOOKUP(A78,'ECN-ECO_DATA'!B:Q,14,FALSE))),"")</f>
        <v/>
      </c>
      <c r="K78" s="10" t="str">
        <f>IFERROR((IF(VLOOKUP(A78,'ECN-ECO_DATA'!B:Q,15,FALSE)="","",VLOOKUP(A78,'ECN-ECO_DATA'!B:Q,15,FALSE))),"")</f>
        <v/>
      </c>
      <c r="L78" s="10" t="str">
        <f>IFERROR((IF(VLOOKUP(A78,'ECN-ECO_DATA'!B:Q,16,FALSE)="","",VLOOKUP(A78,'ECN-ECO_DATA'!B:Q,16,FALSE))),"")</f>
        <v/>
      </c>
      <c r="M78" s="9" t="str">
        <f>IFERROR((IF(VLOOKUP(A78,'ECN-ECO_DATA'!B:V,18,FALSE)=0/1/1900,"",VLOOKUP(A78,'ECN-ECO_DATA'!B:V,18,FALSE))),"")</f>
        <v/>
      </c>
      <c r="N78" s="9" t="str">
        <f>IFERROR((IF(VLOOKUP(A78,'ECN-ECO_DATA'!B:V,19,FALSE)=0/1/1900,"",VLOOKUP(A78,'ECN-ECO_DATA'!B:V,19,FALSE))),"")</f>
        <v/>
      </c>
      <c r="O78" s="9" t="str">
        <f>IFERROR((IF(VLOOKUP(A78,'ECN-ECO_DATA'!B:V,20,FALSE)=0/1/1900,"",VLOOKUP(A78,'ECN-ECO_DATA'!B:V,20,FALSE))),"")</f>
        <v/>
      </c>
      <c r="P78" s="9" t="str">
        <f>IFERROR((IF(VLOOKUP(A78,'ECN-ECO_DATA'!B:V,21,FALSE)=0/1/1900,"",VLOOKUP(A78,'ECN-ECO_DATA'!B:V,21,FALSE))),"")</f>
        <v/>
      </c>
      <c r="Q78" s="10" t="str">
        <f t="shared" ca="1" si="5"/>
        <v/>
      </c>
      <c r="R78" s="4" t="str">
        <f t="shared" si="6"/>
        <v/>
      </c>
      <c r="S78" s="4" t="str">
        <f t="shared" si="7"/>
        <v/>
      </c>
      <c r="T78" s="4" t="str">
        <f t="shared" si="8"/>
        <v/>
      </c>
      <c r="U78" s="10" t="str">
        <f t="shared" si="9"/>
        <v/>
      </c>
      <c r="V78" s="4"/>
    </row>
    <row r="79" spans="2:22" x14ac:dyDescent="0.25">
      <c r="B79" s="4" t="str">
        <f>IFERROR(VLOOKUP(A79,'ECN-ECO_DATA'!B:G,4,FALSE),"")</f>
        <v/>
      </c>
      <c r="C79" s="9" t="str">
        <f>IFERROR(VLOOKUP(A79,'ECN-ECO_DATA'!B:G,5,FALSE),"")</f>
        <v/>
      </c>
      <c r="D79" s="9" t="str">
        <f ca="1">IFERROR((IF(VLOOKUP(A79,'ECN-ECO_DATA'!B:G,6,FALSE)=0/1/1900,TODAY(),VLOOKUP(A79,'ECN-ECO_DATA'!B:G,6,FALSE))),"")</f>
        <v/>
      </c>
      <c r="E79" s="9" t="str">
        <f>IFERROR((IF(VLOOKUP(A79,'ECN-ECO_DATA'!B:G,6,FALSE)=0/1/1900,"",VLOOKUP(A79,'ECN-ECO_DATA'!B:G,6,FALSE))),"")</f>
        <v/>
      </c>
      <c r="F79" s="9" t="str">
        <f>IFERROR((IF(VLOOKUP(A79,'ECN-ECO_DATA'!B:J,7,FALSE)=0/1/1900,"",VLOOKUP(A79,'ECN-ECO_DATA'!B:J,7,FALSE))),"")</f>
        <v/>
      </c>
      <c r="G79" s="9" t="str">
        <f>IFERROR((IF(VLOOKUP(A79,'ECN-ECO_DATA'!B:J,8,FALSE)=0/1/1900,"",VLOOKUP(A79,'ECN-ECO_DATA'!B:J,8,FALSE))),"")</f>
        <v/>
      </c>
      <c r="H79" s="9" t="str">
        <f>IFERROR((IF(VLOOKUP(A79,'ECN-ECO_DATA'!B:J,9,FALSE)=0/1/1900,"",VLOOKUP(A79,'ECN-ECO_DATA'!B:J,9,FALSE))),"")</f>
        <v/>
      </c>
      <c r="I79" s="10" t="str">
        <f>IFERROR((IF(VLOOKUP(A79,'ECN-ECO_DATA'!B:Q,13,FALSE)="","",VLOOKUP(A79,'ECN-ECO_DATA'!B:Q,13,FALSE))),"")</f>
        <v/>
      </c>
      <c r="J79" s="10" t="str">
        <f>IFERROR((IF(VLOOKUP(A79,'ECN-ECO_DATA'!B:Q,14,FALSE)="","",VLOOKUP(A79,'ECN-ECO_DATA'!B:Q,14,FALSE))),"")</f>
        <v/>
      </c>
      <c r="K79" s="10" t="str">
        <f>IFERROR((IF(VLOOKUP(A79,'ECN-ECO_DATA'!B:Q,15,FALSE)="","",VLOOKUP(A79,'ECN-ECO_DATA'!B:Q,15,FALSE))),"")</f>
        <v/>
      </c>
      <c r="L79" s="10" t="str">
        <f>IFERROR((IF(VLOOKUP(A79,'ECN-ECO_DATA'!B:Q,16,FALSE)="","",VLOOKUP(A79,'ECN-ECO_DATA'!B:Q,16,FALSE))),"")</f>
        <v/>
      </c>
      <c r="M79" s="9" t="str">
        <f>IFERROR((IF(VLOOKUP(A79,'ECN-ECO_DATA'!B:V,18,FALSE)=0/1/1900,"",VLOOKUP(A79,'ECN-ECO_DATA'!B:V,18,FALSE))),"")</f>
        <v/>
      </c>
      <c r="N79" s="9" t="str">
        <f>IFERROR((IF(VLOOKUP(A79,'ECN-ECO_DATA'!B:V,19,FALSE)=0/1/1900,"",VLOOKUP(A79,'ECN-ECO_DATA'!B:V,19,FALSE))),"")</f>
        <v/>
      </c>
      <c r="O79" s="9" t="str">
        <f>IFERROR((IF(VLOOKUP(A79,'ECN-ECO_DATA'!B:V,20,FALSE)=0/1/1900,"",VLOOKUP(A79,'ECN-ECO_DATA'!B:V,20,FALSE))),"")</f>
        <v/>
      </c>
      <c r="P79" s="9" t="str">
        <f>IFERROR((IF(VLOOKUP(A79,'ECN-ECO_DATA'!B:V,21,FALSE)=0/1/1900,"",VLOOKUP(A79,'ECN-ECO_DATA'!B:V,21,FALSE))),"")</f>
        <v/>
      </c>
      <c r="Q79" s="10" t="str">
        <f t="shared" ca="1" si="5"/>
        <v/>
      </c>
      <c r="R79" s="4" t="str">
        <f t="shared" si="6"/>
        <v/>
      </c>
      <c r="S79" s="4" t="str">
        <f t="shared" si="7"/>
        <v/>
      </c>
      <c r="T79" s="4" t="str">
        <f t="shared" si="8"/>
        <v/>
      </c>
      <c r="U79" s="10" t="str">
        <f t="shared" si="9"/>
        <v/>
      </c>
      <c r="V79" s="4"/>
    </row>
    <row r="80" spans="2:22" x14ac:dyDescent="0.25">
      <c r="B80" s="4" t="str">
        <f>IFERROR(VLOOKUP(A80,'ECN-ECO_DATA'!B:G,4,FALSE),"")</f>
        <v/>
      </c>
      <c r="C80" s="9" t="str">
        <f>IFERROR(VLOOKUP(A80,'ECN-ECO_DATA'!B:G,5,FALSE),"")</f>
        <v/>
      </c>
      <c r="D80" s="9" t="str">
        <f ca="1">IFERROR((IF(VLOOKUP(A80,'ECN-ECO_DATA'!B:G,6,FALSE)=0/1/1900,TODAY(),VLOOKUP(A80,'ECN-ECO_DATA'!B:G,6,FALSE))),"")</f>
        <v/>
      </c>
      <c r="E80" s="9" t="str">
        <f>IFERROR((IF(VLOOKUP(A80,'ECN-ECO_DATA'!B:G,6,FALSE)=0/1/1900,"",VLOOKUP(A80,'ECN-ECO_DATA'!B:G,6,FALSE))),"")</f>
        <v/>
      </c>
      <c r="F80" s="9" t="str">
        <f>IFERROR((IF(VLOOKUP(A80,'ECN-ECO_DATA'!B:J,7,FALSE)=0/1/1900,"",VLOOKUP(A80,'ECN-ECO_DATA'!B:J,7,FALSE))),"")</f>
        <v/>
      </c>
      <c r="G80" s="9" t="str">
        <f>IFERROR((IF(VLOOKUP(A80,'ECN-ECO_DATA'!B:J,8,FALSE)=0/1/1900,"",VLOOKUP(A80,'ECN-ECO_DATA'!B:J,8,FALSE))),"")</f>
        <v/>
      </c>
      <c r="H80" s="9" t="str">
        <f>IFERROR((IF(VLOOKUP(A80,'ECN-ECO_DATA'!B:J,9,FALSE)=0/1/1900,"",VLOOKUP(A80,'ECN-ECO_DATA'!B:J,9,FALSE))),"")</f>
        <v/>
      </c>
      <c r="I80" s="10" t="str">
        <f>IFERROR((IF(VLOOKUP(A80,'ECN-ECO_DATA'!B:Q,13,FALSE)="","",VLOOKUP(A80,'ECN-ECO_DATA'!B:Q,13,FALSE))),"")</f>
        <v/>
      </c>
      <c r="J80" s="10" t="str">
        <f>IFERROR((IF(VLOOKUP(A80,'ECN-ECO_DATA'!B:Q,14,FALSE)="","",VLOOKUP(A80,'ECN-ECO_DATA'!B:Q,14,FALSE))),"")</f>
        <v/>
      </c>
      <c r="K80" s="10" t="str">
        <f>IFERROR((IF(VLOOKUP(A80,'ECN-ECO_DATA'!B:Q,15,FALSE)="","",VLOOKUP(A80,'ECN-ECO_DATA'!B:Q,15,FALSE))),"")</f>
        <v/>
      </c>
      <c r="L80" s="10" t="str">
        <f>IFERROR((IF(VLOOKUP(A80,'ECN-ECO_DATA'!B:Q,16,FALSE)="","",VLOOKUP(A80,'ECN-ECO_DATA'!B:Q,16,FALSE))),"")</f>
        <v/>
      </c>
      <c r="M80" s="9" t="str">
        <f>IFERROR((IF(VLOOKUP(A80,'ECN-ECO_DATA'!B:V,18,FALSE)=0/1/1900,"",VLOOKUP(A80,'ECN-ECO_DATA'!B:V,18,FALSE))),"")</f>
        <v/>
      </c>
      <c r="N80" s="9" t="str">
        <f>IFERROR((IF(VLOOKUP(A80,'ECN-ECO_DATA'!B:V,19,FALSE)=0/1/1900,"",VLOOKUP(A80,'ECN-ECO_DATA'!B:V,19,FALSE))),"")</f>
        <v/>
      </c>
      <c r="O80" s="9" t="str">
        <f>IFERROR((IF(VLOOKUP(A80,'ECN-ECO_DATA'!B:V,20,FALSE)=0/1/1900,"",VLOOKUP(A80,'ECN-ECO_DATA'!B:V,20,FALSE))),"")</f>
        <v/>
      </c>
      <c r="P80" s="9" t="str">
        <f>IFERROR((IF(VLOOKUP(A80,'ECN-ECO_DATA'!B:V,21,FALSE)=0/1/1900,"",VLOOKUP(A80,'ECN-ECO_DATA'!B:V,21,FALSE))),"")</f>
        <v/>
      </c>
      <c r="Q80" s="10" t="str">
        <f t="shared" ca="1" si="5"/>
        <v/>
      </c>
      <c r="R80" s="4" t="str">
        <f t="shared" si="6"/>
        <v/>
      </c>
      <c r="S80" s="4" t="str">
        <f t="shared" si="7"/>
        <v/>
      </c>
      <c r="T80" s="4" t="str">
        <f t="shared" si="8"/>
        <v/>
      </c>
      <c r="U80" s="10" t="str">
        <f t="shared" si="9"/>
        <v/>
      </c>
      <c r="V80" s="4"/>
    </row>
    <row r="81" spans="2:22" x14ac:dyDescent="0.25">
      <c r="B81" s="4" t="str">
        <f>IFERROR(VLOOKUP(A81,'ECN-ECO_DATA'!B:G,4,FALSE),"")</f>
        <v/>
      </c>
      <c r="C81" s="9" t="str">
        <f>IFERROR(VLOOKUP(A81,'ECN-ECO_DATA'!B:G,5,FALSE),"")</f>
        <v/>
      </c>
      <c r="D81" s="9" t="str">
        <f ca="1">IFERROR((IF(VLOOKUP(A81,'ECN-ECO_DATA'!B:G,6,FALSE)=0/1/1900,TODAY(),VLOOKUP(A81,'ECN-ECO_DATA'!B:G,6,FALSE))),"")</f>
        <v/>
      </c>
      <c r="E81" s="9" t="str">
        <f>IFERROR((IF(VLOOKUP(A81,'ECN-ECO_DATA'!B:G,6,FALSE)=0/1/1900,"",VLOOKUP(A81,'ECN-ECO_DATA'!B:G,6,FALSE))),"")</f>
        <v/>
      </c>
      <c r="F81" s="9" t="str">
        <f>IFERROR((IF(VLOOKUP(A81,'ECN-ECO_DATA'!B:J,7,FALSE)=0/1/1900,"",VLOOKUP(A81,'ECN-ECO_DATA'!B:J,7,FALSE))),"")</f>
        <v/>
      </c>
      <c r="G81" s="9" t="str">
        <f>IFERROR((IF(VLOOKUP(A81,'ECN-ECO_DATA'!B:J,8,FALSE)=0/1/1900,"",VLOOKUP(A81,'ECN-ECO_DATA'!B:J,8,FALSE))),"")</f>
        <v/>
      </c>
      <c r="H81" s="9" t="str">
        <f>IFERROR((IF(VLOOKUP(A81,'ECN-ECO_DATA'!B:J,9,FALSE)=0/1/1900,"",VLOOKUP(A81,'ECN-ECO_DATA'!B:J,9,FALSE))),"")</f>
        <v/>
      </c>
      <c r="I81" s="10" t="str">
        <f>IFERROR((IF(VLOOKUP(A81,'ECN-ECO_DATA'!B:Q,13,FALSE)="","",VLOOKUP(A81,'ECN-ECO_DATA'!B:Q,13,FALSE))),"")</f>
        <v/>
      </c>
      <c r="J81" s="10" t="str">
        <f>IFERROR((IF(VLOOKUP(A81,'ECN-ECO_DATA'!B:Q,14,FALSE)="","",VLOOKUP(A81,'ECN-ECO_DATA'!B:Q,14,FALSE))),"")</f>
        <v/>
      </c>
      <c r="K81" s="10" t="str">
        <f>IFERROR((IF(VLOOKUP(A81,'ECN-ECO_DATA'!B:Q,15,FALSE)="","",VLOOKUP(A81,'ECN-ECO_DATA'!B:Q,15,FALSE))),"")</f>
        <v/>
      </c>
      <c r="L81" s="10" t="str">
        <f>IFERROR((IF(VLOOKUP(A81,'ECN-ECO_DATA'!B:Q,16,FALSE)="","",VLOOKUP(A81,'ECN-ECO_DATA'!B:Q,16,FALSE))),"")</f>
        <v/>
      </c>
      <c r="M81" s="9" t="str">
        <f>IFERROR((IF(VLOOKUP(A81,'ECN-ECO_DATA'!B:V,18,FALSE)=0/1/1900,"",VLOOKUP(A81,'ECN-ECO_DATA'!B:V,18,FALSE))),"")</f>
        <v/>
      </c>
      <c r="N81" s="9" t="str">
        <f>IFERROR((IF(VLOOKUP(A81,'ECN-ECO_DATA'!B:V,19,FALSE)=0/1/1900,"",VLOOKUP(A81,'ECN-ECO_DATA'!B:V,19,FALSE))),"")</f>
        <v/>
      </c>
      <c r="O81" s="9" t="str">
        <f>IFERROR((IF(VLOOKUP(A81,'ECN-ECO_DATA'!B:V,20,FALSE)=0/1/1900,"",VLOOKUP(A81,'ECN-ECO_DATA'!B:V,20,FALSE))),"")</f>
        <v/>
      </c>
      <c r="P81" s="9" t="str">
        <f>IFERROR((IF(VLOOKUP(A81,'ECN-ECO_DATA'!B:V,21,FALSE)=0/1/1900,"",VLOOKUP(A81,'ECN-ECO_DATA'!B:V,21,FALSE))),"")</f>
        <v/>
      </c>
      <c r="Q81" s="10" t="str">
        <f t="shared" ca="1" si="5"/>
        <v/>
      </c>
      <c r="R81" s="4" t="str">
        <f t="shared" si="6"/>
        <v/>
      </c>
      <c r="S81" s="4" t="str">
        <f t="shared" si="7"/>
        <v/>
      </c>
      <c r="T81" s="4" t="str">
        <f t="shared" si="8"/>
        <v/>
      </c>
      <c r="U81" s="10" t="str">
        <f t="shared" si="9"/>
        <v/>
      </c>
      <c r="V81" s="4"/>
    </row>
    <row r="82" spans="2:22" x14ac:dyDescent="0.25">
      <c r="B82" s="4" t="str">
        <f>IFERROR(VLOOKUP(A82,'ECN-ECO_DATA'!B:G,4,FALSE),"")</f>
        <v/>
      </c>
      <c r="C82" s="9" t="str">
        <f>IFERROR(VLOOKUP(A82,'ECN-ECO_DATA'!B:G,5,FALSE),"")</f>
        <v/>
      </c>
      <c r="D82" s="9" t="str">
        <f ca="1">IFERROR((IF(VLOOKUP(A82,'ECN-ECO_DATA'!B:G,6,FALSE)=0/1/1900,TODAY(),VLOOKUP(A82,'ECN-ECO_DATA'!B:G,6,FALSE))),"")</f>
        <v/>
      </c>
      <c r="E82" s="9" t="str">
        <f>IFERROR((IF(VLOOKUP(A82,'ECN-ECO_DATA'!B:G,6,FALSE)=0/1/1900,"",VLOOKUP(A82,'ECN-ECO_DATA'!B:G,6,FALSE))),"")</f>
        <v/>
      </c>
      <c r="F82" s="9" t="str">
        <f>IFERROR((IF(VLOOKUP(A82,'ECN-ECO_DATA'!B:J,7,FALSE)=0/1/1900,"",VLOOKUP(A82,'ECN-ECO_DATA'!B:J,7,FALSE))),"")</f>
        <v/>
      </c>
      <c r="G82" s="9" t="str">
        <f>IFERROR((IF(VLOOKUP(A82,'ECN-ECO_DATA'!B:J,8,FALSE)=0/1/1900,"",VLOOKUP(A82,'ECN-ECO_DATA'!B:J,8,FALSE))),"")</f>
        <v/>
      </c>
      <c r="H82" s="9" t="str">
        <f>IFERROR((IF(VLOOKUP(A82,'ECN-ECO_DATA'!B:J,9,FALSE)=0/1/1900,"",VLOOKUP(A82,'ECN-ECO_DATA'!B:J,9,FALSE))),"")</f>
        <v/>
      </c>
      <c r="I82" s="10" t="str">
        <f>IFERROR((IF(VLOOKUP(A82,'ECN-ECO_DATA'!B:Q,13,FALSE)="","",VLOOKUP(A82,'ECN-ECO_DATA'!B:Q,13,FALSE))),"")</f>
        <v/>
      </c>
      <c r="J82" s="10" t="str">
        <f>IFERROR((IF(VLOOKUP(A82,'ECN-ECO_DATA'!B:Q,14,FALSE)="","",VLOOKUP(A82,'ECN-ECO_DATA'!B:Q,14,FALSE))),"")</f>
        <v/>
      </c>
      <c r="K82" s="10" t="str">
        <f>IFERROR((IF(VLOOKUP(A82,'ECN-ECO_DATA'!B:Q,15,FALSE)="","",VLOOKUP(A82,'ECN-ECO_DATA'!B:Q,15,FALSE))),"")</f>
        <v/>
      </c>
      <c r="L82" s="10" t="str">
        <f>IFERROR((IF(VLOOKUP(A82,'ECN-ECO_DATA'!B:Q,16,FALSE)="","",VLOOKUP(A82,'ECN-ECO_DATA'!B:Q,16,FALSE))),"")</f>
        <v/>
      </c>
      <c r="M82" s="9" t="str">
        <f>IFERROR((IF(VLOOKUP(A82,'ECN-ECO_DATA'!B:V,18,FALSE)=0/1/1900,"",VLOOKUP(A82,'ECN-ECO_DATA'!B:V,18,FALSE))),"")</f>
        <v/>
      </c>
      <c r="N82" s="9" t="str">
        <f>IFERROR((IF(VLOOKUP(A82,'ECN-ECO_DATA'!B:V,19,FALSE)=0/1/1900,"",VLOOKUP(A82,'ECN-ECO_DATA'!B:V,19,FALSE))),"")</f>
        <v/>
      </c>
      <c r="O82" s="9" t="str">
        <f>IFERROR((IF(VLOOKUP(A82,'ECN-ECO_DATA'!B:V,20,FALSE)=0/1/1900,"",VLOOKUP(A82,'ECN-ECO_DATA'!B:V,20,FALSE))),"")</f>
        <v/>
      </c>
      <c r="P82" s="9" t="str">
        <f>IFERROR((IF(VLOOKUP(A82,'ECN-ECO_DATA'!B:V,21,FALSE)=0/1/1900,"",VLOOKUP(A82,'ECN-ECO_DATA'!B:V,21,FALSE))),"")</f>
        <v/>
      </c>
      <c r="Q82" s="10" t="str">
        <f t="shared" ca="1" si="5"/>
        <v/>
      </c>
      <c r="R82" s="4" t="str">
        <f t="shared" si="6"/>
        <v/>
      </c>
      <c r="S82" s="4" t="str">
        <f t="shared" si="7"/>
        <v/>
      </c>
      <c r="T82" s="4" t="str">
        <f t="shared" si="8"/>
        <v/>
      </c>
      <c r="U82" s="10" t="str">
        <f t="shared" si="9"/>
        <v/>
      </c>
      <c r="V82" s="4"/>
    </row>
    <row r="83" spans="2:22" x14ac:dyDescent="0.25">
      <c r="B83" s="4" t="str">
        <f>IFERROR(VLOOKUP(A83,'ECN-ECO_DATA'!B:G,4,FALSE),"")</f>
        <v/>
      </c>
      <c r="C83" s="9" t="str">
        <f>IFERROR(VLOOKUP(A83,'ECN-ECO_DATA'!B:G,5,FALSE),"")</f>
        <v/>
      </c>
      <c r="D83" s="9" t="str">
        <f ca="1">IFERROR((IF(VLOOKUP(A83,'ECN-ECO_DATA'!B:G,6,FALSE)=0/1/1900,TODAY(),VLOOKUP(A83,'ECN-ECO_DATA'!B:G,6,FALSE))),"")</f>
        <v/>
      </c>
      <c r="E83" s="9" t="str">
        <f>IFERROR((IF(VLOOKUP(A83,'ECN-ECO_DATA'!B:G,6,FALSE)=0/1/1900,"",VLOOKUP(A83,'ECN-ECO_DATA'!B:G,6,FALSE))),"")</f>
        <v/>
      </c>
      <c r="F83" s="9" t="str">
        <f>IFERROR((IF(VLOOKUP(A83,'ECN-ECO_DATA'!B:J,7,FALSE)=0/1/1900,"",VLOOKUP(A83,'ECN-ECO_DATA'!B:J,7,FALSE))),"")</f>
        <v/>
      </c>
      <c r="G83" s="9" t="str">
        <f>IFERROR((IF(VLOOKUP(A83,'ECN-ECO_DATA'!B:J,8,FALSE)=0/1/1900,"",VLOOKUP(A83,'ECN-ECO_DATA'!B:J,8,FALSE))),"")</f>
        <v/>
      </c>
      <c r="H83" s="9" t="str">
        <f>IFERROR((IF(VLOOKUP(A83,'ECN-ECO_DATA'!B:J,9,FALSE)=0/1/1900,"",VLOOKUP(A83,'ECN-ECO_DATA'!B:J,9,FALSE))),"")</f>
        <v/>
      </c>
      <c r="I83" s="10" t="str">
        <f>IFERROR((IF(VLOOKUP(A83,'ECN-ECO_DATA'!B:Q,13,FALSE)="","",VLOOKUP(A83,'ECN-ECO_DATA'!B:Q,13,FALSE))),"")</f>
        <v/>
      </c>
      <c r="J83" s="10" t="str">
        <f>IFERROR((IF(VLOOKUP(A83,'ECN-ECO_DATA'!B:Q,14,FALSE)="","",VLOOKUP(A83,'ECN-ECO_DATA'!B:Q,14,FALSE))),"")</f>
        <v/>
      </c>
      <c r="K83" s="10" t="str">
        <f>IFERROR((IF(VLOOKUP(A83,'ECN-ECO_DATA'!B:Q,15,FALSE)="","",VLOOKUP(A83,'ECN-ECO_DATA'!B:Q,15,FALSE))),"")</f>
        <v/>
      </c>
      <c r="L83" s="10" t="str">
        <f>IFERROR((IF(VLOOKUP(A83,'ECN-ECO_DATA'!B:Q,16,FALSE)="","",VLOOKUP(A83,'ECN-ECO_DATA'!B:Q,16,FALSE))),"")</f>
        <v/>
      </c>
      <c r="M83" s="9" t="str">
        <f>IFERROR((IF(VLOOKUP(A83,'ECN-ECO_DATA'!B:V,18,FALSE)=0/1/1900,"",VLOOKUP(A83,'ECN-ECO_DATA'!B:V,18,FALSE))),"")</f>
        <v/>
      </c>
      <c r="N83" s="9" t="str">
        <f>IFERROR((IF(VLOOKUP(A83,'ECN-ECO_DATA'!B:V,19,FALSE)=0/1/1900,"",VLOOKUP(A83,'ECN-ECO_DATA'!B:V,19,FALSE))),"")</f>
        <v/>
      </c>
      <c r="O83" s="9" t="str">
        <f>IFERROR((IF(VLOOKUP(A83,'ECN-ECO_DATA'!B:V,20,FALSE)=0/1/1900,"",VLOOKUP(A83,'ECN-ECO_DATA'!B:V,20,FALSE))),"")</f>
        <v/>
      </c>
      <c r="P83" s="9" t="str">
        <f>IFERROR((IF(VLOOKUP(A83,'ECN-ECO_DATA'!B:V,21,FALSE)=0/1/1900,"",VLOOKUP(A83,'ECN-ECO_DATA'!B:V,21,FALSE))),"")</f>
        <v/>
      </c>
      <c r="Q83" s="10" t="str">
        <f t="shared" ca="1" si="5"/>
        <v/>
      </c>
      <c r="R83" s="4" t="str">
        <f t="shared" si="6"/>
        <v/>
      </c>
      <c r="S83" s="4" t="str">
        <f t="shared" si="7"/>
        <v/>
      </c>
      <c r="T83" s="4" t="str">
        <f t="shared" si="8"/>
        <v/>
      </c>
      <c r="U83" s="10" t="str">
        <f t="shared" si="9"/>
        <v/>
      </c>
      <c r="V83" s="4"/>
    </row>
    <row r="84" spans="2:22" x14ac:dyDescent="0.25">
      <c r="B84" s="4" t="str">
        <f>IFERROR(VLOOKUP(A84,'ECN-ECO_DATA'!B:G,4,FALSE),"")</f>
        <v/>
      </c>
      <c r="C84" s="9" t="str">
        <f>IFERROR(VLOOKUP(A84,'ECN-ECO_DATA'!B:G,5,FALSE),"")</f>
        <v/>
      </c>
      <c r="D84" s="9" t="str">
        <f ca="1">IFERROR((IF(VLOOKUP(A84,'ECN-ECO_DATA'!B:G,6,FALSE)=0/1/1900,TODAY(),VLOOKUP(A84,'ECN-ECO_DATA'!B:G,6,FALSE))),"")</f>
        <v/>
      </c>
      <c r="E84" s="9" t="str">
        <f>IFERROR((IF(VLOOKUP(A84,'ECN-ECO_DATA'!B:G,6,FALSE)=0/1/1900,"",VLOOKUP(A84,'ECN-ECO_DATA'!B:G,6,FALSE))),"")</f>
        <v/>
      </c>
      <c r="F84" s="9" t="str">
        <f>IFERROR((IF(VLOOKUP(A84,'ECN-ECO_DATA'!B:J,7,FALSE)=0/1/1900,"",VLOOKUP(A84,'ECN-ECO_DATA'!B:J,7,FALSE))),"")</f>
        <v/>
      </c>
      <c r="G84" s="9" t="str">
        <f>IFERROR((IF(VLOOKUP(A84,'ECN-ECO_DATA'!B:J,8,FALSE)=0/1/1900,"",VLOOKUP(A84,'ECN-ECO_DATA'!B:J,8,FALSE))),"")</f>
        <v/>
      </c>
      <c r="H84" s="9" t="str">
        <f>IFERROR((IF(VLOOKUP(A84,'ECN-ECO_DATA'!B:J,9,FALSE)=0/1/1900,"",VLOOKUP(A84,'ECN-ECO_DATA'!B:J,9,FALSE))),"")</f>
        <v/>
      </c>
      <c r="I84" s="10" t="str">
        <f>IFERROR((IF(VLOOKUP(A84,'ECN-ECO_DATA'!B:Q,13,FALSE)="","",VLOOKUP(A84,'ECN-ECO_DATA'!B:Q,13,FALSE))),"")</f>
        <v/>
      </c>
      <c r="J84" s="10" t="str">
        <f>IFERROR((IF(VLOOKUP(A84,'ECN-ECO_DATA'!B:Q,14,FALSE)="","",VLOOKUP(A84,'ECN-ECO_DATA'!B:Q,14,FALSE))),"")</f>
        <v/>
      </c>
      <c r="K84" s="10" t="str">
        <f>IFERROR((IF(VLOOKUP(A84,'ECN-ECO_DATA'!B:Q,15,FALSE)="","",VLOOKUP(A84,'ECN-ECO_DATA'!B:Q,15,FALSE))),"")</f>
        <v/>
      </c>
      <c r="L84" s="10" t="str">
        <f>IFERROR((IF(VLOOKUP(A84,'ECN-ECO_DATA'!B:Q,16,FALSE)="","",VLOOKUP(A84,'ECN-ECO_DATA'!B:Q,16,FALSE))),"")</f>
        <v/>
      </c>
      <c r="M84" s="9" t="str">
        <f>IFERROR((IF(VLOOKUP(A84,'ECN-ECO_DATA'!B:V,18,FALSE)=0/1/1900,"",VLOOKUP(A84,'ECN-ECO_DATA'!B:V,18,FALSE))),"")</f>
        <v/>
      </c>
      <c r="N84" s="9" t="str">
        <f>IFERROR((IF(VLOOKUP(A84,'ECN-ECO_DATA'!B:V,19,FALSE)=0/1/1900,"",VLOOKUP(A84,'ECN-ECO_DATA'!B:V,19,FALSE))),"")</f>
        <v/>
      </c>
      <c r="O84" s="9" t="str">
        <f>IFERROR((IF(VLOOKUP(A84,'ECN-ECO_DATA'!B:V,20,FALSE)=0/1/1900,"",VLOOKUP(A84,'ECN-ECO_DATA'!B:V,20,FALSE))),"")</f>
        <v/>
      </c>
      <c r="P84" s="9" t="str">
        <f>IFERROR((IF(VLOOKUP(A84,'ECN-ECO_DATA'!B:V,21,FALSE)=0/1/1900,"",VLOOKUP(A84,'ECN-ECO_DATA'!B:V,21,FALSE))),"")</f>
        <v/>
      </c>
      <c r="Q84" s="10" t="str">
        <f t="shared" ca="1" si="5"/>
        <v/>
      </c>
      <c r="R84" s="4" t="str">
        <f t="shared" si="6"/>
        <v/>
      </c>
      <c r="S84" s="4" t="str">
        <f t="shared" si="7"/>
        <v/>
      </c>
      <c r="T84" s="4" t="str">
        <f t="shared" si="8"/>
        <v/>
      </c>
      <c r="U84" s="10" t="str">
        <f t="shared" si="9"/>
        <v/>
      </c>
      <c r="V84" s="4"/>
    </row>
    <row r="85" spans="2:22" x14ac:dyDescent="0.25">
      <c r="B85" s="4" t="str">
        <f>IFERROR(VLOOKUP(A85,'ECN-ECO_DATA'!B:G,4,FALSE),"")</f>
        <v/>
      </c>
      <c r="C85" s="9" t="str">
        <f>IFERROR(VLOOKUP(A85,'ECN-ECO_DATA'!B:G,5,FALSE),"")</f>
        <v/>
      </c>
      <c r="D85" s="9" t="str">
        <f ca="1">IFERROR((IF(VLOOKUP(A85,'ECN-ECO_DATA'!B:G,6,FALSE)=0/1/1900,TODAY(),VLOOKUP(A85,'ECN-ECO_DATA'!B:G,6,FALSE))),"")</f>
        <v/>
      </c>
      <c r="E85" s="9" t="str">
        <f>IFERROR((IF(VLOOKUP(A85,'ECN-ECO_DATA'!B:G,6,FALSE)=0/1/1900,"",VLOOKUP(A85,'ECN-ECO_DATA'!B:G,6,FALSE))),"")</f>
        <v/>
      </c>
      <c r="F85" s="9" t="str">
        <f>IFERROR((IF(VLOOKUP(A85,'ECN-ECO_DATA'!B:J,7,FALSE)=0/1/1900,"",VLOOKUP(A85,'ECN-ECO_DATA'!B:J,7,FALSE))),"")</f>
        <v/>
      </c>
      <c r="G85" s="9" t="str">
        <f>IFERROR((IF(VLOOKUP(A85,'ECN-ECO_DATA'!B:J,8,FALSE)=0/1/1900,"",VLOOKUP(A85,'ECN-ECO_DATA'!B:J,8,FALSE))),"")</f>
        <v/>
      </c>
      <c r="H85" s="9" t="str">
        <f>IFERROR((IF(VLOOKUP(A85,'ECN-ECO_DATA'!B:J,9,FALSE)=0/1/1900,"",VLOOKUP(A85,'ECN-ECO_DATA'!B:J,9,FALSE))),"")</f>
        <v/>
      </c>
      <c r="I85" s="10" t="str">
        <f>IFERROR((IF(VLOOKUP(A85,'ECN-ECO_DATA'!B:Q,13,FALSE)="","",VLOOKUP(A85,'ECN-ECO_DATA'!B:Q,13,FALSE))),"")</f>
        <v/>
      </c>
      <c r="J85" s="10" t="str">
        <f>IFERROR((IF(VLOOKUP(A85,'ECN-ECO_DATA'!B:Q,14,FALSE)="","",VLOOKUP(A85,'ECN-ECO_DATA'!B:Q,14,FALSE))),"")</f>
        <v/>
      </c>
      <c r="K85" s="10" t="str">
        <f>IFERROR((IF(VLOOKUP(A85,'ECN-ECO_DATA'!B:Q,15,FALSE)="","",VLOOKUP(A85,'ECN-ECO_DATA'!B:Q,15,FALSE))),"")</f>
        <v/>
      </c>
      <c r="L85" s="10" t="str">
        <f>IFERROR((IF(VLOOKUP(A85,'ECN-ECO_DATA'!B:Q,16,FALSE)="","",VLOOKUP(A85,'ECN-ECO_DATA'!B:Q,16,FALSE))),"")</f>
        <v/>
      </c>
      <c r="M85" s="9" t="str">
        <f>IFERROR((IF(VLOOKUP(A85,'ECN-ECO_DATA'!B:V,18,FALSE)=0/1/1900,"",VLOOKUP(A85,'ECN-ECO_DATA'!B:V,18,FALSE))),"")</f>
        <v/>
      </c>
      <c r="N85" s="9" t="str">
        <f>IFERROR((IF(VLOOKUP(A85,'ECN-ECO_DATA'!B:V,19,FALSE)=0/1/1900,"",VLOOKUP(A85,'ECN-ECO_DATA'!B:V,19,FALSE))),"")</f>
        <v/>
      </c>
      <c r="O85" s="9" t="str">
        <f>IFERROR((IF(VLOOKUP(A85,'ECN-ECO_DATA'!B:V,20,FALSE)=0/1/1900,"",VLOOKUP(A85,'ECN-ECO_DATA'!B:V,20,FALSE))),"")</f>
        <v/>
      </c>
      <c r="P85" s="9" t="str">
        <f>IFERROR((IF(VLOOKUP(A85,'ECN-ECO_DATA'!B:V,21,FALSE)=0/1/1900,"",VLOOKUP(A85,'ECN-ECO_DATA'!B:V,21,FALSE))),"")</f>
        <v/>
      </c>
      <c r="Q85" s="10" t="str">
        <f t="shared" ca="1" si="5"/>
        <v/>
      </c>
      <c r="R85" s="4" t="str">
        <f t="shared" si="6"/>
        <v/>
      </c>
      <c r="S85" s="4" t="str">
        <f t="shared" si="7"/>
        <v/>
      </c>
      <c r="T85" s="4" t="str">
        <f t="shared" si="8"/>
        <v/>
      </c>
      <c r="U85" s="10" t="str">
        <f t="shared" si="9"/>
        <v/>
      </c>
      <c r="V85" s="4"/>
    </row>
    <row r="86" spans="2:22" x14ac:dyDescent="0.25">
      <c r="B86" s="4" t="str">
        <f>IFERROR(VLOOKUP(A86,'ECN-ECO_DATA'!B:G,4,FALSE),"")</f>
        <v/>
      </c>
      <c r="C86" s="9" t="str">
        <f>IFERROR(VLOOKUP(A86,'ECN-ECO_DATA'!B:G,5,FALSE),"")</f>
        <v/>
      </c>
      <c r="D86" s="9" t="str">
        <f ca="1">IFERROR((IF(VLOOKUP(A86,'ECN-ECO_DATA'!B:G,6,FALSE)=0/1/1900,TODAY(),VLOOKUP(A86,'ECN-ECO_DATA'!B:G,6,FALSE))),"")</f>
        <v/>
      </c>
      <c r="E86" s="9" t="str">
        <f>IFERROR((IF(VLOOKUP(A86,'ECN-ECO_DATA'!B:G,6,FALSE)=0/1/1900,"",VLOOKUP(A86,'ECN-ECO_DATA'!B:G,6,FALSE))),"")</f>
        <v/>
      </c>
      <c r="F86" s="9" t="str">
        <f>IFERROR((IF(VLOOKUP(A86,'ECN-ECO_DATA'!B:J,7,FALSE)=0/1/1900,"",VLOOKUP(A86,'ECN-ECO_DATA'!B:J,7,FALSE))),"")</f>
        <v/>
      </c>
      <c r="G86" s="9" t="str">
        <f>IFERROR((IF(VLOOKUP(A86,'ECN-ECO_DATA'!B:J,8,FALSE)=0/1/1900,"",VLOOKUP(A86,'ECN-ECO_DATA'!B:J,8,FALSE))),"")</f>
        <v/>
      </c>
      <c r="H86" s="9" t="str">
        <f>IFERROR((IF(VLOOKUP(A86,'ECN-ECO_DATA'!B:J,9,FALSE)=0/1/1900,"",VLOOKUP(A86,'ECN-ECO_DATA'!B:J,9,FALSE))),"")</f>
        <v/>
      </c>
      <c r="I86" s="10" t="str">
        <f>IFERROR((IF(VLOOKUP(A86,'ECN-ECO_DATA'!B:Q,13,FALSE)="","",VLOOKUP(A86,'ECN-ECO_DATA'!B:Q,13,FALSE))),"")</f>
        <v/>
      </c>
      <c r="J86" s="10" t="str">
        <f>IFERROR((IF(VLOOKUP(A86,'ECN-ECO_DATA'!B:Q,14,FALSE)="","",VLOOKUP(A86,'ECN-ECO_DATA'!B:Q,14,FALSE))),"")</f>
        <v/>
      </c>
      <c r="K86" s="10" t="str">
        <f>IFERROR((IF(VLOOKUP(A86,'ECN-ECO_DATA'!B:Q,15,FALSE)="","",VLOOKUP(A86,'ECN-ECO_DATA'!B:Q,15,FALSE))),"")</f>
        <v/>
      </c>
      <c r="L86" s="10" t="str">
        <f>IFERROR((IF(VLOOKUP(A86,'ECN-ECO_DATA'!B:Q,16,FALSE)="","",VLOOKUP(A86,'ECN-ECO_DATA'!B:Q,16,FALSE))),"")</f>
        <v/>
      </c>
      <c r="M86" s="9" t="str">
        <f>IFERROR((IF(VLOOKUP(A86,'ECN-ECO_DATA'!B:V,18,FALSE)=0/1/1900,"",VLOOKUP(A86,'ECN-ECO_DATA'!B:V,18,FALSE))),"")</f>
        <v/>
      </c>
      <c r="N86" s="9" t="str">
        <f>IFERROR((IF(VLOOKUP(A86,'ECN-ECO_DATA'!B:V,19,FALSE)=0/1/1900,"",VLOOKUP(A86,'ECN-ECO_DATA'!B:V,19,FALSE))),"")</f>
        <v/>
      </c>
      <c r="O86" s="9" t="str">
        <f>IFERROR((IF(VLOOKUP(A86,'ECN-ECO_DATA'!B:V,20,FALSE)=0/1/1900,"",VLOOKUP(A86,'ECN-ECO_DATA'!B:V,20,FALSE))),"")</f>
        <v/>
      </c>
      <c r="P86" s="9" t="str">
        <f>IFERROR((IF(VLOOKUP(A86,'ECN-ECO_DATA'!B:V,21,FALSE)=0/1/1900,"",VLOOKUP(A86,'ECN-ECO_DATA'!B:V,21,FALSE))),"")</f>
        <v/>
      </c>
      <c r="Q86" s="10" t="str">
        <f t="shared" ca="1" si="5"/>
        <v/>
      </c>
      <c r="R86" s="4" t="str">
        <f t="shared" si="6"/>
        <v/>
      </c>
      <c r="S86" s="4" t="str">
        <f t="shared" si="7"/>
        <v/>
      </c>
      <c r="T86" s="4" t="str">
        <f t="shared" si="8"/>
        <v/>
      </c>
      <c r="U86" s="10" t="str">
        <f t="shared" si="9"/>
        <v/>
      </c>
      <c r="V86" s="4"/>
    </row>
    <row r="87" spans="2:22" x14ac:dyDescent="0.25">
      <c r="B87" s="4" t="str">
        <f>IFERROR(VLOOKUP(A87,'ECN-ECO_DATA'!B:G,4,FALSE),"")</f>
        <v/>
      </c>
      <c r="C87" s="9" t="str">
        <f>IFERROR(VLOOKUP(A87,'ECN-ECO_DATA'!B:G,5,FALSE),"")</f>
        <v/>
      </c>
      <c r="D87" s="9" t="str">
        <f ca="1">IFERROR((IF(VLOOKUP(A87,'ECN-ECO_DATA'!B:G,6,FALSE)=0/1/1900,TODAY(),VLOOKUP(A87,'ECN-ECO_DATA'!B:G,6,FALSE))),"")</f>
        <v/>
      </c>
      <c r="E87" s="9" t="str">
        <f>IFERROR((IF(VLOOKUP(A87,'ECN-ECO_DATA'!B:G,6,FALSE)=0/1/1900,"",VLOOKUP(A87,'ECN-ECO_DATA'!B:G,6,FALSE))),"")</f>
        <v/>
      </c>
      <c r="F87" s="9" t="str">
        <f>IFERROR((IF(VLOOKUP(A87,'ECN-ECO_DATA'!B:J,7,FALSE)=0/1/1900,"",VLOOKUP(A87,'ECN-ECO_DATA'!B:J,7,FALSE))),"")</f>
        <v/>
      </c>
      <c r="G87" s="9" t="str">
        <f>IFERROR((IF(VLOOKUP(A87,'ECN-ECO_DATA'!B:J,8,FALSE)=0/1/1900,"",VLOOKUP(A87,'ECN-ECO_DATA'!B:J,8,FALSE))),"")</f>
        <v/>
      </c>
      <c r="H87" s="9" t="str">
        <f>IFERROR((IF(VLOOKUP(A87,'ECN-ECO_DATA'!B:J,9,FALSE)=0/1/1900,"",VLOOKUP(A87,'ECN-ECO_DATA'!B:J,9,FALSE))),"")</f>
        <v/>
      </c>
      <c r="I87" s="10" t="str">
        <f>IFERROR((IF(VLOOKUP(A87,'ECN-ECO_DATA'!B:Q,13,FALSE)="","",VLOOKUP(A87,'ECN-ECO_DATA'!B:Q,13,FALSE))),"")</f>
        <v/>
      </c>
      <c r="J87" s="10" t="str">
        <f>IFERROR((IF(VLOOKUP(A87,'ECN-ECO_DATA'!B:Q,14,FALSE)="","",VLOOKUP(A87,'ECN-ECO_DATA'!B:Q,14,FALSE))),"")</f>
        <v/>
      </c>
      <c r="K87" s="10" t="str">
        <f>IFERROR((IF(VLOOKUP(A87,'ECN-ECO_DATA'!B:Q,15,FALSE)="","",VLOOKUP(A87,'ECN-ECO_DATA'!B:Q,15,FALSE))),"")</f>
        <v/>
      </c>
      <c r="L87" s="10" t="str">
        <f>IFERROR((IF(VLOOKUP(A87,'ECN-ECO_DATA'!B:Q,16,FALSE)="","",VLOOKUP(A87,'ECN-ECO_DATA'!B:Q,16,FALSE))),"")</f>
        <v/>
      </c>
      <c r="M87" s="9" t="str">
        <f>IFERROR((IF(VLOOKUP(A87,'ECN-ECO_DATA'!B:V,18,FALSE)=0/1/1900,"",VLOOKUP(A87,'ECN-ECO_DATA'!B:V,18,FALSE))),"")</f>
        <v/>
      </c>
      <c r="N87" s="9" t="str">
        <f>IFERROR((IF(VLOOKUP(A87,'ECN-ECO_DATA'!B:V,19,FALSE)=0/1/1900,"",VLOOKUP(A87,'ECN-ECO_DATA'!B:V,19,FALSE))),"")</f>
        <v/>
      </c>
      <c r="O87" s="9" t="str">
        <f>IFERROR((IF(VLOOKUP(A87,'ECN-ECO_DATA'!B:V,20,FALSE)=0/1/1900,"",VLOOKUP(A87,'ECN-ECO_DATA'!B:V,20,FALSE))),"")</f>
        <v/>
      </c>
      <c r="P87" s="9" t="str">
        <f>IFERROR((IF(VLOOKUP(A87,'ECN-ECO_DATA'!B:V,21,FALSE)=0/1/1900,"",VLOOKUP(A87,'ECN-ECO_DATA'!B:V,21,FALSE))),"")</f>
        <v/>
      </c>
      <c r="Q87" s="10" t="str">
        <f t="shared" ca="1" si="5"/>
        <v/>
      </c>
      <c r="R87" s="4" t="str">
        <f t="shared" si="6"/>
        <v/>
      </c>
      <c r="S87" s="4" t="str">
        <f t="shared" si="7"/>
        <v/>
      </c>
      <c r="T87" s="4" t="str">
        <f t="shared" si="8"/>
        <v/>
      </c>
      <c r="U87" s="10" t="str">
        <f t="shared" si="9"/>
        <v/>
      </c>
      <c r="V87" s="4"/>
    </row>
    <row r="88" spans="2:22" x14ac:dyDescent="0.25">
      <c r="B88" s="4" t="str">
        <f>IFERROR(VLOOKUP(A88,'ECN-ECO_DATA'!B:G,4,FALSE),"")</f>
        <v/>
      </c>
      <c r="C88" s="9" t="str">
        <f>IFERROR(VLOOKUP(A88,'ECN-ECO_DATA'!B:G,5,FALSE),"")</f>
        <v/>
      </c>
      <c r="D88" s="9" t="str">
        <f ca="1">IFERROR((IF(VLOOKUP(A88,'ECN-ECO_DATA'!B:G,6,FALSE)=0/1/1900,TODAY(),VLOOKUP(A88,'ECN-ECO_DATA'!B:G,6,FALSE))),"")</f>
        <v/>
      </c>
      <c r="E88" s="9" t="str">
        <f>IFERROR((IF(VLOOKUP(A88,'ECN-ECO_DATA'!B:G,6,FALSE)=0/1/1900,"",VLOOKUP(A88,'ECN-ECO_DATA'!B:G,6,FALSE))),"")</f>
        <v/>
      </c>
      <c r="F88" s="9" t="str">
        <f>IFERROR((IF(VLOOKUP(A88,'ECN-ECO_DATA'!B:J,7,FALSE)=0/1/1900,"",VLOOKUP(A88,'ECN-ECO_DATA'!B:J,7,FALSE))),"")</f>
        <v/>
      </c>
      <c r="G88" s="9" t="str">
        <f>IFERROR((IF(VLOOKUP(A88,'ECN-ECO_DATA'!B:J,8,FALSE)=0/1/1900,"",VLOOKUP(A88,'ECN-ECO_DATA'!B:J,8,FALSE))),"")</f>
        <v/>
      </c>
      <c r="H88" s="9" t="str">
        <f>IFERROR((IF(VLOOKUP(A88,'ECN-ECO_DATA'!B:J,9,FALSE)=0/1/1900,"",VLOOKUP(A88,'ECN-ECO_DATA'!B:J,9,FALSE))),"")</f>
        <v/>
      </c>
      <c r="I88" s="10" t="str">
        <f>IFERROR((IF(VLOOKUP(A88,'ECN-ECO_DATA'!B:Q,13,FALSE)="","",VLOOKUP(A88,'ECN-ECO_DATA'!B:Q,13,FALSE))),"")</f>
        <v/>
      </c>
      <c r="J88" s="10" t="str">
        <f>IFERROR((IF(VLOOKUP(A88,'ECN-ECO_DATA'!B:Q,14,FALSE)="","",VLOOKUP(A88,'ECN-ECO_DATA'!B:Q,14,FALSE))),"")</f>
        <v/>
      </c>
      <c r="K88" s="10" t="str">
        <f>IFERROR((IF(VLOOKUP(A88,'ECN-ECO_DATA'!B:Q,15,FALSE)="","",VLOOKUP(A88,'ECN-ECO_DATA'!B:Q,15,FALSE))),"")</f>
        <v/>
      </c>
      <c r="L88" s="10" t="str">
        <f>IFERROR((IF(VLOOKUP(A88,'ECN-ECO_DATA'!B:Q,16,FALSE)="","",VLOOKUP(A88,'ECN-ECO_DATA'!B:Q,16,FALSE))),"")</f>
        <v/>
      </c>
      <c r="M88" s="9" t="str">
        <f>IFERROR((IF(VLOOKUP(A88,'ECN-ECO_DATA'!B:V,18,FALSE)=0/1/1900,"",VLOOKUP(A88,'ECN-ECO_DATA'!B:V,18,FALSE))),"")</f>
        <v/>
      </c>
      <c r="N88" s="9" t="str">
        <f>IFERROR((IF(VLOOKUP(A88,'ECN-ECO_DATA'!B:V,19,FALSE)=0/1/1900,"",VLOOKUP(A88,'ECN-ECO_DATA'!B:V,19,FALSE))),"")</f>
        <v/>
      </c>
      <c r="O88" s="9" t="str">
        <f>IFERROR((IF(VLOOKUP(A88,'ECN-ECO_DATA'!B:V,20,FALSE)=0/1/1900,"",VLOOKUP(A88,'ECN-ECO_DATA'!B:V,20,FALSE))),"")</f>
        <v/>
      </c>
      <c r="P88" s="9" t="str">
        <f>IFERROR((IF(VLOOKUP(A88,'ECN-ECO_DATA'!B:V,21,FALSE)=0/1/1900,"",VLOOKUP(A88,'ECN-ECO_DATA'!B:V,21,FALSE))),"")</f>
        <v/>
      </c>
      <c r="Q88" s="10" t="str">
        <f t="shared" ca="1" si="5"/>
        <v/>
      </c>
      <c r="R88" s="4" t="str">
        <f t="shared" si="6"/>
        <v/>
      </c>
      <c r="S88" s="4" t="str">
        <f t="shared" si="7"/>
        <v/>
      </c>
      <c r="T88" s="4" t="str">
        <f t="shared" si="8"/>
        <v/>
      </c>
      <c r="U88" s="10" t="str">
        <f t="shared" si="9"/>
        <v/>
      </c>
      <c r="V88" s="4"/>
    </row>
    <row r="89" spans="2:22" x14ac:dyDescent="0.25">
      <c r="B89" s="4" t="str">
        <f>IFERROR(VLOOKUP(A89,'ECN-ECO_DATA'!B:G,4,FALSE),"")</f>
        <v/>
      </c>
      <c r="C89" s="9" t="str">
        <f>IFERROR(VLOOKUP(A89,'ECN-ECO_DATA'!B:G,5,FALSE),"")</f>
        <v/>
      </c>
      <c r="D89" s="9" t="str">
        <f ca="1">IFERROR((IF(VLOOKUP(A89,'ECN-ECO_DATA'!B:G,6,FALSE)=0/1/1900,TODAY(),VLOOKUP(A89,'ECN-ECO_DATA'!B:G,6,FALSE))),"")</f>
        <v/>
      </c>
      <c r="E89" s="9" t="str">
        <f>IFERROR((IF(VLOOKUP(A89,'ECN-ECO_DATA'!B:G,6,FALSE)=0/1/1900,"",VLOOKUP(A89,'ECN-ECO_DATA'!B:G,6,FALSE))),"")</f>
        <v/>
      </c>
      <c r="F89" s="9" t="str">
        <f>IFERROR((IF(VLOOKUP(A89,'ECN-ECO_DATA'!B:J,7,FALSE)=0/1/1900,"",VLOOKUP(A89,'ECN-ECO_DATA'!B:J,7,FALSE))),"")</f>
        <v/>
      </c>
      <c r="G89" s="9" t="str">
        <f>IFERROR((IF(VLOOKUP(A89,'ECN-ECO_DATA'!B:J,8,FALSE)=0/1/1900,"",VLOOKUP(A89,'ECN-ECO_DATA'!B:J,8,FALSE))),"")</f>
        <v/>
      </c>
      <c r="H89" s="9" t="str">
        <f>IFERROR((IF(VLOOKUP(A89,'ECN-ECO_DATA'!B:J,9,FALSE)=0/1/1900,"",VLOOKUP(A89,'ECN-ECO_DATA'!B:J,9,FALSE))),"")</f>
        <v/>
      </c>
      <c r="I89" s="10" t="str">
        <f>IFERROR((IF(VLOOKUP(A89,'ECN-ECO_DATA'!B:Q,13,FALSE)="","",VLOOKUP(A89,'ECN-ECO_DATA'!B:Q,13,FALSE))),"")</f>
        <v/>
      </c>
      <c r="J89" s="10" t="str">
        <f>IFERROR((IF(VLOOKUP(A89,'ECN-ECO_DATA'!B:Q,14,FALSE)="","",VLOOKUP(A89,'ECN-ECO_DATA'!B:Q,14,FALSE))),"")</f>
        <v/>
      </c>
      <c r="K89" s="10" t="str">
        <f>IFERROR((IF(VLOOKUP(A89,'ECN-ECO_DATA'!B:Q,15,FALSE)="","",VLOOKUP(A89,'ECN-ECO_DATA'!B:Q,15,FALSE))),"")</f>
        <v/>
      </c>
      <c r="L89" s="10" t="str">
        <f>IFERROR((IF(VLOOKUP(A89,'ECN-ECO_DATA'!B:Q,16,FALSE)="","",VLOOKUP(A89,'ECN-ECO_DATA'!B:Q,16,FALSE))),"")</f>
        <v/>
      </c>
      <c r="M89" s="9" t="str">
        <f>IFERROR((IF(VLOOKUP(A89,'ECN-ECO_DATA'!B:V,18,FALSE)=0/1/1900,"",VLOOKUP(A89,'ECN-ECO_DATA'!B:V,18,FALSE))),"")</f>
        <v/>
      </c>
      <c r="N89" s="9" t="str">
        <f>IFERROR((IF(VLOOKUP(A89,'ECN-ECO_DATA'!B:V,19,FALSE)=0/1/1900,"",VLOOKUP(A89,'ECN-ECO_DATA'!B:V,19,FALSE))),"")</f>
        <v/>
      </c>
      <c r="O89" s="9" t="str">
        <f>IFERROR((IF(VLOOKUP(A89,'ECN-ECO_DATA'!B:V,20,FALSE)=0/1/1900,"",VLOOKUP(A89,'ECN-ECO_DATA'!B:V,20,FALSE))),"")</f>
        <v/>
      </c>
      <c r="P89" s="9" t="str">
        <f>IFERROR((IF(VLOOKUP(A89,'ECN-ECO_DATA'!B:V,21,FALSE)=0/1/1900,"",VLOOKUP(A89,'ECN-ECO_DATA'!B:V,21,FALSE))),"")</f>
        <v/>
      </c>
      <c r="Q89" s="10" t="str">
        <f t="shared" ca="1" si="5"/>
        <v/>
      </c>
      <c r="R89" s="4" t="str">
        <f t="shared" si="6"/>
        <v/>
      </c>
      <c r="S89" s="4" t="str">
        <f t="shared" si="7"/>
        <v/>
      </c>
      <c r="T89" s="4" t="str">
        <f t="shared" si="8"/>
        <v/>
      </c>
      <c r="U89" s="10" t="str">
        <f t="shared" si="9"/>
        <v/>
      </c>
      <c r="V89" s="4"/>
    </row>
    <row r="90" spans="2:22" x14ac:dyDescent="0.25">
      <c r="B90" s="4" t="str">
        <f>IFERROR(VLOOKUP(A90,'ECN-ECO_DATA'!B:G,4,FALSE),"")</f>
        <v/>
      </c>
      <c r="C90" s="9" t="str">
        <f>IFERROR(VLOOKUP(A90,'ECN-ECO_DATA'!B:G,5,FALSE),"")</f>
        <v/>
      </c>
      <c r="D90" s="9" t="str">
        <f ca="1">IFERROR((IF(VLOOKUP(A90,'ECN-ECO_DATA'!B:G,6,FALSE)=0/1/1900,TODAY(),VLOOKUP(A90,'ECN-ECO_DATA'!B:G,6,FALSE))),"")</f>
        <v/>
      </c>
      <c r="E90" s="9" t="str">
        <f>IFERROR((IF(VLOOKUP(A90,'ECN-ECO_DATA'!B:G,6,FALSE)=0/1/1900,"",VLOOKUP(A90,'ECN-ECO_DATA'!B:G,6,FALSE))),"")</f>
        <v/>
      </c>
      <c r="F90" s="9" t="str">
        <f>IFERROR((IF(VLOOKUP(A90,'ECN-ECO_DATA'!B:J,7,FALSE)=0/1/1900,"",VLOOKUP(A90,'ECN-ECO_DATA'!B:J,7,FALSE))),"")</f>
        <v/>
      </c>
      <c r="G90" s="9" t="str">
        <f>IFERROR((IF(VLOOKUP(A90,'ECN-ECO_DATA'!B:J,8,FALSE)=0/1/1900,"",VLOOKUP(A90,'ECN-ECO_DATA'!B:J,8,FALSE))),"")</f>
        <v/>
      </c>
      <c r="H90" s="9" t="str">
        <f>IFERROR((IF(VLOOKUP(A90,'ECN-ECO_DATA'!B:J,9,FALSE)=0/1/1900,"",VLOOKUP(A90,'ECN-ECO_DATA'!B:J,9,FALSE))),"")</f>
        <v/>
      </c>
      <c r="I90" s="10" t="str">
        <f>IFERROR((IF(VLOOKUP(A90,'ECN-ECO_DATA'!B:Q,13,FALSE)="","",VLOOKUP(A90,'ECN-ECO_DATA'!B:Q,13,FALSE))),"")</f>
        <v/>
      </c>
      <c r="J90" s="10" t="str">
        <f>IFERROR((IF(VLOOKUP(A90,'ECN-ECO_DATA'!B:Q,14,FALSE)="","",VLOOKUP(A90,'ECN-ECO_DATA'!B:Q,14,FALSE))),"")</f>
        <v/>
      </c>
      <c r="K90" s="10" t="str">
        <f>IFERROR((IF(VLOOKUP(A90,'ECN-ECO_DATA'!B:Q,15,FALSE)="","",VLOOKUP(A90,'ECN-ECO_DATA'!B:Q,15,FALSE))),"")</f>
        <v/>
      </c>
      <c r="L90" s="10" t="str">
        <f>IFERROR((IF(VLOOKUP(A90,'ECN-ECO_DATA'!B:Q,16,FALSE)="","",VLOOKUP(A90,'ECN-ECO_DATA'!B:Q,16,FALSE))),"")</f>
        <v/>
      </c>
      <c r="M90" s="9" t="str">
        <f>IFERROR((IF(VLOOKUP(A90,'ECN-ECO_DATA'!B:V,18,FALSE)=0/1/1900,"",VLOOKUP(A90,'ECN-ECO_DATA'!B:V,18,FALSE))),"")</f>
        <v/>
      </c>
      <c r="N90" s="9" t="str">
        <f>IFERROR((IF(VLOOKUP(A90,'ECN-ECO_DATA'!B:V,19,FALSE)=0/1/1900,"",VLOOKUP(A90,'ECN-ECO_DATA'!B:V,19,FALSE))),"")</f>
        <v/>
      </c>
      <c r="O90" s="9" t="str">
        <f>IFERROR((IF(VLOOKUP(A90,'ECN-ECO_DATA'!B:V,20,FALSE)=0/1/1900,"",VLOOKUP(A90,'ECN-ECO_DATA'!B:V,20,FALSE))),"")</f>
        <v/>
      </c>
      <c r="P90" s="9" t="str">
        <f>IFERROR((IF(VLOOKUP(A90,'ECN-ECO_DATA'!B:V,21,FALSE)=0/1/1900,"",VLOOKUP(A90,'ECN-ECO_DATA'!B:V,21,FALSE))),"")</f>
        <v/>
      </c>
      <c r="Q90" s="10" t="str">
        <f t="shared" ca="1" si="5"/>
        <v/>
      </c>
      <c r="R90" s="4" t="str">
        <f t="shared" si="6"/>
        <v/>
      </c>
      <c r="S90" s="4" t="str">
        <f t="shared" si="7"/>
        <v/>
      </c>
      <c r="T90" s="4" t="str">
        <f t="shared" si="8"/>
        <v/>
      </c>
      <c r="U90" s="10" t="str">
        <f t="shared" si="9"/>
        <v/>
      </c>
      <c r="V90" s="4"/>
    </row>
    <row r="91" spans="2:22" x14ac:dyDescent="0.25">
      <c r="B91" s="4" t="str">
        <f>IFERROR(VLOOKUP(A91,'ECN-ECO_DATA'!B:G,4,FALSE),"")</f>
        <v/>
      </c>
      <c r="C91" s="9" t="str">
        <f>IFERROR(VLOOKUP(A91,'ECN-ECO_DATA'!B:G,5,FALSE),"")</f>
        <v/>
      </c>
      <c r="D91" s="9" t="str">
        <f ca="1">IFERROR((IF(VLOOKUP(A91,'ECN-ECO_DATA'!B:G,6,FALSE)=0/1/1900,TODAY(),VLOOKUP(A91,'ECN-ECO_DATA'!B:G,6,FALSE))),"")</f>
        <v/>
      </c>
      <c r="E91" s="9" t="str">
        <f>IFERROR((IF(VLOOKUP(A91,'ECN-ECO_DATA'!B:G,6,FALSE)=0/1/1900,"",VLOOKUP(A91,'ECN-ECO_DATA'!B:G,6,FALSE))),"")</f>
        <v/>
      </c>
      <c r="F91" s="9" t="str">
        <f>IFERROR((IF(VLOOKUP(A91,'ECN-ECO_DATA'!B:J,7,FALSE)=0/1/1900,"",VLOOKUP(A91,'ECN-ECO_DATA'!B:J,7,FALSE))),"")</f>
        <v/>
      </c>
      <c r="G91" s="9" t="str">
        <f>IFERROR((IF(VLOOKUP(A91,'ECN-ECO_DATA'!B:J,8,FALSE)=0/1/1900,"",VLOOKUP(A91,'ECN-ECO_DATA'!B:J,8,FALSE))),"")</f>
        <v/>
      </c>
      <c r="H91" s="9" t="str">
        <f>IFERROR((IF(VLOOKUP(A91,'ECN-ECO_DATA'!B:J,9,FALSE)=0/1/1900,"",VLOOKUP(A91,'ECN-ECO_DATA'!B:J,9,FALSE))),"")</f>
        <v/>
      </c>
      <c r="I91" s="10" t="str">
        <f>IFERROR((IF(VLOOKUP(A91,'ECN-ECO_DATA'!B:Q,13,FALSE)="","",VLOOKUP(A91,'ECN-ECO_DATA'!B:Q,13,FALSE))),"")</f>
        <v/>
      </c>
      <c r="J91" s="10" t="str">
        <f>IFERROR((IF(VLOOKUP(A91,'ECN-ECO_DATA'!B:Q,14,FALSE)="","",VLOOKUP(A91,'ECN-ECO_DATA'!B:Q,14,FALSE))),"")</f>
        <v/>
      </c>
      <c r="K91" s="10" t="str">
        <f>IFERROR((IF(VLOOKUP(A91,'ECN-ECO_DATA'!B:Q,15,FALSE)="","",VLOOKUP(A91,'ECN-ECO_DATA'!B:Q,15,FALSE))),"")</f>
        <v/>
      </c>
      <c r="L91" s="10" t="str">
        <f>IFERROR((IF(VLOOKUP(A91,'ECN-ECO_DATA'!B:Q,16,FALSE)="","",VLOOKUP(A91,'ECN-ECO_DATA'!B:Q,16,FALSE))),"")</f>
        <v/>
      </c>
      <c r="M91" s="9" t="str">
        <f>IFERROR((IF(VLOOKUP(A91,'ECN-ECO_DATA'!B:V,18,FALSE)=0/1/1900,"",VLOOKUP(A91,'ECN-ECO_DATA'!B:V,18,FALSE))),"")</f>
        <v/>
      </c>
      <c r="N91" s="9" t="str">
        <f>IFERROR((IF(VLOOKUP(A91,'ECN-ECO_DATA'!B:V,19,FALSE)=0/1/1900,"",VLOOKUP(A91,'ECN-ECO_DATA'!B:V,19,FALSE))),"")</f>
        <v/>
      </c>
      <c r="O91" s="9" t="str">
        <f>IFERROR((IF(VLOOKUP(A91,'ECN-ECO_DATA'!B:V,20,FALSE)=0/1/1900,"",VLOOKUP(A91,'ECN-ECO_DATA'!B:V,20,FALSE))),"")</f>
        <v/>
      </c>
      <c r="P91" s="9" t="str">
        <f>IFERROR((IF(VLOOKUP(A91,'ECN-ECO_DATA'!B:V,21,FALSE)=0/1/1900,"",VLOOKUP(A91,'ECN-ECO_DATA'!B:V,21,FALSE))),"")</f>
        <v/>
      </c>
      <c r="Q91" s="10" t="str">
        <f t="shared" ca="1" si="5"/>
        <v/>
      </c>
      <c r="R91" s="4" t="str">
        <f t="shared" si="6"/>
        <v/>
      </c>
      <c r="S91" s="4" t="str">
        <f t="shared" si="7"/>
        <v/>
      </c>
      <c r="T91" s="4" t="str">
        <f t="shared" si="8"/>
        <v/>
      </c>
      <c r="U91" s="10" t="str">
        <f t="shared" si="9"/>
        <v/>
      </c>
      <c r="V91" s="4"/>
    </row>
    <row r="92" spans="2:22" x14ac:dyDescent="0.25">
      <c r="B92" s="4" t="str">
        <f>IFERROR(VLOOKUP(A92,'ECN-ECO_DATA'!B:G,4,FALSE),"")</f>
        <v/>
      </c>
      <c r="C92" s="9" t="str">
        <f>IFERROR(VLOOKUP(A92,'ECN-ECO_DATA'!B:G,5,FALSE),"")</f>
        <v/>
      </c>
      <c r="D92" s="9" t="str">
        <f ca="1">IFERROR((IF(VLOOKUP(A92,'ECN-ECO_DATA'!B:G,6,FALSE)=0/1/1900,TODAY(),VLOOKUP(A92,'ECN-ECO_DATA'!B:G,6,FALSE))),"")</f>
        <v/>
      </c>
      <c r="E92" s="9" t="str">
        <f>IFERROR((IF(VLOOKUP(A92,'ECN-ECO_DATA'!B:G,6,FALSE)=0/1/1900,"",VLOOKUP(A92,'ECN-ECO_DATA'!B:G,6,FALSE))),"")</f>
        <v/>
      </c>
      <c r="F92" s="9" t="str">
        <f>IFERROR((IF(VLOOKUP(A92,'ECN-ECO_DATA'!B:J,7,FALSE)=0/1/1900,"",VLOOKUP(A92,'ECN-ECO_DATA'!B:J,7,FALSE))),"")</f>
        <v/>
      </c>
      <c r="G92" s="9" t="str">
        <f>IFERROR((IF(VLOOKUP(A92,'ECN-ECO_DATA'!B:J,8,FALSE)=0/1/1900,"",VLOOKUP(A92,'ECN-ECO_DATA'!B:J,8,FALSE))),"")</f>
        <v/>
      </c>
      <c r="H92" s="9" t="str">
        <f>IFERROR((IF(VLOOKUP(A92,'ECN-ECO_DATA'!B:J,9,FALSE)=0/1/1900,"",VLOOKUP(A92,'ECN-ECO_DATA'!B:J,9,FALSE))),"")</f>
        <v/>
      </c>
      <c r="I92" s="10" t="str">
        <f>IFERROR((IF(VLOOKUP(A92,'ECN-ECO_DATA'!B:Q,13,FALSE)="","",VLOOKUP(A92,'ECN-ECO_DATA'!B:Q,13,FALSE))),"")</f>
        <v/>
      </c>
      <c r="J92" s="10" t="str">
        <f>IFERROR((IF(VLOOKUP(A92,'ECN-ECO_DATA'!B:Q,14,FALSE)="","",VLOOKUP(A92,'ECN-ECO_DATA'!B:Q,14,FALSE))),"")</f>
        <v/>
      </c>
      <c r="K92" s="10" t="str">
        <f>IFERROR((IF(VLOOKUP(A92,'ECN-ECO_DATA'!B:Q,15,FALSE)="","",VLOOKUP(A92,'ECN-ECO_DATA'!B:Q,15,FALSE))),"")</f>
        <v/>
      </c>
      <c r="L92" s="10" t="str">
        <f>IFERROR((IF(VLOOKUP(A92,'ECN-ECO_DATA'!B:Q,16,FALSE)="","",VLOOKUP(A92,'ECN-ECO_DATA'!B:Q,16,FALSE))),"")</f>
        <v/>
      </c>
      <c r="M92" s="9" t="str">
        <f>IFERROR((IF(VLOOKUP(A92,'ECN-ECO_DATA'!B:V,18,FALSE)=0/1/1900,"",VLOOKUP(A92,'ECN-ECO_DATA'!B:V,18,FALSE))),"")</f>
        <v/>
      </c>
      <c r="N92" s="9" t="str">
        <f>IFERROR((IF(VLOOKUP(A92,'ECN-ECO_DATA'!B:V,19,FALSE)=0/1/1900,"",VLOOKUP(A92,'ECN-ECO_DATA'!B:V,19,FALSE))),"")</f>
        <v/>
      </c>
      <c r="O92" s="9" t="str">
        <f>IFERROR((IF(VLOOKUP(A92,'ECN-ECO_DATA'!B:V,20,FALSE)=0/1/1900,"",VLOOKUP(A92,'ECN-ECO_DATA'!B:V,20,FALSE))),"")</f>
        <v/>
      </c>
      <c r="P92" s="9" t="str">
        <f>IFERROR((IF(VLOOKUP(A92,'ECN-ECO_DATA'!B:V,21,FALSE)=0/1/1900,"",VLOOKUP(A92,'ECN-ECO_DATA'!B:V,21,FALSE))),"")</f>
        <v/>
      </c>
      <c r="Q92" s="10" t="str">
        <f t="shared" ca="1" si="5"/>
        <v/>
      </c>
      <c r="R92" s="4" t="str">
        <f t="shared" si="6"/>
        <v/>
      </c>
      <c r="S92" s="4" t="str">
        <f t="shared" si="7"/>
        <v/>
      </c>
      <c r="T92" s="4" t="str">
        <f t="shared" si="8"/>
        <v/>
      </c>
      <c r="U92" s="10" t="str">
        <f t="shared" si="9"/>
        <v/>
      </c>
      <c r="V92" s="4"/>
    </row>
    <row r="93" spans="2:22" x14ac:dyDescent="0.25">
      <c r="B93" s="4" t="str">
        <f>IFERROR(VLOOKUP(A93,'ECN-ECO_DATA'!B:G,4,FALSE),"")</f>
        <v/>
      </c>
      <c r="C93" s="9" t="str">
        <f>IFERROR(VLOOKUP(A93,'ECN-ECO_DATA'!B:G,5,FALSE),"")</f>
        <v/>
      </c>
      <c r="D93" s="9" t="str">
        <f ca="1">IFERROR((IF(VLOOKUP(A93,'ECN-ECO_DATA'!B:G,6,FALSE)=0/1/1900,TODAY(),VLOOKUP(A93,'ECN-ECO_DATA'!B:G,6,FALSE))),"")</f>
        <v/>
      </c>
      <c r="E93" s="9" t="str">
        <f>IFERROR((IF(VLOOKUP(A93,'ECN-ECO_DATA'!B:G,6,FALSE)=0/1/1900,"",VLOOKUP(A93,'ECN-ECO_DATA'!B:G,6,FALSE))),"")</f>
        <v/>
      </c>
      <c r="F93" s="9" t="str">
        <f>IFERROR((IF(VLOOKUP(A93,'ECN-ECO_DATA'!B:J,7,FALSE)=0/1/1900,"",VLOOKUP(A93,'ECN-ECO_DATA'!B:J,7,FALSE))),"")</f>
        <v/>
      </c>
      <c r="G93" s="9" t="str">
        <f>IFERROR((IF(VLOOKUP(A93,'ECN-ECO_DATA'!B:J,8,FALSE)=0/1/1900,"",VLOOKUP(A93,'ECN-ECO_DATA'!B:J,8,FALSE))),"")</f>
        <v/>
      </c>
      <c r="H93" s="9" t="str">
        <f>IFERROR((IF(VLOOKUP(A93,'ECN-ECO_DATA'!B:J,9,FALSE)=0/1/1900,"",VLOOKUP(A93,'ECN-ECO_DATA'!B:J,9,FALSE))),"")</f>
        <v/>
      </c>
      <c r="I93" s="10" t="str">
        <f>IFERROR((IF(VLOOKUP(A93,'ECN-ECO_DATA'!B:Q,13,FALSE)="","",VLOOKUP(A93,'ECN-ECO_DATA'!B:Q,13,FALSE))),"")</f>
        <v/>
      </c>
      <c r="J93" s="10" t="str">
        <f>IFERROR((IF(VLOOKUP(A93,'ECN-ECO_DATA'!B:Q,14,FALSE)="","",VLOOKUP(A93,'ECN-ECO_DATA'!B:Q,14,FALSE))),"")</f>
        <v/>
      </c>
      <c r="K93" s="10" t="str">
        <f>IFERROR((IF(VLOOKUP(A93,'ECN-ECO_DATA'!B:Q,15,FALSE)="","",VLOOKUP(A93,'ECN-ECO_DATA'!B:Q,15,FALSE))),"")</f>
        <v/>
      </c>
      <c r="L93" s="10" t="str">
        <f>IFERROR((IF(VLOOKUP(A93,'ECN-ECO_DATA'!B:Q,16,FALSE)="","",VLOOKUP(A93,'ECN-ECO_DATA'!B:Q,16,FALSE))),"")</f>
        <v/>
      </c>
      <c r="M93" s="9" t="str">
        <f>IFERROR((IF(VLOOKUP(A93,'ECN-ECO_DATA'!B:V,18,FALSE)=0/1/1900,"",VLOOKUP(A93,'ECN-ECO_DATA'!B:V,18,FALSE))),"")</f>
        <v/>
      </c>
      <c r="N93" s="9" t="str">
        <f>IFERROR((IF(VLOOKUP(A93,'ECN-ECO_DATA'!B:V,19,FALSE)=0/1/1900,"",VLOOKUP(A93,'ECN-ECO_DATA'!B:V,19,FALSE))),"")</f>
        <v/>
      </c>
      <c r="O93" s="9" t="str">
        <f>IFERROR((IF(VLOOKUP(A93,'ECN-ECO_DATA'!B:V,20,FALSE)=0/1/1900,"",VLOOKUP(A93,'ECN-ECO_DATA'!B:V,20,FALSE))),"")</f>
        <v/>
      </c>
      <c r="P93" s="9" t="str">
        <f>IFERROR((IF(VLOOKUP(A93,'ECN-ECO_DATA'!B:V,21,FALSE)=0/1/1900,"",VLOOKUP(A93,'ECN-ECO_DATA'!B:V,21,FALSE))),"")</f>
        <v/>
      </c>
      <c r="Q93" s="10" t="str">
        <f t="shared" ca="1" si="5"/>
        <v/>
      </c>
      <c r="R93" s="4" t="str">
        <f t="shared" si="6"/>
        <v/>
      </c>
      <c r="S93" s="4" t="str">
        <f t="shared" si="7"/>
        <v/>
      </c>
      <c r="T93" s="4" t="str">
        <f t="shared" si="8"/>
        <v/>
      </c>
      <c r="U93" s="10" t="str">
        <f t="shared" si="9"/>
        <v/>
      </c>
      <c r="V93" s="4"/>
    </row>
    <row r="94" spans="2:22" x14ac:dyDescent="0.25">
      <c r="B94" s="4" t="str">
        <f>IFERROR(VLOOKUP(A94,'ECN-ECO_DATA'!B:G,4,FALSE),"")</f>
        <v/>
      </c>
      <c r="C94" s="9" t="str">
        <f>IFERROR(VLOOKUP(A94,'ECN-ECO_DATA'!B:G,5,FALSE),"")</f>
        <v/>
      </c>
      <c r="D94" s="9" t="str">
        <f ca="1">IFERROR((IF(VLOOKUP(A94,'ECN-ECO_DATA'!B:G,6,FALSE)=0/1/1900,TODAY(),VLOOKUP(A94,'ECN-ECO_DATA'!B:G,6,FALSE))),"")</f>
        <v/>
      </c>
      <c r="E94" s="9" t="str">
        <f>IFERROR((IF(VLOOKUP(A94,'ECN-ECO_DATA'!B:G,6,FALSE)=0/1/1900,"",VLOOKUP(A94,'ECN-ECO_DATA'!B:G,6,FALSE))),"")</f>
        <v/>
      </c>
      <c r="F94" s="9" t="str">
        <f>IFERROR((IF(VLOOKUP(A94,'ECN-ECO_DATA'!B:J,7,FALSE)=0/1/1900,"",VLOOKUP(A94,'ECN-ECO_DATA'!B:J,7,FALSE))),"")</f>
        <v/>
      </c>
      <c r="G94" s="9" t="str">
        <f>IFERROR((IF(VLOOKUP(A94,'ECN-ECO_DATA'!B:J,8,FALSE)=0/1/1900,"",VLOOKUP(A94,'ECN-ECO_DATA'!B:J,8,FALSE))),"")</f>
        <v/>
      </c>
      <c r="H94" s="9" t="str">
        <f>IFERROR((IF(VLOOKUP(A94,'ECN-ECO_DATA'!B:J,9,FALSE)=0/1/1900,"",VLOOKUP(A94,'ECN-ECO_DATA'!B:J,9,FALSE))),"")</f>
        <v/>
      </c>
      <c r="I94" s="10" t="str">
        <f>IFERROR((IF(VLOOKUP(A94,'ECN-ECO_DATA'!B:Q,13,FALSE)="","",VLOOKUP(A94,'ECN-ECO_DATA'!B:Q,13,FALSE))),"")</f>
        <v/>
      </c>
      <c r="J94" s="10" t="str">
        <f>IFERROR((IF(VLOOKUP(A94,'ECN-ECO_DATA'!B:Q,14,FALSE)="","",VLOOKUP(A94,'ECN-ECO_DATA'!B:Q,14,FALSE))),"")</f>
        <v/>
      </c>
      <c r="K94" s="10" t="str">
        <f>IFERROR((IF(VLOOKUP(A94,'ECN-ECO_DATA'!B:Q,15,FALSE)="","",VLOOKUP(A94,'ECN-ECO_DATA'!B:Q,15,FALSE))),"")</f>
        <v/>
      </c>
      <c r="L94" s="10" t="str">
        <f>IFERROR((IF(VLOOKUP(A94,'ECN-ECO_DATA'!B:Q,16,FALSE)="","",VLOOKUP(A94,'ECN-ECO_DATA'!B:Q,16,FALSE))),"")</f>
        <v/>
      </c>
      <c r="M94" s="9" t="str">
        <f>IFERROR((IF(VLOOKUP(A94,'ECN-ECO_DATA'!B:V,18,FALSE)=0/1/1900,"",VLOOKUP(A94,'ECN-ECO_DATA'!B:V,18,FALSE))),"")</f>
        <v/>
      </c>
      <c r="N94" s="9" t="str">
        <f>IFERROR((IF(VLOOKUP(A94,'ECN-ECO_DATA'!B:V,19,FALSE)=0/1/1900,"",VLOOKUP(A94,'ECN-ECO_DATA'!B:V,19,FALSE))),"")</f>
        <v/>
      </c>
      <c r="O94" s="9" t="str">
        <f>IFERROR((IF(VLOOKUP(A94,'ECN-ECO_DATA'!B:V,20,FALSE)=0/1/1900,"",VLOOKUP(A94,'ECN-ECO_DATA'!B:V,20,FALSE))),"")</f>
        <v/>
      </c>
      <c r="P94" s="9" t="str">
        <f>IFERROR((IF(VLOOKUP(A94,'ECN-ECO_DATA'!B:V,21,FALSE)=0/1/1900,"",VLOOKUP(A94,'ECN-ECO_DATA'!B:V,21,FALSE))),"")</f>
        <v/>
      </c>
      <c r="Q94" s="10" t="str">
        <f t="shared" ca="1" si="5"/>
        <v/>
      </c>
      <c r="R94" s="4" t="str">
        <f t="shared" si="6"/>
        <v/>
      </c>
      <c r="S94" s="4" t="str">
        <f t="shared" si="7"/>
        <v/>
      </c>
      <c r="T94" s="4" t="str">
        <f t="shared" si="8"/>
        <v/>
      </c>
      <c r="U94" s="10" t="str">
        <f t="shared" si="9"/>
        <v/>
      </c>
      <c r="V94" s="4"/>
    </row>
    <row r="95" spans="2:22" x14ac:dyDescent="0.25">
      <c r="B95" s="4" t="str">
        <f>IFERROR(VLOOKUP(A95,'ECN-ECO_DATA'!B:G,4,FALSE),"")</f>
        <v/>
      </c>
      <c r="C95" s="9" t="str">
        <f>IFERROR(VLOOKUP(A95,'ECN-ECO_DATA'!B:G,5,FALSE),"")</f>
        <v/>
      </c>
      <c r="D95" s="9" t="str">
        <f ca="1">IFERROR((IF(VLOOKUP(A95,'ECN-ECO_DATA'!B:G,6,FALSE)=0/1/1900,TODAY(),VLOOKUP(A95,'ECN-ECO_DATA'!B:G,6,FALSE))),"")</f>
        <v/>
      </c>
      <c r="E95" s="9" t="str">
        <f>IFERROR((IF(VLOOKUP(A95,'ECN-ECO_DATA'!B:G,6,FALSE)=0/1/1900,"",VLOOKUP(A95,'ECN-ECO_DATA'!B:G,6,FALSE))),"")</f>
        <v/>
      </c>
      <c r="F95" s="9" t="str">
        <f>IFERROR((IF(VLOOKUP(A95,'ECN-ECO_DATA'!B:J,7,FALSE)=0/1/1900,"",VLOOKUP(A95,'ECN-ECO_DATA'!B:J,7,FALSE))),"")</f>
        <v/>
      </c>
      <c r="G95" s="9" t="str">
        <f>IFERROR((IF(VLOOKUP(A95,'ECN-ECO_DATA'!B:J,8,FALSE)=0/1/1900,"",VLOOKUP(A95,'ECN-ECO_DATA'!B:J,8,FALSE))),"")</f>
        <v/>
      </c>
      <c r="H95" s="9" t="str">
        <f>IFERROR((IF(VLOOKUP(A95,'ECN-ECO_DATA'!B:J,9,FALSE)=0/1/1900,"",VLOOKUP(A95,'ECN-ECO_DATA'!B:J,9,FALSE))),"")</f>
        <v/>
      </c>
      <c r="I95" s="10" t="str">
        <f>IFERROR((IF(VLOOKUP(A95,'ECN-ECO_DATA'!B:Q,13,FALSE)="","",VLOOKUP(A95,'ECN-ECO_DATA'!B:Q,13,FALSE))),"")</f>
        <v/>
      </c>
      <c r="J95" s="10" t="str">
        <f>IFERROR((IF(VLOOKUP(A95,'ECN-ECO_DATA'!B:Q,14,FALSE)="","",VLOOKUP(A95,'ECN-ECO_DATA'!B:Q,14,FALSE))),"")</f>
        <v/>
      </c>
      <c r="K95" s="10" t="str">
        <f>IFERROR((IF(VLOOKUP(A95,'ECN-ECO_DATA'!B:Q,15,FALSE)="","",VLOOKUP(A95,'ECN-ECO_DATA'!B:Q,15,FALSE))),"")</f>
        <v/>
      </c>
      <c r="L95" s="10" t="str">
        <f>IFERROR((IF(VLOOKUP(A95,'ECN-ECO_DATA'!B:Q,16,FALSE)="","",VLOOKUP(A95,'ECN-ECO_DATA'!B:Q,16,FALSE))),"")</f>
        <v/>
      </c>
      <c r="M95" s="9" t="str">
        <f>IFERROR((IF(VLOOKUP(A95,'ECN-ECO_DATA'!B:V,18,FALSE)=0/1/1900,"",VLOOKUP(A95,'ECN-ECO_DATA'!B:V,18,FALSE))),"")</f>
        <v/>
      </c>
      <c r="N95" s="9" t="str">
        <f>IFERROR((IF(VLOOKUP(A95,'ECN-ECO_DATA'!B:V,19,FALSE)=0/1/1900,"",VLOOKUP(A95,'ECN-ECO_DATA'!B:V,19,FALSE))),"")</f>
        <v/>
      </c>
      <c r="O95" s="9" t="str">
        <f>IFERROR((IF(VLOOKUP(A95,'ECN-ECO_DATA'!B:V,20,FALSE)=0/1/1900,"",VLOOKUP(A95,'ECN-ECO_DATA'!B:V,20,FALSE))),"")</f>
        <v/>
      </c>
      <c r="P95" s="9" t="str">
        <f>IFERROR((IF(VLOOKUP(A95,'ECN-ECO_DATA'!B:V,21,FALSE)=0/1/1900,"",VLOOKUP(A95,'ECN-ECO_DATA'!B:V,21,FALSE))),"")</f>
        <v/>
      </c>
      <c r="Q95" s="10" t="str">
        <f t="shared" ca="1" si="5"/>
        <v/>
      </c>
      <c r="R95" s="4" t="str">
        <f t="shared" si="6"/>
        <v/>
      </c>
      <c r="S95" s="4" t="str">
        <f t="shared" si="7"/>
        <v/>
      </c>
      <c r="T95" s="4" t="str">
        <f t="shared" si="8"/>
        <v/>
      </c>
      <c r="U95" s="10" t="str">
        <f t="shared" si="9"/>
        <v/>
      </c>
      <c r="V95" s="4"/>
    </row>
    <row r="96" spans="2:22" x14ac:dyDescent="0.25">
      <c r="B96" s="4" t="str">
        <f>IFERROR(VLOOKUP(A96,'ECN-ECO_DATA'!B:G,4,FALSE),"")</f>
        <v/>
      </c>
      <c r="C96" s="9" t="str">
        <f>IFERROR(VLOOKUP(A96,'ECN-ECO_DATA'!B:G,5,FALSE),"")</f>
        <v/>
      </c>
      <c r="D96" s="9" t="str">
        <f ca="1">IFERROR((IF(VLOOKUP(A96,'ECN-ECO_DATA'!B:G,6,FALSE)=0/1/1900,TODAY(),VLOOKUP(A96,'ECN-ECO_DATA'!B:G,6,FALSE))),"")</f>
        <v/>
      </c>
      <c r="E96" s="9" t="str">
        <f>IFERROR((IF(VLOOKUP(A96,'ECN-ECO_DATA'!B:G,6,FALSE)=0/1/1900,"",VLOOKUP(A96,'ECN-ECO_DATA'!B:G,6,FALSE))),"")</f>
        <v/>
      </c>
      <c r="F96" s="9" t="str">
        <f>IFERROR((IF(VLOOKUP(A96,'ECN-ECO_DATA'!B:J,7,FALSE)=0/1/1900,"",VLOOKUP(A96,'ECN-ECO_DATA'!B:J,7,FALSE))),"")</f>
        <v/>
      </c>
      <c r="G96" s="9" t="str">
        <f>IFERROR((IF(VLOOKUP(A96,'ECN-ECO_DATA'!B:J,8,FALSE)=0/1/1900,"",VLOOKUP(A96,'ECN-ECO_DATA'!B:J,8,FALSE))),"")</f>
        <v/>
      </c>
      <c r="H96" s="9" t="str">
        <f>IFERROR((IF(VLOOKUP(A96,'ECN-ECO_DATA'!B:J,9,FALSE)=0/1/1900,"",VLOOKUP(A96,'ECN-ECO_DATA'!B:J,9,FALSE))),"")</f>
        <v/>
      </c>
      <c r="I96" s="10" t="str">
        <f>IFERROR((IF(VLOOKUP(A96,'ECN-ECO_DATA'!B:Q,13,FALSE)="","",VLOOKUP(A96,'ECN-ECO_DATA'!B:Q,13,FALSE))),"")</f>
        <v/>
      </c>
      <c r="J96" s="10" t="str">
        <f>IFERROR((IF(VLOOKUP(A96,'ECN-ECO_DATA'!B:Q,14,FALSE)="","",VLOOKUP(A96,'ECN-ECO_DATA'!B:Q,14,FALSE))),"")</f>
        <v/>
      </c>
      <c r="K96" s="10" t="str">
        <f>IFERROR((IF(VLOOKUP(A96,'ECN-ECO_DATA'!B:Q,15,FALSE)="","",VLOOKUP(A96,'ECN-ECO_DATA'!B:Q,15,FALSE))),"")</f>
        <v/>
      </c>
      <c r="L96" s="10" t="str">
        <f>IFERROR((IF(VLOOKUP(A96,'ECN-ECO_DATA'!B:Q,16,FALSE)="","",VLOOKUP(A96,'ECN-ECO_DATA'!B:Q,16,FALSE))),"")</f>
        <v/>
      </c>
      <c r="M96" s="9" t="str">
        <f>IFERROR((IF(VLOOKUP(A96,'ECN-ECO_DATA'!B:V,18,FALSE)=0/1/1900,"",VLOOKUP(A96,'ECN-ECO_DATA'!B:V,18,FALSE))),"")</f>
        <v/>
      </c>
      <c r="N96" s="9" t="str">
        <f>IFERROR((IF(VLOOKUP(A96,'ECN-ECO_DATA'!B:V,19,FALSE)=0/1/1900,"",VLOOKUP(A96,'ECN-ECO_DATA'!B:V,19,FALSE))),"")</f>
        <v/>
      </c>
      <c r="O96" s="9" t="str">
        <f>IFERROR((IF(VLOOKUP(A96,'ECN-ECO_DATA'!B:V,20,FALSE)=0/1/1900,"",VLOOKUP(A96,'ECN-ECO_DATA'!B:V,20,FALSE))),"")</f>
        <v/>
      </c>
      <c r="P96" s="9" t="str">
        <f>IFERROR((IF(VLOOKUP(A96,'ECN-ECO_DATA'!B:V,21,FALSE)=0/1/1900,"",VLOOKUP(A96,'ECN-ECO_DATA'!B:V,21,FALSE))),"")</f>
        <v/>
      </c>
      <c r="Q96" s="10" t="str">
        <f t="shared" ca="1" si="5"/>
        <v/>
      </c>
      <c r="R96" s="4" t="str">
        <f t="shared" si="6"/>
        <v/>
      </c>
      <c r="S96" s="4" t="str">
        <f t="shared" si="7"/>
        <v/>
      </c>
      <c r="T96" s="4" t="str">
        <f t="shared" si="8"/>
        <v/>
      </c>
      <c r="U96" s="10" t="str">
        <f t="shared" si="9"/>
        <v/>
      </c>
      <c r="V96" s="4"/>
    </row>
    <row r="97" spans="2:22" x14ac:dyDescent="0.25">
      <c r="B97" s="4" t="str">
        <f>IFERROR(VLOOKUP(A97,'ECN-ECO_DATA'!B:G,4,FALSE),"")</f>
        <v/>
      </c>
      <c r="C97" s="9" t="str">
        <f>IFERROR(VLOOKUP(A97,'ECN-ECO_DATA'!B:G,5,FALSE),"")</f>
        <v/>
      </c>
      <c r="D97" s="9" t="str">
        <f ca="1">IFERROR((IF(VLOOKUP(A97,'ECN-ECO_DATA'!B:G,6,FALSE)=0/1/1900,TODAY(),VLOOKUP(A97,'ECN-ECO_DATA'!B:G,6,FALSE))),"")</f>
        <v/>
      </c>
      <c r="E97" s="9" t="str">
        <f>IFERROR((IF(VLOOKUP(A97,'ECN-ECO_DATA'!B:G,6,FALSE)=0/1/1900,"",VLOOKUP(A97,'ECN-ECO_DATA'!B:G,6,FALSE))),"")</f>
        <v/>
      </c>
      <c r="F97" s="9" t="str">
        <f>IFERROR((IF(VLOOKUP(A97,'ECN-ECO_DATA'!B:J,7,FALSE)=0/1/1900,"",VLOOKUP(A97,'ECN-ECO_DATA'!B:J,7,FALSE))),"")</f>
        <v/>
      </c>
      <c r="G97" s="9" t="str">
        <f>IFERROR((IF(VLOOKUP(A97,'ECN-ECO_DATA'!B:J,8,FALSE)=0/1/1900,"",VLOOKUP(A97,'ECN-ECO_DATA'!B:J,8,FALSE))),"")</f>
        <v/>
      </c>
      <c r="H97" s="9" t="str">
        <f>IFERROR((IF(VLOOKUP(A97,'ECN-ECO_DATA'!B:J,9,FALSE)=0/1/1900,"",VLOOKUP(A97,'ECN-ECO_DATA'!B:J,9,FALSE))),"")</f>
        <v/>
      </c>
      <c r="I97" s="10" t="str">
        <f>IFERROR((IF(VLOOKUP(A97,'ECN-ECO_DATA'!B:Q,13,FALSE)="","",VLOOKUP(A97,'ECN-ECO_DATA'!B:Q,13,FALSE))),"")</f>
        <v/>
      </c>
      <c r="J97" s="10" t="str">
        <f>IFERROR((IF(VLOOKUP(A97,'ECN-ECO_DATA'!B:Q,14,FALSE)="","",VLOOKUP(A97,'ECN-ECO_DATA'!B:Q,14,FALSE))),"")</f>
        <v/>
      </c>
      <c r="K97" s="10" t="str">
        <f>IFERROR((IF(VLOOKUP(A97,'ECN-ECO_DATA'!B:Q,15,FALSE)="","",VLOOKUP(A97,'ECN-ECO_DATA'!B:Q,15,FALSE))),"")</f>
        <v/>
      </c>
      <c r="L97" s="10" t="str">
        <f>IFERROR((IF(VLOOKUP(A97,'ECN-ECO_DATA'!B:Q,16,FALSE)="","",VLOOKUP(A97,'ECN-ECO_DATA'!B:Q,16,FALSE))),"")</f>
        <v/>
      </c>
      <c r="M97" s="9" t="str">
        <f>IFERROR((IF(VLOOKUP(A97,'ECN-ECO_DATA'!B:V,18,FALSE)=0/1/1900,"",VLOOKUP(A97,'ECN-ECO_DATA'!B:V,18,FALSE))),"")</f>
        <v/>
      </c>
      <c r="N97" s="9" t="str">
        <f>IFERROR((IF(VLOOKUP(A97,'ECN-ECO_DATA'!B:V,19,FALSE)=0/1/1900,"",VLOOKUP(A97,'ECN-ECO_DATA'!B:V,19,FALSE))),"")</f>
        <v/>
      </c>
      <c r="O97" s="9" t="str">
        <f>IFERROR((IF(VLOOKUP(A97,'ECN-ECO_DATA'!B:V,20,FALSE)=0/1/1900,"",VLOOKUP(A97,'ECN-ECO_DATA'!B:V,20,FALSE))),"")</f>
        <v/>
      </c>
      <c r="P97" s="9" t="str">
        <f>IFERROR((IF(VLOOKUP(A97,'ECN-ECO_DATA'!B:V,21,FALSE)=0/1/1900,"",VLOOKUP(A97,'ECN-ECO_DATA'!B:V,21,FALSE))),"")</f>
        <v/>
      </c>
      <c r="Q97" s="10" t="str">
        <f t="shared" ca="1" si="5"/>
        <v/>
      </c>
      <c r="R97" s="4" t="str">
        <f t="shared" si="6"/>
        <v/>
      </c>
      <c r="S97" s="4" t="str">
        <f t="shared" si="7"/>
        <v/>
      </c>
      <c r="T97" s="4" t="str">
        <f t="shared" si="8"/>
        <v/>
      </c>
      <c r="U97" s="10" t="str">
        <f t="shared" si="9"/>
        <v/>
      </c>
      <c r="V97" s="4"/>
    </row>
    <row r="98" spans="2:22" x14ac:dyDescent="0.25">
      <c r="B98" s="4" t="str">
        <f>IFERROR(VLOOKUP(A98,'ECN-ECO_DATA'!B:G,4,FALSE),"")</f>
        <v/>
      </c>
      <c r="C98" s="9" t="str">
        <f>IFERROR(VLOOKUP(A98,'ECN-ECO_DATA'!B:G,5,FALSE),"")</f>
        <v/>
      </c>
      <c r="D98" s="9" t="str">
        <f ca="1">IFERROR((IF(VLOOKUP(A98,'ECN-ECO_DATA'!B:G,6,FALSE)=0/1/1900,TODAY(),VLOOKUP(A98,'ECN-ECO_DATA'!B:G,6,FALSE))),"")</f>
        <v/>
      </c>
      <c r="E98" s="9" t="str">
        <f>IFERROR((IF(VLOOKUP(A98,'ECN-ECO_DATA'!B:G,6,FALSE)=0/1/1900,"",VLOOKUP(A98,'ECN-ECO_DATA'!B:G,6,FALSE))),"")</f>
        <v/>
      </c>
      <c r="F98" s="9" t="str">
        <f>IFERROR((IF(VLOOKUP(A98,'ECN-ECO_DATA'!B:J,7,FALSE)=0/1/1900,"",VLOOKUP(A98,'ECN-ECO_DATA'!B:J,7,FALSE))),"")</f>
        <v/>
      </c>
      <c r="G98" s="9" t="str">
        <f>IFERROR((IF(VLOOKUP(A98,'ECN-ECO_DATA'!B:J,8,FALSE)=0/1/1900,"",VLOOKUP(A98,'ECN-ECO_DATA'!B:J,8,FALSE))),"")</f>
        <v/>
      </c>
      <c r="H98" s="9" t="str">
        <f>IFERROR((IF(VLOOKUP(A98,'ECN-ECO_DATA'!B:J,9,FALSE)=0/1/1900,"",VLOOKUP(A98,'ECN-ECO_DATA'!B:J,9,FALSE))),"")</f>
        <v/>
      </c>
      <c r="I98" s="10" t="str">
        <f>IFERROR((IF(VLOOKUP(A98,'ECN-ECO_DATA'!B:Q,13,FALSE)="","",VLOOKUP(A98,'ECN-ECO_DATA'!B:Q,13,FALSE))),"")</f>
        <v/>
      </c>
      <c r="J98" s="10" t="str">
        <f>IFERROR((IF(VLOOKUP(A98,'ECN-ECO_DATA'!B:Q,14,FALSE)="","",VLOOKUP(A98,'ECN-ECO_DATA'!B:Q,14,FALSE))),"")</f>
        <v/>
      </c>
      <c r="K98" s="10" t="str">
        <f>IFERROR((IF(VLOOKUP(A98,'ECN-ECO_DATA'!B:Q,15,FALSE)="","",VLOOKUP(A98,'ECN-ECO_DATA'!B:Q,15,FALSE))),"")</f>
        <v/>
      </c>
      <c r="L98" s="10" t="str">
        <f>IFERROR((IF(VLOOKUP(A98,'ECN-ECO_DATA'!B:Q,16,FALSE)="","",VLOOKUP(A98,'ECN-ECO_DATA'!B:Q,16,FALSE))),"")</f>
        <v/>
      </c>
      <c r="M98" s="9" t="str">
        <f>IFERROR((IF(VLOOKUP(A98,'ECN-ECO_DATA'!B:V,18,FALSE)=0/1/1900,"",VLOOKUP(A98,'ECN-ECO_DATA'!B:V,18,FALSE))),"")</f>
        <v/>
      </c>
      <c r="N98" s="9" t="str">
        <f>IFERROR((IF(VLOOKUP(A98,'ECN-ECO_DATA'!B:V,19,FALSE)=0/1/1900,"",VLOOKUP(A98,'ECN-ECO_DATA'!B:V,19,FALSE))),"")</f>
        <v/>
      </c>
      <c r="O98" s="9" t="str">
        <f>IFERROR((IF(VLOOKUP(A98,'ECN-ECO_DATA'!B:V,20,FALSE)=0/1/1900,"",VLOOKUP(A98,'ECN-ECO_DATA'!B:V,20,FALSE))),"")</f>
        <v/>
      </c>
      <c r="P98" s="9" t="str">
        <f>IFERROR((IF(VLOOKUP(A98,'ECN-ECO_DATA'!B:V,21,FALSE)=0/1/1900,"",VLOOKUP(A98,'ECN-ECO_DATA'!B:V,21,FALSE))),"")</f>
        <v/>
      </c>
      <c r="Q98" s="10" t="str">
        <f t="shared" ca="1" si="5"/>
        <v/>
      </c>
      <c r="R98" s="4" t="str">
        <f t="shared" si="6"/>
        <v/>
      </c>
      <c r="S98" s="4" t="str">
        <f t="shared" si="7"/>
        <v/>
      </c>
      <c r="T98" s="4" t="str">
        <f t="shared" si="8"/>
        <v/>
      </c>
      <c r="U98" s="10" t="str">
        <f t="shared" si="9"/>
        <v/>
      </c>
      <c r="V98" s="4"/>
    </row>
    <row r="99" spans="2:22" x14ac:dyDescent="0.25">
      <c r="B99" s="4" t="str">
        <f>IFERROR(VLOOKUP(A99,'ECN-ECO_DATA'!B:G,4,FALSE),"")</f>
        <v/>
      </c>
      <c r="C99" s="9" t="str">
        <f>IFERROR(VLOOKUP(A99,'ECN-ECO_DATA'!B:G,5,FALSE),"")</f>
        <v/>
      </c>
      <c r="D99" s="9" t="str">
        <f ca="1">IFERROR((IF(VLOOKUP(A99,'ECN-ECO_DATA'!B:G,6,FALSE)=0/1/1900,TODAY(),VLOOKUP(A99,'ECN-ECO_DATA'!B:G,6,FALSE))),"")</f>
        <v/>
      </c>
      <c r="E99" s="9" t="str">
        <f>IFERROR((IF(VLOOKUP(A99,'ECN-ECO_DATA'!B:G,6,FALSE)=0/1/1900,"",VLOOKUP(A99,'ECN-ECO_DATA'!B:G,6,FALSE))),"")</f>
        <v/>
      </c>
      <c r="F99" s="9" t="str">
        <f>IFERROR((IF(VLOOKUP(A99,'ECN-ECO_DATA'!B:J,7,FALSE)=0/1/1900,"",VLOOKUP(A99,'ECN-ECO_DATA'!B:J,7,FALSE))),"")</f>
        <v/>
      </c>
      <c r="G99" s="9" t="str">
        <f>IFERROR((IF(VLOOKUP(A99,'ECN-ECO_DATA'!B:J,8,FALSE)=0/1/1900,"",VLOOKUP(A99,'ECN-ECO_DATA'!B:J,8,FALSE))),"")</f>
        <v/>
      </c>
      <c r="H99" s="9" t="str">
        <f>IFERROR((IF(VLOOKUP(A99,'ECN-ECO_DATA'!B:J,9,FALSE)=0/1/1900,"",VLOOKUP(A99,'ECN-ECO_DATA'!B:J,9,FALSE))),"")</f>
        <v/>
      </c>
      <c r="I99" s="10" t="str">
        <f>IFERROR((IF(VLOOKUP(A99,'ECN-ECO_DATA'!B:Q,13,FALSE)="","",VLOOKUP(A99,'ECN-ECO_DATA'!B:Q,13,FALSE))),"")</f>
        <v/>
      </c>
      <c r="J99" s="10" t="str">
        <f>IFERROR((IF(VLOOKUP(A99,'ECN-ECO_DATA'!B:Q,14,FALSE)="","",VLOOKUP(A99,'ECN-ECO_DATA'!B:Q,14,FALSE))),"")</f>
        <v/>
      </c>
      <c r="K99" s="10" t="str">
        <f>IFERROR((IF(VLOOKUP(A99,'ECN-ECO_DATA'!B:Q,15,FALSE)="","",VLOOKUP(A99,'ECN-ECO_DATA'!B:Q,15,FALSE))),"")</f>
        <v/>
      </c>
      <c r="L99" s="10" t="str">
        <f>IFERROR((IF(VLOOKUP(A99,'ECN-ECO_DATA'!B:Q,16,FALSE)="","",VLOOKUP(A99,'ECN-ECO_DATA'!B:Q,16,FALSE))),"")</f>
        <v/>
      </c>
      <c r="M99" s="9" t="str">
        <f>IFERROR((IF(VLOOKUP(A99,'ECN-ECO_DATA'!B:V,18,FALSE)=0/1/1900,"",VLOOKUP(A99,'ECN-ECO_DATA'!B:V,18,FALSE))),"")</f>
        <v/>
      </c>
      <c r="N99" s="9" t="str">
        <f>IFERROR((IF(VLOOKUP(A99,'ECN-ECO_DATA'!B:V,19,FALSE)=0/1/1900,"",VLOOKUP(A99,'ECN-ECO_DATA'!B:V,19,FALSE))),"")</f>
        <v/>
      </c>
      <c r="O99" s="9" t="str">
        <f>IFERROR((IF(VLOOKUP(A99,'ECN-ECO_DATA'!B:V,20,FALSE)=0/1/1900,"",VLOOKUP(A99,'ECN-ECO_DATA'!B:V,20,FALSE))),"")</f>
        <v/>
      </c>
      <c r="P99" s="9" t="str">
        <f>IFERROR((IF(VLOOKUP(A99,'ECN-ECO_DATA'!B:V,21,FALSE)=0/1/1900,"",VLOOKUP(A99,'ECN-ECO_DATA'!B:V,21,FALSE))),"")</f>
        <v/>
      </c>
      <c r="Q99" s="10" t="str">
        <f t="shared" ca="1" si="5"/>
        <v/>
      </c>
      <c r="R99" s="4" t="str">
        <f t="shared" si="6"/>
        <v/>
      </c>
      <c r="S99" s="4" t="str">
        <f t="shared" si="7"/>
        <v/>
      </c>
      <c r="T99" s="4" t="str">
        <f t="shared" si="8"/>
        <v/>
      </c>
      <c r="U99" s="10" t="str">
        <f t="shared" si="9"/>
        <v/>
      </c>
      <c r="V99" s="4"/>
    </row>
    <row r="100" spans="2:22" x14ac:dyDescent="0.25">
      <c r="B100" s="4" t="str">
        <f>IFERROR(VLOOKUP(A100,'ECN-ECO_DATA'!B:G,4,FALSE),"")</f>
        <v/>
      </c>
      <c r="C100" s="9" t="str">
        <f>IFERROR(VLOOKUP(A100,'ECN-ECO_DATA'!B:G,5,FALSE),"")</f>
        <v/>
      </c>
      <c r="D100" s="9" t="str">
        <f ca="1">IFERROR((IF(VLOOKUP(A100,'ECN-ECO_DATA'!B:G,6,FALSE)=0/1/1900,TODAY(),VLOOKUP(A100,'ECN-ECO_DATA'!B:G,6,FALSE))),"")</f>
        <v/>
      </c>
      <c r="E100" s="9" t="str">
        <f>IFERROR((IF(VLOOKUP(A100,'ECN-ECO_DATA'!B:G,6,FALSE)=0/1/1900,"",VLOOKUP(A100,'ECN-ECO_DATA'!B:G,6,FALSE))),"")</f>
        <v/>
      </c>
      <c r="F100" s="9" t="str">
        <f>IFERROR((IF(VLOOKUP(A100,'ECN-ECO_DATA'!B:J,7,FALSE)=0/1/1900,"",VLOOKUP(A100,'ECN-ECO_DATA'!B:J,7,FALSE))),"")</f>
        <v/>
      </c>
      <c r="G100" s="9" t="str">
        <f>IFERROR((IF(VLOOKUP(A100,'ECN-ECO_DATA'!B:J,8,FALSE)=0/1/1900,"",VLOOKUP(A100,'ECN-ECO_DATA'!B:J,8,FALSE))),"")</f>
        <v/>
      </c>
      <c r="H100" s="9" t="str">
        <f>IFERROR((IF(VLOOKUP(A100,'ECN-ECO_DATA'!B:J,9,FALSE)=0/1/1900,"",VLOOKUP(A100,'ECN-ECO_DATA'!B:J,9,FALSE))),"")</f>
        <v/>
      </c>
      <c r="I100" s="10" t="str">
        <f>IFERROR((IF(VLOOKUP(A100,'ECN-ECO_DATA'!B:Q,13,FALSE)="","",VLOOKUP(A100,'ECN-ECO_DATA'!B:Q,13,FALSE))),"")</f>
        <v/>
      </c>
      <c r="J100" s="10" t="str">
        <f>IFERROR((IF(VLOOKUP(A100,'ECN-ECO_DATA'!B:Q,14,FALSE)="","",VLOOKUP(A100,'ECN-ECO_DATA'!B:Q,14,FALSE))),"")</f>
        <v/>
      </c>
      <c r="K100" s="10" t="str">
        <f>IFERROR((IF(VLOOKUP(A100,'ECN-ECO_DATA'!B:Q,15,FALSE)="","",VLOOKUP(A100,'ECN-ECO_DATA'!B:Q,15,FALSE))),"")</f>
        <v/>
      </c>
      <c r="L100" s="10" t="str">
        <f>IFERROR((IF(VLOOKUP(A100,'ECN-ECO_DATA'!B:Q,16,FALSE)="","",VLOOKUP(A100,'ECN-ECO_DATA'!B:Q,16,FALSE))),"")</f>
        <v/>
      </c>
      <c r="M100" s="9" t="str">
        <f>IFERROR((IF(VLOOKUP(A100,'ECN-ECO_DATA'!B:V,18,FALSE)=0/1/1900,"",VLOOKUP(A100,'ECN-ECO_DATA'!B:V,18,FALSE))),"")</f>
        <v/>
      </c>
      <c r="N100" s="9" t="str">
        <f>IFERROR((IF(VLOOKUP(A100,'ECN-ECO_DATA'!B:V,19,FALSE)=0/1/1900,"",VLOOKUP(A100,'ECN-ECO_DATA'!B:V,19,FALSE))),"")</f>
        <v/>
      </c>
      <c r="O100" s="9" t="str">
        <f>IFERROR((IF(VLOOKUP(A100,'ECN-ECO_DATA'!B:V,20,FALSE)=0/1/1900,"",VLOOKUP(A100,'ECN-ECO_DATA'!B:V,20,FALSE))),"")</f>
        <v/>
      </c>
      <c r="P100" s="9" t="str">
        <f>IFERROR((IF(VLOOKUP(A100,'ECN-ECO_DATA'!B:V,21,FALSE)=0/1/1900,"",VLOOKUP(A100,'ECN-ECO_DATA'!B:V,21,FALSE))),"")</f>
        <v/>
      </c>
      <c r="Q100" s="10" t="str">
        <f t="shared" ca="1" si="5"/>
        <v/>
      </c>
      <c r="R100" s="4" t="str">
        <f t="shared" si="6"/>
        <v/>
      </c>
      <c r="S100" s="4" t="str">
        <f t="shared" si="7"/>
        <v/>
      </c>
      <c r="T100" s="4" t="str">
        <f t="shared" si="8"/>
        <v/>
      </c>
      <c r="U100" s="10" t="str">
        <f t="shared" si="9"/>
        <v/>
      </c>
      <c r="V100" s="4"/>
    </row>
    <row r="101" spans="2:22" x14ac:dyDescent="0.25">
      <c r="B101" s="4" t="str">
        <f>IFERROR(VLOOKUP(A101,'ECN-ECO_DATA'!B:G,4,FALSE),"")</f>
        <v/>
      </c>
      <c r="C101" s="9" t="str">
        <f>IFERROR(VLOOKUP(A101,'ECN-ECO_DATA'!B:G,5,FALSE),"")</f>
        <v/>
      </c>
      <c r="D101" s="9" t="str">
        <f ca="1">IFERROR((IF(VLOOKUP(A101,'ECN-ECO_DATA'!B:G,6,FALSE)=0/1/1900,TODAY(),VLOOKUP(A101,'ECN-ECO_DATA'!B:G,6,FALSE))),"")</f>
        <v/>
      </c>
      <c r="E101" s="9" t="str">
        <f>IFERROR((IF(VLOOKUP(A101,'ECN-ECO_DATA'!B:G,6,FALSE)=0/1/1900,"",VLOOKUP(A101,'ECN-ECO_DATA'!B:G,6,FALSE))),"")</f>
        <v/>
      </c>
      <c r="F101" s="9" t="str">
        <f>IFERROR((IF(VLOOKUP(A101,'ECN-ECO_DATA'!B:J,7,FALSE)=0/1/1900,"",VLOOKUP(A101,'ECN-ECO_DATA'!B:J,7,FALSE))),"")</f>
        <v/>
      </c>
      <c r="G101" s="9" t="str">
        <f>IFERROR((IF(VLOOKUP(A101,'ECN-ECO_DATA'!B:J,8,FALSE)=0/1/1900,"",VLOOKUP(A101,'ECN-ECO_DATA'!B:J,8,FALSE))),"")</f>
        <v/>
      </c>
      <c r="H101" s="9" t="str">
        <f>IFERROR((IF(VLOOKUP(A101,'ECN-ECO_DATA'!B:J,9,FALSE)=0/1/1900,"",VLOOKUP(A101,'ECN-ECO_DATA'!B:J,9,FALSE))),"")</f>
        <v/>
      </c>
      <c r="I101" s="10" t="str">
        <f>IFERROR((IF(VLOOKUP(A101,'ECN-ECO_DATA'!B:Q,13,FALSE)="","",VLOOKUP(A101,'ECN-ECO_DATA'!B:Q,13,FALSE))),"")</f>
        <v/>
      </c>
      <c r="J101" s="10" t="str">
        <f>IFERROR((IF(VLOOKUP(A101,'ECN-ECO_DATA'!B:Q,14,FALSE)="","",VLOOKUP(A101,'ECN-ECO_DATA'!B:Q,14,FALSE))),"")</f>
        <v/>
      </c>
      <c r="K101" s="10" t="str">
        <f>IFERROR((IF(VLOOKUP(A101,'ECN-ECO_DATA'!B:Q,15,FALSE)="","",VLOOKUP(A101,'ECN-ECO_DATA'!B:Q,15,FALSE))),"")</f>
        <v/>
      </c>
      <c r="L101" s="10" t="str">
        <f>IFERROR((IF(VLOOKUP(A101,'ECN-ECO_DATA'!B:Q,16,FALSE)="","",VLOOKUP(A101,'ECN-ECO_DATA'!B:Q,16,FALSE))),"")</f>
        <v/>
      </c>
      <c r="M101" s="9" t="str">
        <f>IFERROR((IF(VLOOKUP(A101,'ECN-ECO_DATA'!B:V,18,FALSE)=0/1/1900,"",VLOOKUP(A101,'ECN-ECO_DATA'!B:V,18,FALSE))),"")</f>
        <v/>
      </c>
      <c r="N101" s="9" t="str">
        <f>IFERROR((IF(VLOOKUP(A101,'ECN-ECO_DATA'!B:V,19,FALSE)=0/1/1900,"",VLOOKUP(A101,'ECN-ECO_DATA'!B:V,19,FALSE))),"")</f>
        <v/>
      </c>
      <c r="O101" s="9" t="str">
        <f>IFERROR((IF(VLOOKUP(A101,'ECN-ECO_DATA'!B:V,20,FALSE)=0/1/1900,"",VLOOKUP(A101,'ECN-ECO_DATA'!B:V,20,FALSE))),"")</f>
        <v/>
      </c>
      <c r="P101" s="9" t="str">
        <f>IFERROR((IF(VLOOKUP(A101,'ECN-ECO_DATA'!B:V,21,FALSE)=0/1/1900,"",VLOOKUP(A101,'ECN-ECO_DATA'!B:V,21,FALSE))),"")</f>
        <v/>
      </c>
      <c r="Q101" s="10" t="str">
        <f t="shared" ca="1" si="5"/>
        <v/>
      </c>
      <c r="R101" s="4" t="str">
        <f t="shared" si="6"/>
        <v/>
      </c>
      <c r="S101" s="4" t="str">
        <f t="shared" si="7"/>
        <v/>
      </c>
      <c r="T101" s="4" t="str">
        <f t="shared" si="8"/>
        <v/>
      </c>
      <c r="U101" s="10" t="str">
        <f t="shared" si="9"/>
        <v/>
      </c>
      <c r="V101" s="4"/>
    </row>
    <row r="102" spans="2:22" x14ac:dyDescent="0.25">
      <c r="B102" s="4" t="str">
        <f>IFERROR(VLOOKUP(A102,'ECN-ECO_DATA'!B:G,4,FALSE),"")</f>
        <v/>
      </c>
      <c r="C102" s="9" t="str">
        <f>IFERROR(VLOOKUP(A102,'ECN-ECO_DATA'!B:G,5,FALSE),"")</f>
        <v/>
      </c>
      <c r="D102" s="9" t="str">
        <f ca="1">IFERROR((IF(VLOOKUP(A102,'ECN-ECO_DATA'!B:G,6,FALSE)=0/1/1900,TODAY(),VLOOKUP(A102,'ECN-ECO_DATA'!B:G,6,FALSE))),"")</f>
        <v/>
      </c>
      <c r="E102" s="9" t="str">
        <f>IFERROR((IF(VLOOKUP(A102,'ECN-ECO_DATA'!B:G,6,FALSE)=0/1/1900,"",VLOOKUP(A102,'ECN-ECO_DATA'!B:G,6,FALSE))),"")</f>
        <v/>
      </c>
      <c r="F102" s="9" t="str">
        <f>IFERROR((IF(VLOOKUP(A102,'ECN-ECO_DATA'!B:J,7,FALSE)=0/1/1900,"",VLOOKUP(A102,'ECN-ECO_DATA'!B:J,7,FALSE))),"")</f>
        <v/>
      </c>
      <c r="G102" s="9" t="str">
        <f>IFERROR((IF(VLOOKUP(A102,'ECN-ECO_DATA'!B:J,8,FALSE)=0/1/1900,"",VLOOKUP(A102,'ECN-ECO_DATA'!B:J,8,FALSE))),"")</f>
        <v/>
      </c>
      <c r="H102" s="9" t="str">
        <f>IFERROR((IF(VLOOKUP(A102,'ECN-ECO_DATA'!B:J,9,FALSE)=0/1/1900,"",VLOOKUP(A102,'ECN-ECO_DATA'!B:J,9,FALSE))),"")</f>
        <v/>
      </c>
      <c r="I102" s="10" t="str">
        <f>IFERROR((IF(VLOOKUP(A102,'ECN-ECO_DATA'!B:Q,13,FALSE)="","",VLOOKUP(A102,'ECN-ECO_DATA'!B:Q,13,FALSE))),"")</f>
        <v/>
      </c>
      <c r="J102" s="10" t="str">
        <f>IFERROR((IF(VLOOKUP(A102,'ECN-ECO_DATA'!B:Q,14,FALSE)="","",VLOOKUP(A102,'ECN-ECO_DATA'!B:Q,14,FALSE))),"")</f>
        <v/>
      </c>
      <c r="K102" s="10" t="str">
        <f>IFERROR((IF(VLOOKUP(A102,'ECN-ECO_DATA'!B:Q,15,FALSE)="","",VLOOKUP(A102,'ECN-ECO_DATA'!B:Q,15,FALSE))),"")</f>
        <v/>
      </c>
      <c r="L102" s="10" t="str">
        <f>IFERROR((IF(VLOOKUP(A102,'ECN-ECO_DATA'!B:Q,16,FALSE)="","",VLOOKUP(A102,'ECN-ECO_DATA'!B:Q,16,FALSE))),"")</f>
        <v/>
      </c>
      <c r="M102" s="9" t="str">
        <f>IFERROR((IF(VLOOKUP(A102,'ECN-ECO_DATA'!B:V,18,FALSE)=0/1/1900,"",VLOOKUP(A102,'ECN-ECO_DATA'!B:V,18,FALSE))),"")</f>
        <v/>
      </c>
      <c r="N102" s="9" t="str">
        <f>IFERROR((IF(VLOOKUP(A102,'ECN-ECO_DATA'!B:V,19,FALSE)=0/1/1900,"",VLOOKUP(A102,'ECN-ECO_DATA'!B:V,19,FALSE))),"")</f>
        <v/>
      </c>
      <c r="O102" s="9" t="str">
        <f>IFERROR((IF(VLOOKUP(A102,'ECN-ECO_DATA'!B:V,20,FALSE)=0/1/1900,"",VLOOKUP(A102,'ECN-ECO_DATA'!B:V,20,FALSE))),"")</f>
        <v/>
      </c>
      <c r="P102" s="9" t="str">
        <f>IFERROR((IF(VLOOKUP(A102,'ECN-ECO_DATA'!B:V,21,FALSE)=0/1/1900,"",VLOOKUP(A102,'ECN-ECO_DATA'!B:V,21,FALSE))),"")</f>
        <v/>
      </c>
      <c r="Q102" s="10" t="str">
        <f t="shared" ca="1" si="5"/>
        <v/>
      </c>
      <c r="R102" s="4" t="str">
        <f t="shared" si="6"/>
        <v/>
      </c>
      <c r="S102" s="4" t="str">
        <f t="shared" si="7"/>
        <v/>
      </c>
      <c r="T102" s="4" t="str">
        <f t="shared" si="8"/>
        <v/>
      </c>
      <c r="U102" s="10" t="str">
        <f t="shared" si="9"/>
        <v/>
      </c>
      <c r="V102" s="4"/>
    </row>
    <row r="103" spans="2:22" x14ac:dyDescent="0.25">
      <c r="B103" s="4" t="str">
        <f>IFERROR(VLOOKUP(A103,'ECN-ECO_DATA'!B:G,4,FALSE),"")</f>
        <v/>
      </c>
      <c r="C103" s="9" t="str">
        <f>IFERROR(VLOOKUP(A103,'ECN-ECO_DATA'!B:G,5,FALSE),"")</f>
        <v/>
      </c>
      <c r="D103" s="9" t="str">
        <f ca="1">IFERROR((IF(VLOOKUP(A103,'ECN-ECO_DATA'!B:G,6,FALSE)=0/1/1900,TODAY(),VLOOKUP(A103,'ECN-ECO_DATA'!B:G,6,FALSE))),"")</f>
        <v/>
      </c>
      <c r="E103" s="9" t="str">
        <f>IFERROR((IF(VLOOKUP(A103,'ECN-ECO_DATA'!B:G,6,FALSE)=0/1/1900,"",VLOOKUP(A103,'ECN-ECO_DATA'!B:G,6,FALSE))),"")</f>
        <v/>
      </c>
      <c r="F103" s="9" t="str">
        <f>IFERROR((IF(VLOOKUP(A103,'ECN-ECO_DATA'!B:J,7,FALSE)=0/1/1900,"",VLOOKUP(A103,'ECN-ECO_DATA'!B:J,7,FALSE))),"")</f>
        <v/>
      </c>
      <c r="G103" s="9" t="str">
        <f>IFERROR((IF(VLOOKUP(A103,'ECN-ECO_DATA'!B:J,8,FALSE)=0/1/1900,"",VLOOKUP(A103,'ECN-ECO_DATA'!B:J,8,FALSE))),"")</f>
        <v/>
      </c>
      <c r="H103" s="9" t="str">
        <f>IFERROR((IF(VLOOKUP(A103,'ECN-ECO_DATA'!B:J,9,FALSE)=0/1/1900,"",VLOOKUP(A103,'ECN-ECO_DATA'!B:J,9,FALSE))),"")</f>
        <v/>
      </c>
      <c r="I103" s="10" t="str">
        <f>IFERROR((IF(VLOOKUP(A103,'ECN-ECO_DATA'!B:Q,13,FALSE)="","",VLOOKUP(A103,'ECN-ECO_DATA'!B:Q,13,FALSE))),"")</f>
        <v/>
      </c>
      <c r="J103" s="10" t="str">
        <f>IFERROR((IF(VLOOKUP(A103,'ECN-ECO_DATA'!B:Q,14,FALSE)="","",VLOOKUP(A103,'ECN-ECO_DATA'!B:Q,14,FALSE))),"")</f>
        <v/>
      </c>
      <c r="K103" s="10" t="str">
        <f>IFERROR((IF(VLOOKUP(A103,'ECN-ECO_DATA'!B:Q,15,FALSE)="","",VLOOKUP(A103,'ECN-ECO_DATA'!B:Q,15,FALSE))),"")</f>
        <v/>
      </c>
      <c r="L103" s="10" t="str">
        <f>IFERROR((IF(VLOOKUP(A103,'ECN-ECO_DATA'!B:Q,16,FALSE)="","",VLOOKUP(A103,'ECN-ECO_DATA'!B:Q,16,FALSE))),"")</f>
        <v/>
      </c>
      <c r="M103" s="9" t="str">
        <f>IFERROR((IF(VLOOKUP(A103,'ECN-ECO_DATA'!B:V,18,FALSE)=0/1/1900,"",VLOOKUP(A103,'ECN-ECO_DATA'!B:V,18,FALSE))),"")</f>
        <v/>
      </c>
      <c r="N103" s="9" t="str">
        <f>IFERROR((IF(VLOOKUP(A103,'ECN-ECO_DATA'!B:V,19,FALSE)=0/1/1900,"",VLOOKUP(A103,'ECN-ECO_DATA'!B:V,19,FALSE))),"")</f>
        <v/>
      </c>
      <c r="O103" s="9" t="str">
        <f>IFERROR((IF(VLOOKUP(A103,'ECN-ECO_DATA'!B:V,20,FALSE)=0/1/1900,"",VLOOKUP(A103,'ECN-ECO_DATA'!B:V,20,FALSE))),"")</f>
        <v/>
      </c>
      <c r="P103" s="9" t="str">
        <f>IFERROR((IF(VLOOKUP(A103,'ECN-ECO_DATA'!B:V,21,FALSE)=0/1/1900,"",VLOOKUP(A103,'ECN-ECO_DATA'!B:V,21,FALSE))),"")</f>
        <v/>
      </c>
      <c r="Q103" s="10" t="str">
        <f t="shared" ca="1" si="5"/>
        <v/>
      </c>
      <c r="R103" s="4" t="str">
        <f t="shared" si="6"/>
        <v/>
      </c>
      <c r="S103" s="4" t="str">
        <f t="shared" si="7"/>
        <v/>
      </c>
      <c r="T103" s="4" t="str">
        <f t="shared" si="8"/>
        <v/>
      </c>
      <c r="U103" s="10" t="str">
        <f t="shared" si="9"/>
        <v/>
      </c>
      <c r="V103" s="4"/>
    </row>
    <row r="104" spans="2:22" x14ac:dyDescent="0.25">
      <c r="B104" s="4" t="str">
        <f>IFERROR(VLOOKUP(A104,'ECN-ECO_DATA'!B:G,4,FALSE),"")</f>
        <v/>
      </c>
      <c r="C104" s="9" t="str">
        <f>IFERROR(VLOOKUP(A104,'ECN-ECO_DATA'!B:G,5,FALSE),"")</f>
        <v/>
      </c>
      <c r="D104" s="9" t="str">
        <f ca="1">IFERROR((IF(VLOOKUP(A104,'ECN-ECO_DATA'!B:G,6,FALSE)=0/1/1900,TODAY(),VLOOKUP(A104,'ECN-ECO_DATA'!B:G,6,FALSE))),"")</f>
        <v/>
      </c>
      <c r="E104" s="9" t="str">
        <f>IFERROR((IF(VLOOKUP(A104,'ECN-ECO_DATA'!B:G,6,FALSE)=0/1/1900,"",VLOOKUP(A104,'ECN-ECO_DATA'!B:G,6,FALSE))),"")</f>
        <v/>
      </c>
      <c r="F104" s="9" t="str">
        <f>IFERROR((IF(VLOOKUP(A104,'ECN-ECO_DATA'!B:J,7,FALSE)=0/1/1900,"",VLOOKUP(A104,'ECN-ECO_DATA'!B:J,7,FALSE))),"")</f>
        <v/>
      </c>
      <c r="G104" s="9" t="str">
        <f>IFERROR((IF(VLOOKUP(A104,'ECN-ECO_DATA'!B:J,8,FALSE)=0/1/1900,"",VLOOKUP(A104,'ECN-ECO_DATA'!B:J,8,FALSE))),"")</f>
        <v/>
      </c>
      <c r="H104" s="9" t="str">
        <f>IFERROR((IF(VLOOKUP(A104,'ECN-ECO_DATA'!B:J,9,FALSE)=0/1/1900,"",VLOOKUP(A104,'ECN-ECO_DATA'!B:J,9,FALSE))),"")</f>
        <v/>
      </c>
      <c r="I104" s="10" t="str">
        <f>IFERROR((IF(VLOOKUP(A104,'ECN-ECO_DATA'!B:Q,13,FALSE)="","",VLOOKUP(A104,'ECN-ECO_DATA'!B:Q,13,FALSE))),"")</f>
        <v/>
      </c>
      <c r="J104" s="10" t="str">
        <f>IFERROR((IF(VLOOKUP(A104,'ECN-ECO_DATA'!B:Q,14,FALSE)="","",VLOOKUP(A104,'ECN-ECO_DATA'!B:Q,14,FALSE))),"")</f>
        <v/>
      </c>
      <c r="K104" s="10" t="str">
        <f>IFERROR((IF(VLOOKUP(A104,'ECN-ECO_DATA'!B:Q,15,FALSE)="","",VLOOKUP(A104,'ECN-ECO_DATA'!B:Q,15,FALSE))),"")</f>
        <v/>
      </c>
      <c r="L104" s="10" t="str">
        <f>IFERROR((IF(VLOOKUP(A104,'ECN-ECO_DATA'!B:Q,16,FALSE)="","",VLOOKUP(A104,'ECN-ECO_DATA'!B:Q,16,FALSE))),"")</f>
        <v/>
      </c>
      <c r="M104" s="9" t="str">
        <f>IFERROR((IF(VLOOKUP(A104,'ECN-ECO_DATA'!B:V,18,FALSE)=0/1/1900,"",VLOOKUP(A104,'ECN-ECO_DATA'!B:V,18,FALSE))),"")</f>
        <v/>
      </c>
      <c r="N104" s="9" t="str">
        <f>IFERROR((IF(VLOOKUP(A104,'ECN-ECO_DATA'!B:V,19,FALSE)=0/1/1900,"",VLOOKUP(A104,'ECN-ECO_DATA'!B:V,19,FALSE))),"")</f>
        <v/>
      </c>
      <c r="O104" s="9" t="str">
        <f>IFERROR((IF(VLOOKUP(A104,'ECN-ECO_DATA'!B:V,20,FALSE)=0/1/1900,"",VLOOKUP(A104,'ECN-ECO_DATA'!B:V,20,FALSE))),"")</f>
        <v/>
      </c>
      <c r="P104" s="9" t="str">
        <f>IFERROR((IF(VLOOKUP(A104,'ECN-ECO_DATA'!B:V,21,FALSE)=0/1/1900,"",VLOOKUP(A104,'ECN-ECO_DATA'!B:V,21,FALSE))),"")</f>
        <v/>
      </c>
      <c r="Q104" s="10" t="str">
        <f t="shared" ca="1" si="5"/>
        <v/>
      </c>
      <c r="R104" s="4" t="str">
        <f t="shared" si="6"/>
        <v/>
      </c>
      <c r="S104" s="4" t="str">
        <f t="shared" si="7"/>
        <v/>
      </c>
      <c r="T104" s="4" t="str">
        <f t="shared" si="8"/>
        <v/>
      </c>
      <c r="U104" s="10" t="str">
        <f t="shared" si="9"/>
        <v/>
      </c>
      <c r="V104" s="4"/>
    </row>
    <row r="105" spans="2:22" x14ac:dyDescent="0.25">
      <c r="B105" s="4" t="str">
        <f>IFERROR(VLOOKUP(A105,'ECN-ECO_DATA'!B:G,4,FALSE),"")</f>
        <v/>
      </c>
      <c r="C105" s="9" t="str">
        <f>IFERROR(VLOOKUP(A105,'ECN-ECO_DATA'!B:G,5,FALSE),"")</f>
        <v/>
      </c>
      <c r="D105" s="9" t="str">
        <f ca="1">IFERROR((IF(VLOOKUP(A105,'ECN-ECO_DATA'!B:G,6,FALSE)=0/1/1900,TODAY(),VLOOKUP(A105,'ECN-ECO_DATA'!B:G,6,FALSE))),"")</f>
        <v/>
      </c>
      <c r="E105" s="9" t="str">
        <f>IFERROR((IF(VLOOKUP(A105,'ECN-ECO_DATA'!B:G,6,FALSE)=0/1/1900,"",VLOOKUP(A105,'ECN-ECO_DATA'!B:G,6,FALSE))),"")</f>
        <v/>
      </c>
      <c r="F105" s="9" t="str">
        <f>IFERROR((IF(VLOOKUP(A105,'ECN-ECO_DATA'!B:J,7,FALSE)=0/1/1900,"",VLOOKUP(A105,'ECN-ECO_DATA'!B:J,7,FALSE))),"")</f>
        <v/>
      </c>
      <c r="G105" s="9" t="str">
        <f>IFERROR((IF(VLOOKUP(A105,'ECN-ECO_DATA'!B:J,8,FALSE)=0/1/1900,"",VLOOKUP(A105,'ECN-ECO_DATA'!B:J,8,FALSE))),"")</f>
        <v/>
      </c>
      <c r="H105" s="9" t="str">
        <f>IFERROR((IF(VLOOKUP(A105,'ECN-ECO_DATA'!B:J,9,FALSE)=0/1/1900,"",VLOOKUP(A105,'ECN-ECO_DATA'!B:J,9,FALSE))),"")</f>
        <v/>
      </c>
      <c r="I105" s="10" t="str">
        <f>IFERROR((IF(VLOOKUP(A105,'ECN-ECO_DATA'!B:Q,13,FALSE)="","",VLOOKUP(A105,'ECN-ECO_DATA'!B:Q,13,FALSE))),"")</f>
        <v/>
      </c>
      <c r="J105" s="10" t="str">
        <f>IFERROR((IF(VLOOKUP(A105,'ECN-ECO_DATA'!B:Q,14,FALSE)="","",VLOOKUP(A105,'ECN-ECO_DATA'!B:Q,14,FALSE))),"")</f>
        <v/>
      </c>
      <c r="K105" s="10" t="str">
        <f>IFERROR((IF(VLOOKUP(A105,'ECN-ECO_DATA'!B:Q,15,FALSE)="","",VLOOKUP(A105,'ECN-ECO_DATA'!B:Q,15,FALSE))),"")</f>
        <v/>
      </c>
      <c r="L105" s="10" t="str">
        <f>IFERROR((IF(VLOOKUP(A105,'ECN-ECO_DATA'!B:Q,16,FALSE)="","",VLOOKUP(A105,'ECN-ECO_DATA'!B:Q,16,FALSE))),"")</f>
        <v/>
      </c>
      <c r="M105" s="9" t="str">
        <f>IFERROR((IF(VLOOKUP(A105,'ECN-ECO_DATA'!B:V,18,FALSE)=0/1/1900,"",VLOOKUP(A105,'ECN-ECO_DATA'!B:V,18,FALSE))),"")</f>
        <v/>
      </c>
      <c r="N105" s="9" t="str">
        <f>IFERROR((IF(VLOOKUP(A105,'ECN-ECO_DATA'!B:V,19,FALSE)=0/1/1900,"",VLOOKUP(A105,'ECN-ECO_DATA'!B:V,19,FALSE))),"")</f>
        <v/>
      </c>
      <c r="O105" s="9" t="str">
        <f>IFERROR((IF(VLOOKUP(A105,'ECN-ECO_DATA'!B:V,20,FALSE)=0/1/1900,"",VLOOKUP(A105,'ECN-ECO_DATA'!B:V,20,FALSE))),"")</f>
        <v/>
      </c>
      <c r="P105" s="9" t="str">
        <f>IFERROR((IF(VLOOKUP(A105,'ECN-ECO_DATA'!B:V,21,FALSE)=0/1/1900,"",VLOOKUP(A105,'ECN-ECO_DATA'!B:V,21,FALSE))),"")</f>
        <v/>
      </c>
      <c r="Q105" s="10" t="str">
        <f t="shared" ca="1" si="5"/>
        <v/>
      </c>
      <c r="R105" s="4" t="str">
        <f t="shared" si="6"/>
        <v/>
      </c>
      <c r="S105" s="4" t="str">
        <f t="shared" si="7"/>
        <v/>
      </c>
      <c r="T105" s="4" t="str">
        <f t="shared" si="8"/>
        <v/>
      </c>
      <c r="U105" s="10" t="str">
        <f t="shared" si="9"/>
        <v/>
      </c>
      <c r="V105" s="4"/>
    </row>
    <row r="106" spans="2:22" x14ac:dyDescent="0.25">
      <c r="B106" s="4" t="str">
        <f>IFERROR(VLOOKUP(A106,'ECN-ECO_DATA'!B:G,4,FALSE),"")</f>
        <v/>
      </c>
      <c r="C106" s="9" t="str">
        <f>IFERROR(VLOOKUP(A106,'ECN-ECO_DATA'!B:G,5,FALSE),"")</f>
        <v/>
      </c>
      <c r="D106" s="9" t="str">
        <f ca="1">IFERROR((IF(VLOOKUP(A106,'ECN-ECO_DATA'!B:G,6,FALSE)=0/1/1900,TODAY(),VLOOKUP(A106,'ECN-ECO_DATA'!B:G,6,FALSE))),"")</f>
        <v/>
      </c>
      <c r="E106" s="9" t="str">
        <f>IFERROR((IF(VLOOKUP(A106,'ECN-ECO_DATA'!B:G,6,FALSE)=0/1/1900,"",VLOOKUP(A106,'ECN-ECO_DATA'!B:G,6,FALSE))),"")</f>
        <v/>
      </c>
      <c r="F106" s="9" t="str">
        <f>IFERROR((IF(VLOOKUP(A106,'ECN-ECO_DATA'!B:J,7,FALSE)=0/1/1900,"",VLOOKUP(A106,'ECN-ECO_DATA'!B:J,7,FALSE))),"")</f>
        <v/>
      </c>
      <c r="G106" s="9" t="str">
        <f>IFERROR((IF(VLOOKUP(A106,'ECN-ECO_DATA'!B:J,8,FALSE)=0/1/1900,"",VLOOKUP(A106,'ECN-ECO_DATA'!B:J,8,FALSE))),"")</f>
        <v/>
      </c>
      <c r="H106" s="9" t="str">
        <f>IFERROR((IF(VLOOKUP(A106,'ECN-ECO_DATA'!B:J,9,FALSE)=0/1/1900,"",VLOOKUP(A106,'ECN-ECO_DATA'!B:J,9,FALSE))),"")</f>
        <v/>
      </c>
      <c r="I106" s="10" t="str">
        <f>IFERROR((IF(VLOOKUP(A106,'ECN-ECO_DATA'!B:Q,13,FALSE)="","",VLOOKUP(A106,'ECN-ECO_DATA'!B:Q,13,FALSE))),"")</f>
        <v/>
      </c>
      <c r="J106" s="10" t="str">
        <f>IFERROR((IF(VLOOKUP(A106,'ECN-ECO_DATA'!B:Q,14,FALSE)="","",VLOOKUP(A106,'ECN-ECO_DATA'!B:Q,14,FALSE))),"")</f>
        <v/>
      </c>
      <c r="K106" s="10" t="str">
        <f>IFERROR((IF(VLOOKUP(A106,'ECN-ECO_DATA'!B:Q,15,FALSE)="","",VLOOKUP(A106,'ECN-ECO_DATA'!B:Q,15,FALSE))),"")</f>
        <v/>
      </c>
      <c r="L106" s="10" t="str">
        <f>IFERROR((IF(VLOOKUP(A106,'ECN-ECO_DATA'!B:Q,16,FALSE)="","",VLOOKUP(A106,'ECN-ECO_DATA'!B:Q,16,FALSE))),"")</f>
        <v/>
      </c>
      <c r="M106" s="9" t="str">
        <f>IFERROR((IF(VLOOKUP(A106,'ECN-ECO_DATA'!B:V,18,FALSE)=0/1/1900,"",VLOOKUP(A106,'ECN-ECO_DATA'!B:V,18,FALSE))),"")</f>
        <v/>
      </c>
      <c r="N106" s="9" t="str">
        <f>IFERROR((IF(VLOOKUP(A106,'ECN-ECO_DATA'!B:V,19,FALSE)=0/1/1900,"",VLOOKUP(A106,'ECN-ECO_DATA'!B:V,19,FALSE))),"")</f>
        <v/>
      </c>
      <c r="O106" s="9" t="str">
        <f>IFERROR((IF(VLOOKUP(A106,'ECN-ECO_DATA'!B:V,20,FALSE)=0/1/1900,"",VLOOKUP(A106,'ECN-ECO_DATA'!B:V,20,FALSE))),"")</f>
        <v/>
      </c>
      <c r="P106" s="9" t="str">
        <f>IFERROR((IF(VLOOKUP(A106,'ECN-ECO_DATA'!B:V,21,FALSE)=0/1/1900,"",VLOOKUP(A106,'ECN-ECO_DATA'!B:V,21,FALSE))),"")</f>
        <v/>
      </c>
      <c r="Q106" s="10" t="str">
        <f t="shared" ca="1" si="5"/>
        <v/>
      </c>
      <c r="R106" s="4" t="str">
        <f t="shared" si="6"/>
        <v/>
      </c>
      <c r="S106" s="4" t="str">
        <f t="shared" si="7"/>
        <v/>
      </c>
      <c r="T106" s="4" t="str">
        <f t="shared" si="8"/>
        <v/>
      </c>
      <c r="U106" s="10" t="str">
        <f t="shared" si="9"/>
        <v/>
      </c>
      <c r="V106" s="4"/>
    </row>
    <row r="107" spans="2:22" x14ac:dyDescent="0.25">
      <c r="B107" s="4" t="str">
        <f>IFERROR(VLOOKUP(A107,'ECN-ECO_DATA'!B:G,4,FALSE),"")</f>
        <v/>
      </c>
      <c r="C107" s="9" t="str">
        <f>IFERROR(VLOOKUP(A107,'ECN-ECO_DATA'!B:G,5,FALSE),"")</f>
        <v/>
      </c>
      <c r="D107" s="9" t="str">
        <f ca="1">IFERROR((IF(VLOOKUP(A107,'ECN-ECO_DATA'!B:G,6,FALSE)=0/1/1900,TODAY(),VLOOKUP(A107,'ECN-ECO_DATA'!B:G,6,FALSE))),"")</f>
        <v/>
      </c>
      <c r="E107" s="9" t="str">
        <f>IFERROR((IF(VLOOKUP(A107,'ECN-ECO_DATA'!B:G,6,FALSE)=0/1/1900,"",VLOOKUP(A107,'ECN-ECO_DATA'!B:G,6,FALSE))),"")</f>
        <v/>
      </c>
      <c r="F107" s="9" t="str">
        <f>IFERROR((IF(VLOOKUP(A107,'ECN-ECO_DATA'!B:J,7,FALSE)=0/1/1900,"",VLOOKUP(A107,'ECN-ECO_DATA'!B:J,7,FALSE))),"")</f>
        <v/>
      </c>
      <c r="G107" s="9" t="str">
        <f>IFERROR((IF(VLOOKUP(A107,'ECN-ECO_DATA'!B:J,8,FALSE)=0/1/1900,"",VLOOKUP(A107,'ECN-ECO_DATA'!B:J,8,FALSE))),"")</f>
        <v/>
      </c>
      <c r="H107" s="9" t="str">
        <f>IFERROR((IF(VLOOKUP(A107,'ECN-ECO_DATA'!B:J,9,FALSE)=0/1/1900,"",VLOOKUP(A107,'ECN-ECO_DATA'!B:J,9,FALSE))),"")</f>
        <v/>
      </c>
      <c r="I107" s="10" t="str">
        <f>IFERROR((IF(VLOOKUP(A107,'ECN-ECO_DATA'!B:Q,13,FALSE)="","",VLOOKUP(A107,'ECN-ECO_DATA'!B:Q,13,FALSE))),"")</f>
        <v/>
      </c>
      <c r="J107" s="10" t="str">
        <f>IFERROR((IF(VLOOKUP(A107,'ECN-ECO_DATA'!B:Q,14,FALSE)="","",VLOOKUP(A107,'ECN-ECO_DATA'!B:Q,14,FALSE))),"")</f>
        <v/>
      </c>
      <c r="K107" s="10" t="str">
        <f>IFERROR((IF(VLOOKUP(A107,'ECN-ECO_DATA'!B:Q,15,FALSE)="","",VLOOKUP(A107,'ECN-ECO_DATA'!B:Q,15,FALSE))),"")</f>
        <v/>
      </c>
      <c r="L107" s="10" t="str">
        <f>IFERROR((IF(VLOOKUP(A107,'ECN-ECO_DATA'!B:Q,16,FALSE)="","",VLOOKUP(A107,'ECN-ECO_DATA'!B:Q,16,FALSE))),"")</f>
        <v/>
      </c>
      <c r="M107" s="9" t="str">
        <f>IFERROR((IF(VLOOKUP(A107,'ECN-ECO_DATA'!B:V,18,FALSE)=0/1/1900,"",VLOOKUP(A107,'ECN-ECO_DATA'!B:V,18,FALSE))),"")</f>
        <v/>
      </c>
      <c r="N107" s="9" t="str">
        <f>IFERROR((IF(VLOOKUP(A107,'ECN-ECO_DATA'!B:V,19,FALSE)=0/1/1900,"",VLOOKUP(A107,'ECN-ECO_DATA'!B:V,19,FALSE))),"")</f>
        <v/>
      </c>
      <c r="O107" s="9" t="str">
        <f>IFERROR((IF(VLOOKUP(A107,'ECN-ECO_DATA'!B:V,20,FALSE)=0/1/1900,"",VLOOKUP(A107,'ECN-ECO_DATA'!B:V,20,FALSE))),"")</f>
        <v/>
      </c>
      <c r="P107" s="9" t="str">
        <f>IFERROR((IF(VLOOKUP(A107,'ECN-ECO_DATA'!B:V,21,FALSE)=0/1/1900,"",VLOOKUP(A107,'ECN-ECO_DATA'!B:V,21,FALSE))),"")</f>
        <v/>
      </c>
      <c r="Q107" s="10" t="str">
        <f t="shared" ca="1" si="5"/>
        <v/>
      </c>
      <c r="R107" s="4" t="str">
        <f t="shared" si="6"/>
        <v/>
      </c>
      <c r="S107" s="4" t="str">
        <f t="shared" si="7"/>
        <v/>
      </c>
      <c r="T107" s="4" t="str">
        <f t="shared" si="8"/>
        <v/>
      </c>
      <c r="U107" s="10" t="str">
        <f t="shared" si="9"/>
        <v/>
      </c>
      <c r="V107" s="4"/>
    </row>
    <row r="108" spans="2:22" x14ac:dyDescent="0.25">
      <c r="B108" s="4" t="str">
        <f>IFERROR(VLOOKUP(A108,'ECN-ECO_DATA'!B:G,4,FALSE),"")</f>
        <v/>
      </c>
      <c r="C108" s="9" t="str">
        <f>IFERROR(VLOOKUP(A108,'ECN-ECO_DATA'!B:G,5,FALSE),"")</f>
        <v/>
      </c>
      <c r="D108" s="9" t="str">
        <f ca="1">IFERROR((IF(VLOOKUP(A108,'ECN-ECO_DATA'!B:G,6,FALSE)=0/1/1900,TODAY(),VLOOKUP(A108,'ECN-ECO_DATA'!B:G,6,FALSE))),"")</f>
        <v/>
      </c>
      <c r="E108" s="9" t="str">
        <f>IFERROR((IF(VLOOKUP(A108,'ECN-ECO_DATA'!B:G,6,FALSE)=0/1/1900,"",VLOOKUP(A108,'ECN-ECO_DATA'!B:G,6,FALSE))),"")</f>
        <v/>
      </c>
      <c r="F108" s="9" t="str">
        <f>IFERROR((IF(VLOOKUP(A108,'ECN-ECO_DATA'!B:J,7,FALSE)=0/1/1900,"",VLOOKUP(A108,'ECN-ECO_DATA'!B:J,7,FALSE))),"")</f>
        <v/>
      </c>
      <c r="G108" s="9" t="str">
        <f>IFERROR((IF(VLOOKUP(A108,'ECN-ECO_DATA'!B:J,8,FALSE)=0/1/1900,"",VLOOKUP(A108,'ECN-ECO_DATA'!B:J,8,FALSE))),"")</f>
        <v/>
      </c>
      <c r="H108" s="9" t="str">
        <f>IFERROR((IF(VLOOKUP(A108,'ECN-ECO_DATA'!B:J,9,FALSE)=0/1/1900,"",VLOOKUP(A108,'ECN-ECO_DATA'!B:J,9,FALSE))),"")</f>
        <v/>
      </c>
      <c r="I108" s="10" t="str">
        <f>IFERROR((IF(VLOOKUP(A108,'ECN-ECO_DATA'!B:Q,13,FALSE)="","",VLOOKUP(A108,'ECN-ECO_DATA'!B:Q,13,FALSE))),"")</f>
        <v/>
      </c>
      <c r="J108" s="10" t="str">
        <f>IFERROR((IF(VLOOKUP(A108,'ECN-ECO_DATA'!B:Q,14,FALSE)="","",VLOOKUP(A108,'ECN-ECO_DATA'!B:Q,14,FALSE))),"")</f>
        <v/>
      </c>
      <c r="K108" s="10" t="str">
        <f>IFERROR((IF(VLOOKUP(A108,'ECN-ECO_DATA'!B:Q,15,FALSE)="","",VLOOKUP(A108,'ECN-ECO_DATA'!B:Q,15,FALSE))),"")</f>
        <v/>
      </c>
      <c r="L108" s="10" t="str">
        <f>IFERROR((IF(VLOOKUP(A108,'ECN-ECO_DATA'!B:Q,16,FALSE)="","",VLOOKUP(A108,'ECN-ECO_DATA'!B:Q,16,FALSE))),"")</f>
        <v/>
      </c>
      <c r="M108" s="9" t="str">
        <f>IFERROR((IF(VLOOKUP(A108,'ECN-ECO_DATA'!B:V,18,FALSE)=0/1/1900,"",VLOOKUP(A108,'ECN-ECO_DATA'!B:V,18,FALSE))),"")</f>
        <v/>
      </c>
      <c r="N108" s="9" t="str">
        <f>IFERROR((IF(VLOOKUP(A108,'ECN-ECO_DATA'!B:V,19,FALSE)=0/1/1900,"",VLOOKUP(A108,'ECN-ECO_DATA'!B:V,19,FALSE))),"")</f>
        <v/>
      </c>
      <c r="O108" s="9" t="str">
        <f>IFERROR((IF(VLOOKUP(A108,'ECN-ECO_DATA'!B:V,20,FALSE)=0/1/1900,"",VLOOKUP(A108,'ECN-ECO_DATA'!B:V,20,FALSE))),"")</f>
        <v/>
      </c>
      <c r="P108" s="9" t="str">
        <f>IFERROR((IF(VLOOKUP(A108,'ECN-ECO_DATA'!B:V,21,FALSE)=0/1/1900,"",VLOOKUP(A108,'ECN-ECO_DATA'!B:V,21,FALSE))),"")</f>
        <v/>
      </c>
      <c r="Q108" s="10" t="str">
        <f t="shared" ca="1" si="5"/>
        <v/>
      </c>
      <c r="R108" s="4" t="str">
        <f t="shared" si="6"/>
        <v/>
      </c>
      <c r="S108" s="4" t="str">
        <f t="shared" si="7"/>
        <v/>
      </c>
      <c r="T108" s="4" t="str">
        <f t="shared" si="8"/>
        <v/>
      </c>
      <c r="U108" s="10" t="str">
        <f t="shared" si="9"/>
        <v/>
      </c>
      <c r="V108" s="4"/>
    </row>
    <row r="109" spans="2:22" x14ac:dyDescent="0.25">
      <c r="B109" s="4" t="str">
        <f>IFERROR(VLOOKUP(A109,'ECN-ECO_DATA'!B:G,4,FALSE),"")</f>
        <v/>
      </c>
      <c r="C109" s="9" t="str">
        <f>IFERROR(VLOOKUP(A109,'ECN-ECO_DATA'!B:G,5,FALSE),"")</f>
        <v/>
      </c>
      <c r="D109" s="9" t="str">
        <f ca="1">IFERROR((IF(VLOOKUP(A109,'ECN-ECO_DATA'!B:G,6,FALSE)=0/1/1900,TODAY(),VLOOKUP(A109,'ECN-ECO_DATA'!B:G,6,FALSE))),"")</f>
        <v/>
      </c>
      <c r="E109" s="9" t="str">
        <f>IFERROR((IF(VLOOKUP(A109,'ECN-ECO_DATA'!B:G,6,FALSE)=0/1/1900,"",VLOOKUP(A109,'ECN-ECO_DATA'!B:G,6,FALSE))),"")</f>
        <v/>
      </c>
      <c r="F109" s="9" t="str">
        <f>IFERROR((IF(VLOOKUP(A109,'ECN-ECO_DATA'!B:J,7,FALSE)=0/1/1900,"",VLOOKUP(A109,'ECN-ECO_DATA'!B:J,7,FALSE))),"")</f>
        <v/>
      </c>
      <c r="G109" s="9" t="str">
        <f>IFERROR((IF(VLOOKUP(A109,'ECN-ECO_DATA'!B:J,8,FALSE)=0/1/1900,"",VLOOKUP(A109,'ECN-ECO_DATA'!B:J,8,FALSE))),"")</f>
        <v/>
      </c>
      <c r="H109" s="9" t="str">
        <f>IFERROR((IF(VLOOKUP(A109,'ECN-ECO_DATA'!B:J,9,FALSE)=0/1/1900,"",VLOOKUP(A109,'ECN-ECO_DATA'!B:J,9,FALSE))),"")</f>
        <v/>
      </c>
      <c r="I109" s="10" t="str">
        <f>IFERROR((IF(VLOOKUP(A109,'ECN-ECO_DATA'!B:Q,13,FALSE)="","",VLOOKUP(A109,'ECN-ECO_DATA'!B:Q,13,FALSE))),"")</f>
        <v/>
      </c>
      <c r="J109" s="10" t="str">
        <f>IFERROR((IF(VLOOKUP(A109,'ECN-ECO_DATA'!B:Q,14,FALSE)="","",VLOOKUP(A109,'ECN-ECO_DATA'!B:Q,14,FALSE))),"")</f>
        <v/>
      </c>
      <c r="K109" s="10" t="str">
        <f>IFERROR((IF(VLOOKUP(A109,'ECN-ECO_DATA'!B:Q,15,FALSE)="","",VLOOKUP(A109,'ECN-ECO_DATA'!B:Q,15,FALSE))),"")</f>
        <v/>
      </c>
      <c r="L109" s="10" t="str">
        <f>IFERROR((IF(VLOOKUP(A109,'ECN-ECO_DATA'!B:Q,16,FALSE)="","",VLOOKUP(A109,'ECN-ECO_DATA'!B:Q,16,FALSE))),"")</f>
        <v/>
      </c>
      <c r="M109" s="9" t="str">
        <f>IFERROR((IF(VLOOKUP(A109,'ECN-ECO_DATA'!B:V,18,FALSE)=0/1/1900,"",VLOOKUP(A109,'ECN-ECO_DATA'!B:V,18,FALSE))),"")</f>
        <v/>
      </c>
      <c r="N109" s="9" t="str">
        <f>IFERROR((IF(VLOOKUP(A109,'ECN-ECO_DATA'!B:V,19,FALSE)=0/1/1900,"",VLOOKUP(A109,'ECN-ECO_DATA'!B:V,19,FALSE))),"")</f>
        <v/>
      </c>
      <c r="O109" s="9" t="str">
        <f>IFERROR((IF(VLOOKUP(A109,'ECN-ECO_DATA'!B:V,20,FALSE)=0/1/1900,"",VLOOKUP(A109,'ECN-ECO_DATA'!B:V,20,FALSE))),"")</f>
        <v/>
      </c>
      <c r="P109" s="9" t="str">
        <f>IFERROR((IF(VLOOKUP(A109,'ECN-ECO_DATA'!B:V,21,FALSE)=0/1/1900,"",VLOOKUP(A109,'ECN-ECO_DATA'!B:V,21,FALSE))),"")</f>
        <v/>
      </c>
      <c r="Q109" s="10" t="str">
        <f t="shared" ca="1" si="5"/>
        <v/>
      </c>
      <c r="R109" s="4" t="str">
        <f t="shared" si="6"/>
        <v/>
      </c>
      <c r="S109" s="4" t="str">
        <f t="shared" si="7"/>
        <v/>
      </c>
      <c r="T109" s="4" t="str">
        <f t="shared" si="8"/>
        <v/>
      </c>
      <c r="U109" s="10" t="str">
        <f t="shared" si="9"/>
        <v/>
      </c>
      <c r="V109" s="4"/>
    </row>
    <row r="110" spans="2:22" x14ac:dyDescent="0.25">
      <c r="B110" s="4" t="str">
        <f>IFERROR(VLOOKUP(A110,'ECN-ECO_DATA'!B:G,4,FALSE),"")</f>
        <v/>
      </c>
      <c r="C110" s="9" t="str">
        <f>IFERROR(VLOOKUP(A110,'ECN-ECO_DATA'!B:G,5,FALSE),"")</f>
        <v/>
      </c>
      <c r="D110" s="9" t="str">
        <f ca="1">IFERROR((IF(VLOOKUP(A110,'ECN-ECO_DATA'!B:G,6,FALSE)=0/1/1900,TODAY(),VLOOKUP(A110,'ECN-ECO_DATA'!B:G,6,FALSE))),"")</f>
        <v/>
      </c>
      <c r="E110" s="9" t="str">
        <f>IFERROR((IF(VLOOKUP(A110,'ECN-ECO_DATA'!B:G,6,FALSE)=0/1/1900,"",VLOOKUP(A110,'ECN-ECO_DATA'!B:G,6,FALSE))),"")</f>
        <v/>
      </c>
      <c r="F110" s="9" t="str">
        <f>IFERROR((IF(VLOOKUP(A110,'ECN-ECO_DATA'!B:J,7,FALSE)=0/1/1900,"",VLOOKUP(A110,'ECN-ECO_DATA'!B:J,7,FALSE))),"")</f>
        <v/>
      </c>
      <c r="G110" s="9" t="str">
        <f>IFERROR((IF(VLOOKUP(A110,'ECN-ECO_DATA'!B:J,8,FALSE)=0/1/1900,"",VLOOKUP(A110,'ECN-ECO_DATA'!B:J,8,FALSE))),"")</f>
        <v/>
      </c>
      <c r="H110" s="9" t="str">
        <f>IFERROR((IF(VLOOKUP(A110,'ECN-ECO_DATA'!B:J,9,FALSE)=0/1/1900,"",VLOOKUP(A110,'ECN-ECO_DATA'!B:J,9,FALSE))),"")</f>
        <v/>
      </c>
      <c r="I110" s="10" t="str">
        <f>IFERROR((IF(VLOOKUP(A110,'ECN-ECO_DATA'!B:Q,13,FALSE)="","",VLOOKUP(A110,'ECN-ECO_DATA'!B:Q,13,FALSE))),"")</f>
        <v/>
      </c>
      <c r="J110" s="10" t="str">
        <f>IFERROR((IF(VLOOKUP(A110,'ECN-ECO_DATA'!B:Q,14,FALSE)="","",VLOOKUP(A110,'ECN-ECO_DATA'!B:Q,14,FALSE))),"")</f>
        <v/>
      </c>
      <c r="K110" s="10" t="str">
        <f>IFERROR((IF(VLOOKUP(A110,'ECN-ECO_DATA'!B:Q,15,FALSE)="","",VLOOKUP(A110,'ECN-ECO_DATA'!B:Q,15,FALSE))),"")</f>
        <v/>
      </c>
      <c r="L110" s="10" t="str">
        <f>IFERROR((IF(VLOOKUP(A110,'ECN-ECO_DATA'!B:Q,16,FALSE)="","",VLOOKUP(A110,'ECN-ECO_DATA'!B:Q,16,FALSE))),"")</f>
        <v/>
      </c>
      <c r="M110" s="9" t="str">
        <f>IFERROR((IF(VLOOKUP(A110,'ECN-ECO_DATA'!B:V,18,FALSE)=0/1/1900,"",VLOOKUP(A110,'ECN-ECO_DATA'!B:V,18,FALSE))),"")</f>
        <v/>
      </c>
      <c r="N110" s="9" t="str">
        <f>IFERROR((IF(VLOOKUP(A110,'ECN-ECO_DATA'!B:V,19,FALSE)=0/1/1900,"",VLOOKUP(A110,'ECN-ECO_DATA'!B:V,19,FALSE))),"")</f>
        <v/>
      </c>
      <c r="O110" s="9" t="str">
        <f>IFERROR((IF(VLOOKUP(A110,'ECN-ECO_DATA'!B:V,20,FALSE)=0/1/1900,"",VLOOKUP(A110,'ECN-ECO_DATA'!B:V,20,FALSE))),"")</f>
        <v/>
      </c>
      <c r="P110" s="9" t="str">
        <f>IFERROR((IF(VLOOKUP(A110,'ECN-ECO_DATA'!B:V,21,FALSE)=0/1/1900,"",VLOOKUP(A110,'ECN-ECO_DATA'!B:V,21,FALSE))),"")</f>
        <v/>
      </c>
      <c r="Q110" s="10" t="str">
        <f t="shared" ca="1" si="5"/>
        <v/>
      </c>
      <c r="R110" s="4" t="str">
        <f t="shared" si="6"/>
        <v/>
      </c>
      <c r="S110" s="4" t="str">
        <f t="shared" si="7"/>
        <v/>
      </c>
      <c r="T110" s="4" t="str">
        <f t="shared" si="8"/>
        <v/>
      </c>
      <c r="U110" s="10" t="str">
        <f t="shared" si="9"/>
        <v/>
      </c>
      <c r="V110" s="4"/>
    </row>
    <row r="111" spans="2:22" x14ac:dyDescent="0.25">
      <c r="B111" s="4" t="str">
        <f>IFERROR(VLOOKUP(A111,'ECN-ECO_DATA'!B:G,4,FALSE),"")</f>
        <v/>
      </c>
      <c r="C111" s="9" t="str">
        <f>IFERROR(VLOOKUP(A111,'ECN-ECO_DATA'!B:G,5,FALSE),"")</f>
        <v/>
      </c>
      <c r="D111" s="9" t="str">
        <f ca="1">IFERROR((IF(VLOOKUP(A111,'ECN-ECO_DATA'!B:G,6,FALSE)=0/1/1900,TODAY(),VLOOKUP(A111,'ECN-ECO_DATA'!B:G,6,FALSE))),"")</f>
        <v/>
      </c>
      <c r="E111" s="9" t="str">
        <f>IFERROR((IF(VLOOKUP(A111,'ECN-ECO_DATA'!B:G,6,FALSE)=0/1/1900,"",VLOOKUP(A111,'ECN-ECO_DATA'!B:G,6,FALSE))),"")</f>
        <v/>
      </c>
      <c r="F111" s="9" t="str">
        <f>IFERROR((IF(VLOOKUP(A111,'ECN-ECO_DATA'!B:J,7,FALSE)=0/1/1900,"",VLOOKUP(A111,'ECN-ECO_DATA'!B:J,7,FALSE))),"")</f>
        <v/>
      </c>
      <c r="G111" s="9" t="str">
        <f>IFERROR((IF(VLOOKUP(A111,'ECN-ECO_DATA'!B:J,8,FALSE)=0/1/1900,"",VLOOKUP(A111,'ECN-ECO_DATA'!B:J,8,FALSE))),"")</f>
        <v/>
      </c>
      <c r="H111" s="9" t="str">
        <f>IFERROR((IF(VLOOKUP(A111,'ECN-ECO_DATA'!B:J,9,FALSE)=0/1/1900,"",VLOOKUP(A111,'ECN-ECO_DATA'!B:J,9,FALSE))),"")</f>
        <v/>
      </c>
      <c r="I111" s="10" t="str">
        <f>IFERROR((IF(VLOOKUP(A111,'ECN-ECO_DATA'!B:Q,13,FALSE)="","",VLOOKUP(A111,'ECN-ECO_DATA'!B:Q,13,FALSE))),"")</f>
        <v/>
      </c>
      <c r="J111" s="10" t="str">
        <f>IFERROR((IF(VLOOKUP(A111,'ECN-ECO_DATA'!B:Q,14,FALSE)="","",VLOOKUP(A111,'ECN-ECO_DATA'!B:Q,14,FALSE))),"")</f>
        <v/>
      </c>
      <c r="K111" s="10" t="str">
        <f>IFERROR((IF(VLOOKUP(A111,'ECN-ECO_DATA'!B:Q,15,FALSE)="","",VLOOKUP(A111,'ECN-ECO_DATA'!B:Q,15,FALSE))),"")</f>
        <v/>
      </c>
      <c r="L111" s="10" t="str">
        <f>IFERROR((IF(VLOOKUP(A111,'ECN-ECO_DATA'!B:Q,16,FALSE)="","",VLOOKUP(A111,'ECN-ECO_DATA'!B:Q,16,FALSE))),"")</f>
        <v/>
      </c>
      <c r="M111" s="9" t="str">
        <f>IFERROR((IF(VLOOKUP(A111,'ECN-ECO_DATA'!B:V,18,FALSE)=0/1/1900,"",VLOOKUP(A111,'ECN-ECO_DATA'!B:V,18,FALSE))),"")</f>
        <v/>
      </c>
      <c r="N111" s="9" t="str">
        <f>IFERROR((IF(VLOOKUP(A111,'ECN-ECO_DATA'!B:V,19,FALSE)=0/1/1900,"",VLOOKUP(A111,'ECN-ECO_DATA'!B:V,19,FALSE))),"")</f>
        <v/>
      </c>
      <c r="O111" s="9" t="str">
        <f>IFERROR((IF(VLOOKUP(A111,'ECN-ECO_DATA'!B:V,20,FALSE)=0/1/1900,"",VLOOKUP(A111,'ECN-ECO_DATA'!B:V,20,FALSE))),"")</f>
        <v/>
      </c>
      <c r="P111" s="9" t="str">
        <f>IFERROR((IF(VLOOKUP(A111,'ECN-ECO_DATA'!B:V,21,FALSE)=0/1/1900,"",VLOOKUP(A111,'ECN-ECO_DATA'!B:V,21,FALSE))),"")</f>
        <v/>
      </c>
      <c r="Q111" s="10" t="str">
        <f t="shared" ca="1" si="5"/>
        <v/>
      </c>
      <c r="R111" s="4" t="str">
        <f t="shared" si="6"/>
        <v/>
      </c>
      <c r="S111" s="4" t="str">
        <f t="shared" si="7"/>
        <v/>
      </c>
      <c r="T111" s="4" t="str">
        <f t="shared" si="8"/>
        <v/>
      </c>
      <c r="U111" s="10" t="str">
        <f t="shared" si="9"/>
        <v/>
      </c>
      <c r="V111" s="4"/>
    </row>
    <row r="112" spans="2:22" x14ac:dyDescent="0.25">
      <c r="B112" s="4" t="str">
        <f>IFERROR(VLOOKUP(A112,'ECN-ECO_DATA'!B:G,4,FALSE),"")</f>
        <v/>
      </c>
      <c r="C112" s="9" t="str">
        <f>IFERROR(VLOOKUP(A112,'ECN-ECO_DATA'!B:G,5,FALSE),"")</f>
        <v/>
      </c>
      <c r="D112" s="9" t="str">
        <f ca="1">IFERROR((IF(VLOOKUP(A112,'ECN-ECO_DATA'!B:G,6,FALSE)=0/1/1900,TODAY(),VLOOKUP(A112,'ECN-ECO_DATA'!B:G,6,FALSE))),"")</f>
        <v/>
      </c>
      <c r="E112" s="9" t="str">
        <f>IFERROR((IF(VLOOKUP(A112,'ECN-ECO_DATA'!B:G,6,FALSE)=0/1/1900,"",VLOOKUP(A112,'ECN-ECO_DATA'!B:G,6,FALSE))),"")</f>
        <v/>
      </c>
      <c r="F112" s="9" t="str">
        <f>IFERROR((IF(VLOOKUP(A112,'ECN-ECO_DATA'!B:J,7,FALSE)=0/1/1900,"",VLOOKUP(A112,'ECN-ECO_DATA'!B:J,7,FALSE))),"")</f>
        <v/>
      </c>
      <c r="G112" s="9" t="str">
        <f>IFERROR((IF(VLOOKUP(A112,'ECN-ECO_DATA'!B:J,8,FALSE)=0/1/1900,"",VLOOKUP(A112,'ECN-ECO_DATA'!B:J,8,FALSE))),"")</f>
        <v/>
      </c>
      <c r="H112" s="9" t="str">
        <f>IFERROR((IF(VLOOKUP(A112,'ECN-ECO_DATA'!B:J,9,FALSE)=0/1/1900,"",VLOOKUP(A112,'ECN-ECO_DATA'!B:J,9,FALSE))),"")</f>
        <v/>
      </c>
      <c r="I112" s="10" t="str">
        <f>IFERROR((IF(VLOOKUP(A112,'ECN-ECO_DATA'!B:Q,13,FALSE)="","",VLOOKUP(A112,'ECN-ECO_DATA'!B:Q,13,FALSE))),"")</f>
        <v/>
      </c>
      <c r="J112" s="10" t="str">
        <f>IFERROR((IF(VLOOKUP(A112,'ECN-ECO_DATA'!B:Q,14,FALSE)="","",VLOOKUP(A112,'ECN-ECO_DATA'!B:Q,14,FALSE))),"")</f>
        <v/>
      </c>
      <c r="K112" s="10" t="str">
        <f>IFERROR((IF(VLOOKUP(A112,'ECN-ECO_DATA'!B:Q,15,FALSE)="","",VLOOKUP(A112,'ECN-ECO_DATA'!B:Q,15,FALSE))),"")</f>
        <v/>
      </c>
      <c r="L112" s="10" t="str">
        <f>IFERROR((IF(VLOOKUP(A112,'ECN-ECO_DATA'!B:Q,16,FALSE)="","",VLOOKUP(A112,'ECN-ECO_DATA'!B:Q,16,FALSE))),"")</f>
        <v/>
      </c>
      <c r="M112" s="9" t="str">
        <f>IFERROR((IF(VLOOKUP(A112,'ECN-ECO_DATA'!B:V,18,FALSE)=0/1/1900,"",VLOOKUP(A112,'ECN-ECO_DATA'!B:V,18,FALSE))),"")</f>
        <v/>
      </c>
      <c r="N112" s="9" t="str">
        <f>IFERROR((IF(VLOOKUP(A112,'ECN-ECO_DATA'!B:V,19,FALSE)=0/1/1900,"",VLOOKUP(A112,'ECN-ECO_DATA'!B:V,19,FALSE))),"")</f>
        <v/>
      </c>
      <c r="O112" s="9" t="str">
        <f>IFERROR((IF(VLOOKUP(A112,'ECN-ECO_DATA'!B:V,20,FALSE)=0/1/1900,"",VLOOKUP(A112,'ECN-ECO_DATA'!B:V,20,FALSE))),"")</f>
        <v/>
      </c>
      <c r="P112" s="9" t="str">
        <f>IFERROR((IF(VLOOKUP(A112,'ECN-ECO_DATA'!B:V,21,FALSE)=0/1/1900,"",VLOOKUP(A112,'ECN-ECO_DATA'!B:V,21,FALSE))),"")</f>
        <v/>
      </c>
      <c r="Q112" s="10" t="str">
        <f t="shared" ca="1" si="5"/>
        <v/>
      </c>
      <c r="R112" s="4" t="str">
        <f t="shared" si="6"/>
        <v/>
      </c>
      <c r="S112" s="4" t="str">
        <f t="shared" si="7"/>
        <v/>
      </c>
      <c r="T112" s="4" t="str">
        <f t="shared" si="8"/>
        <v/>
      </c>
      <c r="U112" s="10" t="str">
        <f t="shared" si="9"/>
        <v/>
      </c>
      <c r="V112" s="4"/>
    </row>
    <row r="113" spans="2:22" x14ac:dyDescent="0.25">
      <c r="B113" s="4" t="str">
        <f>IFERROR(VLOOKUP(A113,'ECN-ECO_DATA'!B:G,4,FALSE),"")</f>
        <v/>
      </c>
      <c r="C113" s="9" t="str">
        <f>IFERROR(VLOOKUP(A113,'ECN-ECO_DATA'!B:G,5,FALSE),"")</f>
        <v/>
      </c>
      <c r="D113" s="9" t="str">
        <f ca="1">IFERROR((IF(VLOOKUP(A113,'ECN-ECO_DATA'!B:G,6,FALSE)=0/1/1900,TODAY(),VLOOKUP(A113,'ECN-ECO_DATA'!B:G,6,FALSE))),"")</f>
        <v/>
      </c>
      <c r="E113" s="9" t="str">
        <f>IFERROR((IF(VLOOKUP(A113,'ECN-ECO_DATA'!B:G,6,FALSE)=0/1/1900,"",VLOOKUP(A113,'ECN-ECO_DATA'!B:G,6,FALSE))),"")</f>
        <v/>
      </c>
      <c r="F113" s="9" t="str">
        <f>IFERROR((IF(VLOOKUP(A113,'ECN-ECO_DATA'!B:J,7,FALSE)=0/1/1900,"",VLOOKUP(A113,'ECN-ECO_DATA'!B:J,7,FALSE))),"")</f>
        <v/>
      </c>
      <c r="G113" s="9" t="str">
        <f>IFERROR((IF(VLOOKUP(A113,'ECN-ECO_DATA'!B:J,8,FALSE)=0/1/1900,"",VLOOKUP(A113,'ECN-ECO_DATA'!B:J,8,FALSE))),"")</f>
        <v/>
      </c>
      <c r="H113" s="9" t="str">
        <f>IFERROR((IF(VLOOKUP(A113,'ECN-ECO_DATA'!B:J,9,FALSE)=0/1/1900,"",VLOOKUP(A113,'ECN-ECO_DATA'!B:J,9,FALSE))),"")</f>
        <v/>
      </c>
      <c r="I113" s="10" t="str">
        <f>IFERROR((IF(VLOOKUP(A113,'ECN-ECO_DATA'!B:Q,13,FALSE)="","",VLOOKUP(A113,'ECN-ECO_DATA'!B:Q,13,FALSE))),"")</f>
        <v/>
      </c>
      <c r="J113" s="10" t="str">
        <f>IFERROR((IF(VLOOKUP(A113,'ECN-ECO_DATA'!B:Q,14,FALSE)="","",VLOOKUP(A113,'ECN-ECO_DATA'!B:Q,14,FALSE))),"")</f>
        <v/>
      </c>
      <c r="K113" s="10" t="str">
        <f>IFERROR((IF(VLOOKUP(A113,'ECN-ECO_DATA'!B:Q,15,FALSE)="","",VLOOKUP(A113,'ECN-ECO_DATA'!B:Q,15,FALSE))),"")</f>
        <v/>
      </c>
      <c r="L113" s="10" t="str">
        <f>IFERROR((IF(VLOOKUP(A113,'ECN-ECO_DATA'!B:Q,16,FALSE)="","",VLOOKUP(A113,'ECN-ECO_DATA'!B:Q,16,FALSE))),"")</f>
        <v/>
      </c>
      <c r="M113" s="9" t="str">
        <f>IFERROR((IF(VLOOKUP(A113,'ECN-ECO_DATA'!B:V,18,FALSE)=0/1/1900,"",VLOOKUP(A113,'ECN-ECO_DATA'!B:V,18,FALSE))),"")</f>
        <v/>
      </c>
      <c r="N113" s="9" t="str">
        <f>IFERROR((IF(VLOOKUP(A113,'ECN-ECO_DATA'!B:V,19,FALSE)=0/1/1900,"",VLOOKUP(A113,'ECN-ECO_DATA'!B:V,19,FALSE))),"")</f>
        <v/>
      </c>
      <c r="O113" s="9" t="str">
        <f>IFERROR((IF(VLOOKUP(A113,'ECN-ECO_DATA'!B:V,20,FALSE)=0/1/1900,"",VLOOKUP(A113,'ECN-ECO_DATA'!B:V,20,FALSE))),"")</f>
        <v/>
      </c>
      <c r="P113" s="9" t="str">
        <f>IFERROR((IF(VLOOKUP(A113,'ECN-ECO_DATA'!B:V,21,FALSE)=0/1/1900,"",VLOOKUP(A113,'ECN-ECO_DATA'!B:V,21,FALSE))),"")</f>
        <v/>
      </c>
      <c r="Q113" s="10" t="str">
        <f t="shared" ca="1" si="5"/>
        <v/>
      </c>
      <c r="R113" s="4" t="str">
        <f t="shared" si="6"/>
        <v/>
      </c>
      <c r="S113" s="4" t="str">
        <f t="shared" si="7"/>
        <v/>
      </c>
      <c r="T113" s="4" t="str">
        <f t="shared" si="8"/>
        <v/>
      </c>
      <c r="U113" s="10" t="str">
        <f t="shared" si="9"/>
        <v/>
      </c>
      <c r="V113" s="4"/>
    </row>
    <row r="114" spans="2:22" x14ac:dyDescent="0.25">
      <c r="B114" s="4" t="str">
        <f>IFERROR(VLOOKUP(A114,'ECN-ECO_DATA'!B:G,4,FALSE),"")</f>
        <v/>
      </c>
      <c r="C114" s="9" t="str">
        <f>IFERROR(VLOOKUP(A114,'ECN-ECO_DATA'!B:G,5,FALSE),"")</f>
        <v/>
      </c>
      <c r="D114" s="9" t="str">
        <f ca="1">IFERROR((IF(VLOOKUP(A114,'ECN-ECO_DATA'!B:G,6,FALSE)=0/1/1900,TODAY(),VLOOKUP(A114,'ECN-ECO_DATA'!B:G,6,FALSE))),"")</f>
        <v/>
      </c>
      <c r="E114" s="9" t="str">
        <f>IFERROR((IF(VLOOKUP(A114,'ECN-ECO_DATA'!B:G,6,FALSE)=0/1/1900,"",VLOOKUP(A114,'ECN-ECO_DATA'!B:G,6,FALSE))),"")</f>
        <v/>
      </c>
      <c r="F114" s="9" t="str">
        <f>IFERROR((IF(VLOOKUP(A114,'ECN-ECO_DATA'!B:J,7,FALSE)=0/1/1900,"",VLOOKUP(A114,'ECN-ECO_DATA'!B:J,7,FALSE))),"")</f>
        <v/>
      </c>
      <c r="G114" s="9" t="str">
        <f>IFERROR((IF(VLOOKUP(A114,'ECN-ECO_DATA'!B:J,8,FALSE)=0/1/1900,"",VLOOKUP(A114,'ECN-ECO_DATA'!B:J,8,FALSE))),"")</f>
        <v/>
      </c>
      <c r="H114" s="9" t="str">
        <f>IFERROR((IF(VLOOKUP(A114,'ECN-ECO_DATA'!B:J,9,FALSE)=0/1/1900,"",VLOOKUP(A114,'ECN-ECO_DATA'!B:J,9,FALSE))),"")</f>
        <v/>
      </c>
      <c r="I114" s="10" t="str">
        <f>IFERROR((IF(VLOOKUP(A114,'ECN-ECO_DATA'!B:Q,13,FALSE)="","",VLOOKUP(A114,'ECN-ECO_DATA'!B:Q,13,FALSE))),"")</f>
        <v/>
      </c>
      <c r="J114" s="10" t="str">
        <f>IFERROR((IF(VLOOKUP(A114,'ECN-ECO_DATA'!B:Q,14,FALSE)="","",VLOOKUP(A114,'ECN-ECO_DATA'!B:Q,14,FALSE))),"")</f>
        <v/>
      </c>
      <c r="K114" s="10" t="str">
        <f>IFERROR((IF(VLOOKUP(A114,'ECN-ECO_DATA'!B:Q,15,FALSE)="","",VLOOKUP(A114,'ECN-ECO_DATA'!B:Q,15,FALSE))),"")</f>
        <v/>
      </c>
      <c r="L114" s="10" t="str">
        <f>IFERROR((IF(VLOOKUP(A114,'ECN-ECO_DATA'!B:Q,16,FALSE)="","",VLOOKUP(A114,'ECN-ECO_DATA'!B:Q,16,FALSE))),"")</f>
        <v/>
      </c>
      <c r="M114" s="9" t="str">
        <f>IFERROR((IF(VLOOKUP(A114,'ECN-ECO_DATA'!B:V,18,FALSE)=0/1/1900,"",VLOOKUP(A114,'ECN-ECO_DATA'!B:V,18,FALSE))),"")</f>
        <v/>
      </c>
      <c r="N114" s="9" t="str">
        <f>IFERROR((IF(VLOOKUP(A114,'ECN-ECO_DATA'!B:V,19,FALSE)=0/1/1900,"",VLOOKUP(A114,'ECN-ECO_DATA'!B:V,19,FALSE))),"")</f>
        <v/>
      </c>
      <c r="O114" s="9" t="str">
        <f>IFERROR((IF(VLOOKUP(A114,'ECN-ECO_DATA'!B:V,20,FALSE)=0/1/1900,"",VLOOKUP(A114,'ECN-ECO_DATA'!B:V,20,FALSE))),"")</f>
        <v/>
      </c>
      <c r="P114" s="9" t="str">
        <f>IFERROR((IF(VLOOKUP(A114,'ECN-ECO_DATA'!B:V,21,FALSE)=0/1/1900,"",VLOOKUP(A114,'ECN-ECO_DATA'!B:V,21,FALSE))),"")</f>
        <v/>
      </c>
      <c r="Q114" s="10" t="str">
        <f t="shared" ca="1" si="5"/>
        <v/>
      </c>
      <c r="R114" s="4" t="str">
        <f t="shared" si="6"/>
        <v/>
      </c>
      <c r="S114" s="4" t="str">
        <f t="shared" si="7"/>
        <v/>
      </c>
      <c r="T114" s="4" t="str">
        <f t="shared" si="8"/>
        <v/>
      </c>
      <c r="U114" s="10" t="str">
        <f t="shared" si="9"/>
        <v/>
      </c>
      <c r="V114" s="4"/>
    </row>
    <row r="115" spans="2:22" x14ac:dyDescent="0.25">
      <c r="B115" s="4" t="str">
        <f>IFERROR(VLOOKUP(A115,'ECN-ECO_DATA'!B:G,4,FALSE),"")</f>
        <v/>
      </c>
      <c r="C115" s="9" t="str">
        <f>IFERROR(VLOOKUP(A115,'ECN-ECO_DATA'!B:G,5,FALSE),"")</f>
        <v/>
      </c>
      <c r="D115" s="9" t="str">
        <f ca="1">IFERROR((IF(VLOOKUP(A115,'ECN-ECO_DATA'!B:G,6,FALSE)=0/1/1900,TODAY(),VLOOKUP(A115,'ECN-ECO_DATA'!B:G,6,FALSE))),"")</f>
        <v/>
      </c>
      <c r="E115" s="9" t="str">
        <f>IFERROR((IF(VLOOKUP(A115,'ECN-ECO_DATA'!B:G,6,FALSE)=0/1/1900,"",VLOOKUP(A115,'ECN-ECO_DATA'!B:G,6,FALSE))),"")</f>
        <v/>
      </c>
      <c r="F115" s="9" t="str">
        <f>IFERROR((IF(VLOOKUP(A115,'ECN-ECO_DATA'!B:J,7,FALSE)=0/1/1900,"",VLOOKUP(A115,'ECN-ECO_DATA'!B:J,7,FALSE))),"")</f>
        <v/>
      </c>
      <c r="G115" s="9" t="str">
        <f>IFERROR((IF(VLOOKUP(A115,'ECN-ECO_DATA'!B:J,8,FALSE)=0/1/1900,"",VLOOKUP(A115,'ECN-ECO_DATA'!B:J,8,FALSE))),"")</f>
        <v/>
      </c>
      <c r="H115" s="9" t="str">
        <f>IFERROR((IF(VLOOKUP(A115,'ECN-ECO_DATA'!B:J,9,FALSE)=0/1/1900,"",VLOOKUP(A115,'ECN-ECO_DATA'!B:J,9,FALSE))),"")</f>
        <v/>
      </c>
      <c r="I115" s="10" t="str">
        <f>IFERROR((IF(VLOOKUP(A115,'ECN-ECO_DATA'!B:Q,13,FALSE)="","",VLOOKUP(A115,'ECN-ECO_DATA'!B:Q,13,FALSE))),"")</f>
        <v/>
      </c>
      <c r="J115" s="10" t="str">
        <f>IFERROR((IF(VLOOKUP(A115,'ECN-ECO_DATA'!B:Q,14,FALSE)="","",VLOOKUP(A115,'ECN-ECO_DATA'!B:Q,14,FALSE))),"")</f>
        <v/>
      </c>
      <c r="K115" s="10" t="str">
        <f>IFERROR((IF(VLOOKUP(A115,'ECN-ECO_DATA'!B:Q,15,FALSE)="","",VLOOKUP(A115,'ECN-ECO_DATA'!B:Q,15,FALSE))),"")</f>
        <v/>
      </c>
      <c r="L115" s="10" t="str">
        <f>IFERROR((IF(VLOOKUP(A115,'ECN-ECO_DATA'!B:Q,16,FALSE)="","",VLOOKUP(A115,'ECN-ECO_DATA'!B:Q,16,FALSE))),"")</f>
        <v/>
      </c>
      <c r="M115" s="9" t="str">
        <f>IFERROR((IF(VLOOKUP(A115,'ECN-ECO_DATA'!B:V,18,FALSE)=0/1/1900,"",VLOOKUP(A115,'ECN-ECO_DATA'!B:V,18,FALSE))),"")</f>
        <v/>
      </c>
      <c r="N115" s="9" t="str">
        <f>IFERROR((IF(VLOOKUP(A115,'ECN-ECO_DATA'!B:V,19,FALSE)=0/1/1900,"",VLOOKUP(A115,'ECN-ECO_DATA'!B:V,19,FALSE))),"")</f>
        <v/>
      </c>
      <c r="O115" s="9" t="str">
        <f>IFERROR((IF(VLOOKUP(A115,'ECN-ECO_DATA'!B:V,20,FALSE)=0/1/1900,"",VLOOKUP(A115,'ECN-ECO_DATA'!B:V,20,FALSE))),"")</f>
        <v/>
      </c>
      <c r="P115" s="9" t="str">
        <f>IFERROR((IF(VLOOKUP(A115,'ECN-ECO_DATA'!B:V,21,FALSE)=0/1/1900,"",VLOOKUP(A115,'ECN-ECO_DATA'!B:V,21,FALSE))),"")</f>
        <v/>
      </c>
      <c r="Q115" s="10" t="str">
        <f t="shared" ca="1" si="5"/>
        <v/>
      </c>
      <c r="R115" s="4" t="str">
        <f t="shared" si="6"/>
        <v/>
      </c>
      <c r="S115" s="4" t="str">
        <f t="shared" si="7"/>
        <v/>
      </c>
      <c r="T115" s="4" t="str">
        <f t="shared" si="8"/>
        <v/>
      </c>
      <c r="U115" s="10" t="str">
        <f t="shared" si="9"/>
        <v/>
      </c>
      <c r="V115" s="4"/>
    </row>
    <row r="116" spans="2:22" x14ac:dyDescent="0.25">
      <c r="B116" s="4" t="str">
        <f>IFERROR(VLOOKUP(A116,'ECN-ECO_DATA'!B:G,4,FALSE),"")</f>
        <v/>
      </c>
      <c r="C116" s="9" t="str">
        <f>IFERROR(VLOOKUP(A116,'ECN-ECO_DATA'!B:G,5,FALSE),"")</f>
        <v/>
      </c>
      <c r="D116" s="9" t="str">
        <f ca="1">IFERROR((IF(VLOOKUP(A116,'ECN-ECO_DATA'!B:G,6,FALSE)=0/1/1900,TODAY(),VLOOKUP(A116,'ECN-ECO_DATA'!B:G,6,FALSE))),"")</f>
        <v/>
      </c>
      <c r="E116" s="9" t="str">
        <f>IFERROR((IF(VLOOKUP(A116,'ECN-ECO_DATA'!B:G,6,FALSE)=0/1/1900,"",VLOOKUP(A116,'ECN-ECO_DATA'!B:G,6,FALSE))),"")</f>
        <v/>
      </c>
      <c r="F116" s="9" t="str">
        <f>IFERROR((IF(VLOOKUP(A116,'ECN-ECO_DATA'!B:J,7,FALSE)=0/1/1900,"",VLOOKUP(A116,'ECN-ECO_DATA'!B:J,7,FALSE))),"")</f>
        <v/>
      </c>
      <c r="G116" s="9" t="str">
        <f>IFERROR((IF(VLOOKUP(A116,'ECN-ECO_DATA'!B:J,8,FALSE)=0/1/1900,"",VLOOKUP(A116,'ECN-ECO_DATA'!B:J,8,FALSE))),"")</f>
        <v/>
      </c>
      <c r="H116" s="9" t="str">
        <f>IFERROR((IF(VLOOKUP(A116,'ECN-ECO_DATA'!B:J,9,FALSE)=0/1/1900,"",VLOOKUP(A116,'ECN-ECO_DATA'!B:J,9,FALSE))),"")</f>
        <v/>
      </c>
      <c r="I116" s="10" t="str">
        <f>IFERROR((IF(VLOOKUP(A116,'ECN-ECO_DATA'!B:Q,13,FALSE)="","",VLOOKUP(A116,'ECN-ECO_DATA'!B:Q,13,FALSE))),"")</f>
        <v/>
      </c>
      <c r="J116" s="10" t="str">
        <f>IFERROR((IF(VLOOKUP(A116,'ECN-ECO_DATA'!B:Q,14,FALSE)="","",VLOOKUP(A116,'ECN-ECO_DATA'!B:Q,14,FALSE))),"")</f>
        <v/>
      </c>
      <c r="K116" s="10" t="str">
        <f>IFERROR((IF(VLOOKUP(A116,'ECN-ECO_DATA'!B:Q,15,FALSE)="","",VLOOKUP(A116,'ECN-ECO_DATA'!B:Q,15,FALSE))),"")</f>
        <v/>
      </c>
      <c r="L116" s="10" t="str">
        <f>IFERROR((IF(VLOOKUP(A116,'ECN-ECO_DATA'!B:Q,16,FALSE)="","",VLOOKUP(A116,'ECN-ECO_DATA'!B:Q,16,FALSE))),"")</f>
        <v/>
      </c>
      <c r="M116" s="9" t="str">
        <f>IFERROR((IF(VLOOKUP(A116,'ECN-ECO_DATA'!B:V,18,FALSE)=0/1/1900,"",VLOOKUP(A116,'ECN-ECO_DATA'!B:V,18,FALSE))),"")</f>
        <v/>
      </c>
      <c r="N116" s="9" t="str">
        <f>IFERROR((IF(VLOOKUP(A116,'ECN-ECO_DATA'!B:V,19,FALSE)=0/1/1900,"",VLOOKUP(A116,'ECN-ECO_DATA'!B:V,19,FALSE))),"")</f>
        <v/>
      </c>
      <c r="O116" s="9" t="str">
        <f>IFERROR((IF(VLOOKUP(A116,'ECN-ECO_DATA'!B:V,20,FALSE)=0/1/1900,"",VLOOKUP(A116,'ECN-ECO_DATA'!B:V,20,FALSE))),"")</f>
        <v/>
      </c>
      <c r="P116" s="9" t="str">
        <f>IFERROR((IF(VLOOKUP(A116,'ECN-ECO_DATA'!B:V,21,FALSE)=0/1/1900,"",VLOOKUP(A116,'ECN-ECO_DATA'!B:V,21,FALSE))),"")</f>
        <v/>
      </c>
      <c r="Q116" s="10" t="str">
        <f t="shared" ca="1" si="5"/>
        <v/>
      </c>
      <c r="R116" s="4" t="str">
        <f t="shared" si="6"/>
        <v/>
      </c>
      <c r="S116" s="4" t="str">
        <f t="shared" si="7"/>
        <v/>
      </c>
      <c r="T116" s="4" t="str">
        <f t="shared" si="8"/>
        <v/>
      </c>
      <c r="U116" s="10" t="str">
        <f t="shared" si="9"/>
        <v/>
      </c>
      <c r="V116" s="4"/>
    </row>
    <row r="117" spans="2:22" x14ac:dyDescent="0.25">
      <c r="B117" s="4" t="str">
        <f>IFERROR(VLOOKUP(A117,'ECN-ECO_DATA'!B:G,4,FALSE),"")</f>
        <v/>
      </c>
      <c r="C117" s="9" t="str">
        <f>IFERROR(VLOOKUP(A117,'ECN-ECO_DATA'!B:G,5,FALSE),"")</f>
        <v/>
      </c>
      <c r="D117" s="9" t="str">
        <f ca="1">IFERROR((IF(VLOOKUP(A117,'ECN-ECO_DATA'!B:G,6,FALSE)=0/1/1900,TODAY(),VLOOKUP(A117,'ECN-ECO_DATA'!B:G,6,FALSE))),"")</f>
        <v/>
      </c>
      <c r="E117" s="9" t="str">
        <f>IFERROR((IF(VLOOKUP(A117,'ECN-ECO_DATA'!B:G,6,FALSE)=0/1/1900,"",VLOOKUP(A117,'ECN-ECO_DATA'!B:G,6,FALSE))),"")</f>
        <v/>
      </c>
      <c r="F117" s="9" t="str">
        <f>IFERROR((IF(VLOOKUP(A117,'ECN-ECO_DATA'!B:J,7,FALSE)=0/1/1900,"",VLOOKUP(A117,'ECN-ECO_DATA'!B:J,7,FALSE))),"")</f>
        <v/>
      </c>
      <c r="G117" s="9" t="str">
        <f>IFERROR((IF(VLOOKUP(A117,'ECN-ECO_DATA'!B:J,8,FALSE)=0/1/1900,"",VLOOKUP(A117,'ECN-ECO_DATA'!B:J,8,FALSE))),"")</f>
        <v/>
      </c>
      <c r="H117" s="9" t="str">
        <f>IFERROR((IF(VLOOKUP(A117,'ECN-ECO_DATA'!B:J,9,FALSE)=0/1/1900,"",VLOOKUP(A117,'ECN-ECO_DATA'!B:J,9,FALSE))),"")</f>
        <v/>
      </c>
      <c r="I117" s="10" t="str">
        <f>IFERROR((IF(VLOOKUP(A117,'ECN-ECO_DATA'!B:Q,13,FALSE)="","",VLOOKUP(A117,'ECN-ECO_DATA'!B:Q,13,FALSE))),"")</f>
        <v/>
      </c>
      <c r="J117" s="10" t="str">
        <f>IFERROR((IF(VLOOKUP(A117,'ECN-ECO_DATA'!B:Q,14,FALSE)="","",VLOOKUP(A117,'ECN-ECO_DATA'!B:Q,14,FALSE))),"")</f>
        <v/>
      </c>
      <c r="K117" s="10" t="str">
        <f>IFERROR((IF(VLOOKUP(A117,'ECN-ECO_DATA'!B:Q,15,FALSE)="","",VLOOKUP(A117,'ECN-ECO_DATA'!B:Q,15,FALSE))),"")</f>
        <v/>
      </c>
      <c r="L117" s="10" t="str">
        <f>IFERROR((IF(VLOOKUP(A117,'ECN-ECO_DATA'!B:Q,16,FALSE)="","",VLOOKUP(A117,'ECN-ECO_DATA'!B:Q,16,FALSE))),"")</f>
        <v/>
      </c>
      <c r="M117" s="9" t="str">
        <f>IFERROR((IF(VLOOKUP(A117,'ECN-ECO_DATA'!B:V,18,FALSE)=0/1/1900,"",VLOOKUP(A117,'ECN-ECO_DATA'!B:V,18,FALSE))),"")</f>
        <v/>
      </c>
      <c r="N117" s="9" t="str">
        <f>IFERROR((IF(VLOOKUP(A117,'ECN-ECO_DATA'!B:V,19,FALSE)=0/1/1900,"",VLOOKUP(A117,'ECN-ECO_DATA'!B:V,19,FALSE))),"")</f>
        <v/>
      </c>
      <c r="O117" s="9" t="str">
        <f>IFERROR((IF(VLOOKUP(A117,'ECN-ECO_DATA'!B:V,20,FALSE)=0/1/1900,"",VLOOKUP(A117,'ECN-ECO_DATA'!B:V,20,FALSE))),"")</f>
        <v/>
      </c>
      <c r="P117" s="9" t="str">
        <f>IFERROR((IF(VLOOKUP(A117,'ECN-ECO_DATA'!B:V,21,FALSE)=0/1/1900,"",VLOOKUP(A117,'ECN-ECO_DATA'!B:V,21,FALSE))),"")</f>
        <v/>
      </c>
      <c r="Q117" s="10" t="str">
        <f t="shared" ca="1" si="5"/>
        <v/>
      </c>
      <c r="R117" s="4" t="str">
        <f t="shared" si="6"/>
        <v/>
      </c>
      <c r="S117" s="4" t="str">
        <f t="shared" si="7"/>
        <v/>
      </c>
      <c r="T117" s="4" t="str">
        <f t="shared" si="8"/>
        <v/>
      </c>
      <c r="U117" s="10" t="str">
        <f t="shared" si="9"/>
        <v/>
      </c>
      <c r="V117" s="4"/>
    </row>
    <row r="118" spans="2:22" x14ac:dyDescent="0.25">
      <c r="B118" s="4" t="str">
        <f>IFERROR(VLOOKUP(A118,'ECN-ECO_DATA'!B:G,4,FALSE),"")</f>
        <v/>
      </c>
      <c r="C118" s="9" t="str">
        <f>IFERROR(VLOOKUP(A118,'ECN-ECO_DATA'!B:G,5,FALSE),"")</f>
        <v/>
      </c>
      <c r="D118" s="9" t="str">
        <f ca="1">IFERROR((IF(VLOOKUP(A118,'ECN-ECO_DATA'!B:G,6,FALSE)=0/1/1900,TODAY(),VLOOKUP(A118,'ECN-ECO_DATA'!B:G,6,FALSE))),"")</f>
        <v/>
      </c>
      <c r="E118" s="9" t="str">
        <f>IFERROR((IF(VLOOKUP(A118,'ECN-ECO_DATA'!B:G,6,FALSE)=0/1/1900,"",VLOOKUP(A118,'ECN-ECO_DATA'!B:G,6,FALSE))),"")</f>
        <v/>
      </c>
      <c r="F118" s="9" t="str">
        <f>IFERROR((IF(VLOOKUP(A118,'ECN-ECO_DATA'!B:J,7,FALSE)=0/1/1900,"",VLOOKUP(A118,'ECN-ECO_DATA'!B:J,7,FALSE))),"")</f>
        <v/>
      </c>
      <c r="G118" s="9" t="str">
        <f>IFERROR((IF(VLOOKUP(A118,'ECN-ECO_DATA'!B:J,8,FALSE)=0/1/1900,"",VLOOKUP(A118,'ECN-ECO_DATA'!B:J,8,FALSE))),"")</f>
        <v/>
      </c>
      <c r="H118" s="9" t="str">
        <f>IFERROR((IF(VLOOKUP(A118,'ECN-ECO_DATA'!B:J,9,FALSE)=0/1/1900,"",VLOOKUP(A118,'ECN-ECO_DATA'!B:J,9,FALSE))),"")</f>
        <v/>
      </c>
      <c r="I118" s="10" t="str">
        <f>IFERROR((IF(VLOOKUP(A118,'ECN-ECO_DATA'!B:Q,13,FALSE)="","",VLOOKUP(A118,'ECN-ECO_DATA'!B:Q,13,FALSE))),"")</f>
        <v/>
      </c>
      <c r="J118" s="10" t="str">
        <f>IFERROR((IF(VLOOKUP(A118,'ECN-ECO_DATA'!B:Q,14,FALSE)="","",VLOOKUP(A118,'ECN-ECO_DATA'!B:Q,14,FALSE))),"")</f>
        <v/>
      </c>
      <c r="K118" s="10" t="str">
        <f>IFERROR((IF(VLOOKUP(A118,'ECN-ECO_DATA'!B:Q,15,FALSE)="","",VLOOKUP(A118,'ECN-ECO_DATA'!B:Q,15,FALSE))),"")</f>
        <v/>
      </c>
      <c r="L118" s="10" t="str">
        <f>IFERROR((IF(VLOOKUP(A118,'ECN-ECO_DATA'!B:Q,16,FALSE)="","",VLOOKUP(A118,'ECN-ECO_DATA'!B:Q,16,FALSE))),"")</f>
        <v/>
      </c>
      <c r="M118" s="9" t="str">
        <f>IFERROR((IF(VLOOKUP(A118,'ECN-ECO_DATA'!B:V,18,FALSE)=0/1/1900,"",VLOOKUP(A118,'ECN-ECO_DATA'!B:V,18,FALSE))),"")</f>
        <v/>
      </c>
      <c r="N118" s="9" t="str">
        <f>IFERROR((IF(VLOOKUP(A118,'ECN-ECO_DATA'!B:V,19,FALSE)=0/1/1900,"",VLOOKUP(A118,'ECN-ECO_DATA'!B:V,19,FALSE))),"")</f>
        <v/>
      </c>
      <c r="O118" s="9" t="str">
        <f>IFERROR((IF(VLOOKUP(A118,'ECN-ECO_DATA'!B:V,20,FALSE)=0/1/1900,"",VLOOKUP(A118,'ECN-ECO_DATA'!B:V,20,FALSE))),"")</f>
        <v/>
      </c>
      <c r="P118" s="9" t="str">
        <f>IFERROR((IF(VLOOKUP(A118,'ECN-ECO_DATA'!B:V,21,FALSE)=0/1/1900,"",VLOOKUP(A118,'ECN-ECO_DATA'!B:V,21,FALSE))),"")</f>
        <v/>
      </c>
      <c r="Q118" s="10" t="str">
        <f t="shared" ca="1" si="5"/>
        <v/>
      </c>
      <c r="R118" s="4" t="str">
        <f t="shared" si="6"/>
        <v/>
      </c>
      <c r="S118" s="4" t="str">
        <f t="shared" si="7"/>
        <v/>
      </c>
      <c r="T118" s="4" t="str">
        <f t="shared" si="8"/>
        <v/>
      </c>
      <c r="U118" s="10" t="str">
        <f t="shared" si="9"/>
        <v/>
      </c>
      <c r="V118" s="4"/>
    </row>
    <row r="119" spans="2:22" x14ac:dyDescent="0.25">
      <c r="B119" s="4" t="str">
        <f>IFERROR(VLOOKUP(A119,'ECN-ECO_DATA'!B:G,4,FALSE),"")</f>
        <v/>
      </c>
      <c r="C119" s="9" t="str">
        <f>IFERROR(VLOOKUP(A119,'ECN-ECO_DATA'!B:G,5,FALSE),"")</f>
        <v/>
      </c>
      <c r="D119" s="9" t="str">
        <f ca="1">IFERROR((IF(VLOOKUP(A119,'ECN-ECO_DATA'!B:G,6,FALSE)=0/1/1900,TODAY(),VLOOKUP(A119,'ECN-ECO_DATA'!B:G,6,FALSE))),"")</f>
        <v/>
      </c>
      <c r="E119" s="9" t="str">
        <f>IFERROR((IF(VLOOKUP(A119,'ECN-ECO_DATA'!B:G,6,FALSE)=0/1/1900,"",VLOOKUP(A119,'ECN-ECO_DATA'!B:G,6,FALSE))),"")</f>
        <v/>
      </c>
      <c r="F119" s="9" t="str">
        <f>IFERROR((IF(VLOOKUP(A119,'ECN-ECO_DATA'!B:J,7,FALSE)=0/1/1900,"",VLOOKUP(A119,'ECN-ECO_DATA'!B:J,7,FALSE))),"")</f>
        <v/>
      </c>
      <c r="G119" s="9" t="str">
        <f>IFERROR((IF(VLOOKUP(A119,'ECN-ECO_DATA'!B:J,8,FALSE)=0/1/1900,"",VLOOKUP(A119,'ECN-ECO_DATA'!B:J,8,FALSE))),"")</f>
        <v/>
      </c>
      <c r="H119" s="9" t="str">
        <f>IFERROR((IF(VLOOKUP(A119,'ECN-ECO_DATA'!B:J,9,FALSE)=0/1/1900,"",VLOOKUP(A119,'ECN-ECO_DATA'!B:J,9,FALSE))),"")</f>
        <v/>
      </c>
      <c r="I119" s="10" t="str">
        <f>IFERROR((IF(VLOOKUP(A119,'ECN-ECO_DATA'!B:Q,13,FALSE)="","",VLOOKUP(A119,'ECN-ECO_DATA'!B:Q,13,FALSE))),"")</f>
        <v/>
      </c>
      <c r="J119" s="10" t="str">
        <f>IFERROR((IF(VLOOKUP(A119,'ECN-ECO_DATA'!B:Q,14,FALSE)="","",VLOOKUP(A119,'ECN-ECO_DATA'!B:Q,14,FALSE))),"")</f>
        <v/>
      </c>
      <c r="K119" s="10" t="str">
        <f>IFERROR((IF(VLOOKUP(A119,'ECN-ECO_DATA'!B:Q,15,FALSE)="","",VLOOKUP(A119,'ECN-ECO_DATA'!B:Q,15,FALSE))),"")</f>
        <v/>
      </c>
      <c r="L119" s="10" t="str">
        <f>IFERROR((IF(VLOOKUP(A119,'ECN-ECO_DATA'!B:Q,16,FALSE)="","",VLOOKUP(A119,'ECN-ECO_DATA'!B:Q,16,FALSE))),"")</f>
        <v/>
      </c>
      <c r="M119" s="9" t="str">
        <f>IFERROR((IF(VLOOKUP(A119,'ECN-ECO_DATA'!B:V,18,FALSE)=0/1/1900,"",VLOOKUP(A119,'ECN-ECO_DATA'!B:V,18,FALSE))),"")</f>
        <v/>
      </c>
      <c r="N119" s="9" t="str">
        <f>IFERROR((IF(VLOOKUP(A119,'ECN-ECO_DATA'!B:V,19,FALSE)=0/1/1900,"",VLOOKUP(A119,'ECN-ECO_DATA'!B:V,19,FALSE))),"")</f>
        <v/>
      </c>
      <c r="O119" s="9" t="str">
        <f>IFERROR((IF(VLOOKUP(A119,'ECN-ECO_DATA'!B:V,20,FALSE)=0/1/1900,"",VLOOKUP(A119,'ECN-ECO_DATA'!B:V,20,FALSE))),"")</f>
        <v/>
      </c>
      <c r="P119" s="9" t="str">
        <f>IFERROR((IF(VLOOKUP(A119,'ECN-ECO_DATA'!B:V,21,FALSE)=0/1/1900,"",VLOOKUP(A119,'ECN-ECO_DATA'!B:V,21,FALSE))),"")</f>
        <v/>
      </c>
      <c r="Q119" s="10" t="str">
        <f t="shared" ca="1" si="5"/>
        <v/>
      </c>
      <c r="R119" s="4" t="str">
        <f t="shared" si="6"/>
        <v/>
      </c>
      <c r="S119" s="4" t="str">
        <f t="shared" si="7"/>
        <v/>
      </c>
      <c r="T119" s="4" t="str">
        <f t="shared" si="8"/>
        <v/>
      </c>
      <c r="U119" s="10" t="str">
        <f t="shared" si="9"/>
        <v/>
      </c>
      <c r="V119" s="4"/>
    </row>
    <row r="120" spans="2:22" x14ac:dyDescent="0.25">
      <c r="B120" s="4" t="str">
        <f>IFERROR(VLOOKUP(A120,'ECN-ECO_DATA'!B:G,4,FALSE),"")</f>
        <v/>
      </c>
      <c r="C120" s="9" t="str">
        <f>IFERROR(VLOOKUP(A120,'ECN-ECO_DATA'!B:G,5,FALSE),"")</f>
        <v/>
      </c>
      <c r="D120" s="9" t="str">
        <f ca="1">IFERROR((IF(VLOOKUP(A120,'ECN-ECO_DATA'!B:G,6,FALSE)=0/1/1900,TODAY(),VLOOKUP(A120,'ECN-ECO_DATA'!B:G,6,FALSE))),"")</f>
        <v/>
      </c>
      <c r="E120" s="9" t="str">
        <f>IFERROR((IF(VLOOKUP(A120,'ECN-ECO_DATA'!B:G,6,FALSE)=0/1/1900,"",VLOOKUP(A120,'ECN-ECO_DATA'!B:G,6,FALSE))),"")</f>
        <v/>
      </c>
      <c r="F120" s="9" t="str">
        <f>IFERROR((IF(VLOOKUP(A120,'ECN-ECO_DATA'!B:J,7,FALSE)=0/1/1900,"",VLOOKUP(A120,'ECN-ECO_DATA'!B:J,7,FALSE))),"")</f>
        <v/>
      </c>
      <c r="G120" s="9" t="str">
        <f>IFERROR((IF(VLOOKUP(A120,'ECN-ECO_DATA'!B:J,8,FALSE)=0/1/1900,"",VLOOKUP(A120,'ECN-ECO_DATA'!B:J,8,FALSE))),"")</f>
        <v/>
      </c>
      <c r="H120" s="9" t="str">
        <f>IFERROR((IF(VLOOKUP(A120,'ECN-ECO_DATA'!B:J,9,FALSE)=0/1/1900,"",VLOOKUP(A120,'ECN-ECO_DATA'!B:J,9,FALSE))),"")</f>
        <v/>
      </c>
      <c r="I120" s="10" t="str">
        <f>IFERROR((IF(VLOOKUP(A120,'ECN-ECO_DATA'!B:Q,13,FALSE)="","",VLOOKUP(A120,'ECN-ECO_DATA'!B:Q,13,FALSE))),"")</f>
        <v/>
      </c>
      <c r="J120" s="10" t="str">
        <f>IFERROR((IF(VLOOKUP(A120,'ECN-ECO_DATA'!B:Q,14,FALSE)="","",VLOOKUP(A120,'ECN-ECO_DATA'!B:Q,14,FALSE))),"")</f>
        <v/>
      </c>
      <c r="K120" s="10" t="str">
        <f>IFERROR((IF(VLOOKUP(A120,'ECN-ECO_DATA'!B:Q,15,FALSE)="","",VLOOKUP(A120,'ECN-ECO_DATA'!B:Q,15,FALSE))),"")</f>
        <v/>
      </c>
      <c r="L120" s="10" t="str">
        <f>IFERROR((IF(VLOOKUP(A120,'ECN-ECO_DATA'!B:Q,16,FALSE)="","",VLOOKUP(A120,'ECN-ECO_DATA'!B:Q,16,FALSE))),"")</f>
        <v/>
      </c>
      <c r="M120" s="9" t="str">
        <f>IFERROR((IF(VLOOKUP(A120,'ECN-ECO_DATA'!B:V,18,FALSE)=0/1/1900,"",VLOOKUP(A120,'ECN-ECO_DATA'!B:V,18,FALSE))),"")</f>
        <v/>
      </c>
      <c r="N120" s="9" t="str">
        <f>IFERROR((IF(VLOOKUP(A120,'ECN-ECO_DATA'!B:V,19,FALSE)=0/1/1900,"",VLOOKUP(A120,'ECN-ECO_DATA'!B:V,19,FALSE))),"")</f>
        <v/>
      </c>
      <c r="O120" s="9" t="str">
        <f>IFERROR((IF(VLOOKUP(A120,'ECN-ECO_DATA'!B:V,20,FALSE)=0/1/1900,"",VLOOKUP(A120,'ECN-ECO_DATA'!B:V,20,FALSE))),"")</f>
        <v/>
      </c>
      <c r="P120" s="9" t="str">
        <f>IFERROR((IF(VLOOKUP(A120,'ECN-ECO_DATA'!B:V,21,FALSE)=0/1/1900,"",VLOOKUP(A120,'ECN-ECO_DATA'!B:V,21,FALSE))),"")</f>
        <v/>
      </c>
      <c r="Q120" s="10" t="str">
        <f t="shared" ca="1" si="5"/>
        <v/>
      </c>
      <c r="R120" s="4" t="str">
        <f t="shared" si="6"/>
        <v/>
      </c>
      <c r="S120" s="4" t="str">
        <f t="shared" si="7"/>
        <v/>
      </c>
      <c r="T120" s="4" t="str">
        <f t="shared" si="8"/>
        <v/>
      </c>
      <c r="U120" s="10" t="str">
        <f t="shared" si="9"/>
        <v/>
      </c>
      <c r="V120" s="4"/>
    </row>
    <row r="121" spans="2:22" x14ac:dyDescent="0.25">
      <c r="B121" s="4" t="str">
        <f>IFERROR(VLOOKUP(A121,'ECN-ECO_DATA'!B:G,4,FALSE),"")</f>
        <v/>
      </c>
      <c r="C121" s="9" t="str">
        <f>IFERROR(VLOOKUP(A121,'ECN-ECO_DATA'!B:G,5,FALSE),"")</f>
        <v/>
      </c>
      <c r="D121" s="9" t="str">
        <f ca="1">IFERROR((IF(VLOOKUP(A121,'ECN-ECO_DATA'!B:G,6,FALSE)=0/1/1900,TODAY(),VLOOKUP(A121,'ECN-ECO_DATA'!B:G,6,FALSE))),"")</f>
        <v/>
      </c>
      <c r="E121" s="9" t="str">
        <f>IFERROR((IF(VLOOKUP(A121,'ECN-ECO_DATA'!B:G,6,FALSE)=0/1/1900,"",VLOOKUP(A121,'ECN-ECO_DATA'!B:G,6,FALSE))),"")</f>
        <v/>
      </c>
      <c r="F121" s="9" t="str">
        <f>IFERROR((IF(VLOOKUP(A121,'ECN-ECO_DATA'!B:J,7,FALSE)=0/1/1900,"",VLOOKUP(A121,'ECN-ECO_DATA'!B:J,7,FALSE))),"")</f>
        <v/>
      </c>
      <c r="G121" s="9" t="str">
        <f>IFERROR((IF(VLOOKUP(A121,'ECN-ECO_DATA'!B:J,8,FALSE)=0/1/1900,"",VLOOKUP(A121,'ECN-ECO_DATA'!B:J,8,FALSE))),"")</f>
        <v/>
      </c>
      <c r="H121" s="9" t="str">
        <f>IFERROR((IF(VLOOKUP(A121,'ECN-ECO_DATA'!B:J,9,FALSE)=0/1/1900,"",VLOOKUP(A121,'ECN-ECO_DATA'!B:J,9,FALSE))),"")</f>
        <v/>
      </c>
      <c r="I121" s="10" t="str">
        <f>IFERROR((IF(VLOOKUP(A121,'ECN-ECO_DATA'!B:Q,13,FALSE)="","",VLOOKUP(A121,'ECN-ECO_DATA'!B:Q,13,FALSE))),"")</f>
        <v/>
      </c>
      <c r="J121" s="10" t="str">
        <f>IFERROR((IF(VLOOKUP(A121,'ECN-ECO_DATA'!B:Q,14,FALSE)="","",VLOOKUP(A121,'ECN-ECO_DATA'!B:Q,14,FALSE))),"")</f>
        <v/>
      </c>
      <c r="K121" s="10" t="str">
        <f>IFERROR((IF(VLOOKUP(A121,'ECN-ECO_DATA'!B:Q,15,FALSE)="","",VLOOKUP(A121,'ECN-ECO_DATA'!B:Q,15,FALSE))),"")</f>
        <v/>
      </c>
      <c r="L121" s="10" t="str">
        <f>IFERROR((IF(VLOOKUP(A121,'ECN-ECO_DATA'!B:Q,16,FALSE)="","",VLOOKUP(A121,'ECN-ECO_DATA'!B:Q,16,FALSE))),"")</f>
        <v/>
      </c>
      <c r="M121" s="9" t="str">
        <f>IFERROR((IF(VLOOKUP(A121,'ECN-ECO_DATA'!B:V,18,FALSE)=0/1/1900,"",VLOOKUP(A121,'ECN-ECO_DATA'!B:V,18,FALSE))),"")</f>
        <v/>
      </c>
      <c r="N121" s="9" t="str">
        <f>IFERROR((IF(VLOOKUP(A121,'ECN-ECO_DATA'!B:V,19,FALSE)=0/1/1900,"",VLOOKUP(A121,'ECN-ECO_DATA'!B:V,19,FALSE))),"")</f>
        <v/>
      </c>
      <c r="O121" s="9" t="str">
        <f>IFERROR((IF(VLOOKUP(A121,'ECN-ECO_DATA'!B:V,20,FALSE)=0/1/1900,"",VLOOKUP(A121,'ECN-ECO_DATA'!B:V,20,FALSE))),"")</f>
        <v/>
      </c>
      <c r="P121" s="9" t="str">
        <f>IFERROR((IF(VLOOKUP(A121,'ECN-ECO_DATA'!B:V,21,FALSE)=0/1/1900,"",VLOOKUP(A121,'ECN-ECO_DATA'!B:V,21,FALSE))),"")</f>
        <v/>
      </c>
      <c r="Q121" s="10" t="str">
        <f t="shared" ca="1" si="5"/>
        <v/>
      </c>
      <c r="R121" s="4" t="str">
        <f t="shared" si="6"/>
        <v/>
      </c>
      <c r="S121" s="4" t="str">
        <f t="shared" si="7"/>
        <v/>
      </c>
      <c r="T121" s="4" t="str">
        <f t="shared" si="8"/>
        <v/>
      </c>
      <c r="U121" s="10" t="str">
        <f t="shared" si="9"/>
        <v/>
      </c>
      <c r="V121" s="4"/>
    </row>
    <row r="122" spans="2:22" x14ac:dyDescent="0.25">
      <c r="B122" s="4" t="str">
        <f>IFERROR(VLOOKUP(A122,'ECN-ECO_DATA'!B:G,4,FALSE),"")</f>
        <v/>
      </c>
      <c r="C122" s="9" t="str">
        <f>IFERROR(VLOOKUP(A122,'ECN-ECO_DATA'!B:G,5,FALSE),"")</f>
        <v/>
      </c>
      <c r="D122" s="9" t="str">
        <f ca="1">IFERROR((IF(VLOOKUP(A122,'ECN-ECO_DATA'!B:G,6,FALSE)=0/1/1900,TODAY(),VLOOKUP(A122,'ECN-ECO_DATA'!B:G,6,FALSE))),"")</f>
        <v/>
      </c>
      <c r="E122" s="9" t="str">
        <f>IFERROR((IF(VLOOKUP(A122,'ECN-ECO_DATA'!B:G,6,FALSE)=0/1/1900,"",VLOOKUP(A122,'ECN-ECO_DATA'!B:G,6,FALSE))),"")</f>
        <v/>
      </c>
      <c r="F122" s="9" t="str">
        <f>IFERROR((IF(VLOOKUP(A122,'ECN-ECO_DATA'!B:J,7,FALSE)=0/1/1900,"",VLOOKUP(A122,'ECN-ECO_DATA'!B:J,7,FALSE))),"")</f>
        <v/>
      </c>
      <c r="G122" s="9" t="str">
        <f>IFERROR((IF(VLOOKUP(A122,'ECN-ECO_DATA'!B:J,8,FALSE)=0/1/1900,"",VLOOKUP(A122,'ECN-ECO_DATA'!B:J,8,FALSE))),"")</f>
        <v/>
      </c>
      <c r="H122" s="9" t="str">
        <f>IFERROR((IF(VLOOKUP(A122,'ECN-ECO_DATA'!B:J,9,FALSE)=0/1/1900,"",VLOOKUP(A122,'ECN-ECO_DATA'!B:J,9,FALSE))),"")</f>
        <v/>
      </c>
      <c r="I122" s="10" t="str">
        <f>IFERROR((IF(VLOOKUP(A122,'ECN-ECO_DATA'!B:Q,13,FALSE)="","",VLOOKUP(A122,'ECN-ECO_DATA'!B:Q,13,FALSE))),"")</f>
        <v/>
      </c>
      <c r="J122" s="10" t="str">
        <f>IFERROR((IF(VLOOKUP(A122,'ECN-ECO_DATA'!B:Q,14,FALSE)="","",VLOOKUP(A122,'ECN-ECO_DATA'!B:Q,14,FALSE))),"")</f>
        <v/>
      </c>
      <c r="K122" s="10" t="str">
        <f>IFERROR((IF(VLOOKUP(A122,'ECN-ECO_DATA'!B:Q,15,FALSE)="","",VLOOKUP(A122,'ECN-ECO_DATA'!B:Q,15,FALSE))),"")</f>
        <v/>
      </c>
      <c r="L122" s="10" t="str">
        <f>IFERROR((IF(VLOOKUP(A122,'ECN-ECO_DATA'!B:Q,16,FALSE)="","",VLOOKUP(A122,'ECN-ECO_DATA'!B:Q,16,FALSE))),"")</f>
        <v/>
      </c>
      <c r="M122" s="9" t="str">
        <f>IFERROR((IF(VLOOKUP(A122,'ECN-ECO_DATA'!B:V,18,FALSE)=0/1/1900,"",VLOOKUP(A122,'ECN-ECO_DATA'!B:V,18,FALSE))),"")</f>
        <v/>
      </c>
      <c r="N122" s="9" t="str">
        <f>IFERROR((IF(VLOOKUP(A122,'ECN-ECO_DATA'!B:V,19,FALSE)=0/1/1900,"",VLOOKUP(A122,'ECN-ECO_DATA'!B:V,19,FALSE))),"")</f>
        <v/>
      </c>
      <c r="O122" s="9" t="str">
        <f>IFERROR((IF(VLOOKUP(A122,'ECN-ECO_DATA'!B:V,20,FALSE)=0/1/1900,"",VLOOKUP(A122,'ECN-ECO_DATA'!B:V,20,FALSE))),"")</f>
        <v/>
      </c>
      <c r="P122" s="9" t="str">
        <f>IFERROR((IF(VLOOKUP(A122,'ECN-ECO_DATA'!B:V,21,FALSE)=0/1/1900,"",VLOOKUP(A122,'ECN-ECO_DATA'!B:V,21,FALSE))),"")</f>
        <v/>
      </c>
      <c r="Q122" s="10" t="str">
        <f t="shared" ca="1" si="5"/>
        <v/>
      </c>
      <c r="R122" s="4" t="str">
        <f t="shared" si="6"/>
        <v/>
      </c>
      <c r="S122" s="4" t="str">
        <f t="shared" si="7"/>
        <v/>
      </c>
      <c r="T122" s="4" t="str">
        <f t="shared" si="8"/>
        <v/>
      </c>
      <c r="U122" s="10" t="str">
        <f t="shared" si="9"/>
        <v/>
      </c>
      <c r="V122" s="4"/>
    </row>
    <row r="123" spans="2:22" x14ac:dyDescent="0.25">
      <c r="B123" s="4" t="str">
        <f>IFERROR(VLOOKUP(A123,'ECN-ECO_DATA'!B:G,4,FALSE),"")</f>
        <v/>
      </c>
      <c r="C123" s="9" t="str">
        <f>IFERROR(VLOOKUP(A123,'ECN-ECO_DATA'!B:G,5,FALSE),"")</f>
        <v/>
      </c>
      <c r="D123" s="9" t="str">
        <f ca="1">IFERROR((IF(VLOOKUP(A123,'ECN-ECO_DATA'!B:G,6,FALSE)=0/1/1900,TODAY(),VLOOKUP(A123,'ECN-ECO_DATA'!B:G,6,FALSE))),"")</f>
        <v/>
      </c>
      <c r="E123" s="9" t="str">
        <f>IFERROR((IF(VLOOKUP(A123,'ECN-ECO_DATA'!B:G,6,FALSE)=0/1/1900,"",VLOOKUP(A123,'ECN-ECO_DATA'!B:G,6,FALSE))),"")</f>
        <v/>
      </c>
      <c r="F123" s="9" t="str">
        <f>IFERROR((IF(VLOOKUP(A123,'ECN-ECO_DATA'!B:J,7,FALSE)=0/1/1900,"",VLOOKUP(A123,'ECN-ECO_DATA'!B:J,7,FALSE))),"")</f>
        <v/>
      </c>
      <c r="G123" s="9" t="str">
        <f>IFERROR((IF(VLOOKUP(A123,'ECN-ECO_DATA'!B:J,8,FALSE)=0/1/1900,"",VLOOKUP(A123,'ECN-ECO_DATA'!B:J,8,FALSE))),"")</f>
        <v/>
      </c>
      <c r="H123" s="9" t="str">
        <f>IFERROR((IF(VLOOKUP(A123,'ECN-ECO_DATA'!B:J,9,FALSE)=0/1/1900,"",VLOOKUP(A123,'ECN-ECO_DATA'!B:J,9,FALSE))),"")</f>
        <v/>
      </c>
      <c r="I123" s="10" t="str">
        <f>IFERROR((IF(VLOOKUP(A123,'ECN-ECO_DATA'!B:Q,13,FALSE)="","",VLOOKUP(A123,'ECN-ECO_DATA'!B:Q,13,FALSE))),"")</f>
        <v/>
      </c>
      <c r="J123" s="10" t="str">
        <f>IFERROR((IF(VLOOKUP(A123,'ECN-ECO_DATA'!B:Q,14,FALSE)="","",VLOOKUP(A123,'ECN-ECO_DATA'!B:Q,14,FALSE))),"")</f>
        <v/>
      </c>
      <c r="K123" s="10" t="str">
        <f>IFERROR((IF(VLOOKUP(A123,'ECN-ECO_DATA'!B:Q,15,FALSE)="","",VLOOKUP(A123,'ECN-ECO_DATA'!B:Q,15,FALSE))),"")</f>
        <v/>
      </c>
      <c r="L123" s="10" t="str">
        <f>IFERROR((IF(VLOOKUP(A123,'ECN-ECO_DATA'!B:Q,16,FALSE)="","",VLOOKUP(A123,'ECN-ECO_DATA'!B:Q,16,FALSE))),"")</f>
        <v/>
      </c>
      <c r="M123" s="9" t="str">
        <f>IFERROR((IF(VLOOKUP(A123,'ECN-ECO_DATA'!B:V,18,FALSE)=0/1/1900,"",VLOOKUP(A123,'ECN-ECO_DATA'!B:V,18,FALSE))),"")</f>
        <v/>
      </c>
      <c r="N123" s="9" t="str">
        <f>IFERROR((IF(VLOOKUP(A123,'ECN-ECO_DATA'!B:V,19,FALSE)=0/1/1900,"",VLOOKUP(A123,'ECN-ECO_DATA'!B:V,19,FALSE))),"")</f>
        <v/>
      </c>
      <c r="O123" s="9" t="str">
        <f>IFERROR((IF(VLOOKUP(A123,'ECN-ECO_DATA'!B:V,20,FALSE)=0/1/1900,"",VLOOKUP(A123,'ECN-ECO_DATA'!B:V,20,FALSE))),"")</f>
        <v/>
      </c>
      <c r="P123" s="9" t="str">
        <f>IFERROR((IF(VLOOKUP(A123,'ECN-ECO_DATA'!B:V,21,FALSE)=0/1/1900,"",VLOOKUP(A123,'ECN-ECO_DATA'!B:V,21,FALSE))),"")</f>
        <v/>
      </c>
      <c r="Q123" s="10" t="str">
        <f t="shared" ca="1" si="5"/>
        <v/>
      </c>
      <c r="R123" s="4" t="str">
        <f t="shared" si="6"/>
        <v/>
      </c>
      <c r="S123" s="4" t="str">
        <f t="shared" si="7"/>
        <v/>
      </c>
      <c r="T123" s="4" t="str">
        <f t="shared" si="8"/>
        <v/>
      </c>
      <c r="U123" s="10" t="str">
        <f t="shared" si="9"/>
        <v/>
      </c>
      <c r="V123" s="4"/>
    </row>
    <row r="124" spans="2:22" x14ac:dyDescent="0.25">
      <c r="B124" s="4" t="str">
        <f>IFERROR(VLOOKUP(A124,'ECN-ECO_DATA'!B:G,4,FALSE),"")</f>
        <v/>
      </c>
      <c r="C124" s="9" t="str">
        <f>IFERROR(VLOOKUP(A124,'ECN-ECO_DATA'!B:G,5,FALSE),"")</f>
        <v/>
      </c>
      <c r="D124" s="9" t="str">
        <f ca="1">IFERROR((IF(VLOOKUP(A124,'ECN-ECO_DATA'!B:G,6,FALSE)=0/1/1900,TODAY(),VLOOKUP(A124,'ECN-ECO_DATA'!B:G,6,FALSE))),"")</f>
        <v/>
      </c>
      <c r="E124" s="9" t="str">
        <f>IFERROR((IF(VLOOKUP(A124,'ECN-ECO_DATA'!B:G,6,FALSE)=0/1/1900,"",VLOOKUP(A124,'ECN-ECO_DATA'!B:G,6,FALSE))),"")</f>
        <v/>
      </c>
      <c r="F124" s="9" t="str">
        <f>IFERROR((IF(VLOOKUP(A124,'ECN-ECO_DATA'!B:J,7,FALSE)=0/1/1900,"",VLOOKUP(A124,'ECN-ECO_DATA'!B:J,7,FALSE))),"")</f>
        <v/>
      </c>
      <c r="G124" s="9" t="str">
        <f>IFERROR((IF(VLOOKUP(A124,'ECN-ECO_DATA'!B:J,8,FALSE)=0/1/1900,"",VLOOKUP(A124,'ECN-ECO_DATA'!B:J,8,FALSE))),"")</f>
        <v/>
      </c>
      <c r="H124" s="9" t="str">
        <f>IFERROR((IF(VLOOKUP(A124,'ECN-ECO_DATA'!B:J,9,FALSE)=0/1/1900,"",VLOOKUP(A124,'ECN-ECO_DATA'!B:J,9,FALSE))),"")</f>
        <v/>
      </c>
      <c r="I124" s="10" t="str">
        <f>IFERROR((IF(VLOOKUP(A124,'ECN-ECO_DATA'!B:Q,13,FALSE)="","",VLOOKUP(A124,'ECN-ECO_DATA'!B:Q,13,FALSE))),"")</f>
        <v/>
      </c>
      <c r="J124" s="10" t="str">
        <f>IFERROR((IF(VLOOKUP(A124,'ECN-ECO_DATA'!B:Q,14,FALSE)="","",VLOOKUP(A124,'ECN-ECO_DATA'!B:Q,14,FALSE))),"")</f>
        <v/>
      </c>
      <c r="K124" s="10" t="str">
        <f>IFERROR((IF(VLOOKUP(A124,'ECN-ECO_DATA'!B:Q,15,FALSE)="","",VLOOKUP(A124,'ECN-ECO_DATA'!B:Q,15,FALSE))),"")</f>
        <v/>
      </c>
      <c r="L124" s="10" t="str">
        <f>IFERROR((IF(VLOOKUP(A124,'ECN-ECO_DATA'!B:Q,16,FALSE)="","",VLOOKUP(A124,'ECN-ECO_DATA'!B:Q,16,FALSE))),"")</f>
        <v/>
      </c>
      <c r="M124" s="9" t="str">
        <f>IFERROR((IF(VLOOKUP(A124,'ECN-ECO_DATA'!B:V,18,FALSE)=0/1/1900,"",VLOOKUP(A124,'ECN-ECO_DATA'!B:V,18,FALSE))),"")</f>
        <v/>
      </c>
      <c r="N124" s="9" t="str">
        <f>IFERROR((IF(VLOOKUP(A124,'ECN-ECO_DATA'!B:V,19,FALSE)=0/1/1900,"",VLOOKUP(A124,'ECN-ECO_DATA'!B:V,19,FALSE))),"")</f>
        <v/>
      </c>
      <c r="O124" s="9" t="str">
        <f>IFERROR((IF(VLOOKUP(A124,'ECN-ECO_DATA'!B:V,20,FALSE)=0/1/1900,"",VLOOKUP(A124,'ECN-ECO_DATA'!B:V,20,FALSE))),"")</f>
        <v/>
      </c>
      <c r="P124" s="9" t="str">
        <f>IFERROR((IF(VLOOKUP(A124,'ECN-ECO_DATA'!B:V,21,FALSE)=0/1/1900,"",VLOOKUP(A124,'ECN-ECO_DATA'!B:V,21,FALSE))),"")</f>
        <v/>
      </c>
      <c r="Q124" s="10" t="str">
        <f t="shared" ca="1" si="5"/>
        <v/>
      </c>
      <c r="R124" s="4" t="str">
        <f t="shared" si="6"/>
        <v/>
      </c>
      <c r="S124" s="4" t="str">
        <f t="shared" si="7"/>
        <v/>
      </c>
      <c r="T124" s="4" t="str">
        <f t="shared" si="8"/>
        <v/>
      </c>
      <c r="U124" s="10" t="str">
        <f t="shared" si="9"/>
        <v/>
      </c>
      <c r="V124" s="4"/>
    </row>
    <row r="125" spans="2:22" x14ac:dyDescent="0.25">
      <c r="B125" s="4" t="str">
        <f>IFERROR(VLOOKUP(A125,'ECN-ECO_DATA'!B:G,4,FALSE),"")</f>
        <v/>
      </c>
      <c r="C125" s="9" t="str">
        <f>IFERROR(VLOOKUP(A125,'ECN-ECO_DATA'!B:G,5,FALSE),"")</f>
        <v/>
      </c>
      <c r="D125" s="9" t="str">
        <f ca="1">IFERROR((IF(VLOOKUP(A125,'ECN-ECO_DATA'!B:G,6,FALSE)=0/1/1900,TODAY(),VLOOKUP(A125,'ECN-ECO_DATA'!B:G,6,FALSE))),"")</f>
        <v/>
      </c>
      <c r="E125" s="9" t="str">
        <f>IFERROR((IF(VLOOKUP(A125,'ECN-ECO_DATA'!B:G,6,FALSE)=0/1/1900,"",VLOOKUP(A125,'ECN-ECO_DATA'!B:G,6,FALSE))),"")</f>
        <v/>
      </c>
      <c r="F125" s="9" t="str">
        <f>IFERROR((IF(VLOOKUP(A125,'ECN-ECO_DATA'!B:J,7,FALSE)=0/1/1900,"",VLOOKUP(A125,'ECN-ECO_DATA'!B:J,7,FALSE))),"")</f>
        <v/>
      </c>
      <c r="G125" s="9" t="str">
        <f>IFERROR((IF(VLOOKUP(A125,'ECN-ECO_DATA'!B:J,8,FALSE)=0/1/1900,"",VLOOKUP(A125,'ECN-ECO_DATA'!B:J,8,FALSE))),"")</f>
        <v/>
      </c>
      <c r="H125" s="9" t="str">
        <f>IFERROR((IF(VLOOKUP(A125,'ECN-ECO_DATA'!B:J,9,FALSE)=0/1/1900,"",VLOOKUP(A125,'ECN-ECO_DATA'!B:J,9,FALSE))),"")</f>
        <v/>
      </c>
      <c r="I125" s="10" t="str">
        <f>IFERROR((IF(VLOOKUP(A125,'ECN-ECO_DATA'!B:Q,13,FALSE)="","",VLOOKUP(A125,'ECN-ECO_DATA'!B:Q,13,FALSE))),"")</f>
        <v/>
      </c>
      <c r="J125" s="10" t="str">
        <f>IFERROR((IF(VLOOKUP(A125,'ECN-ECO_DATA'!B:Q,14,FALSE)="","",VLOOKUP(A125,'ECN-ECO_DATA'!B:Q,14,FALSE))),"")</f>
        <v/>
      </c>
      <c r="K125" s="10" t="str">
        <f>IFERROR((IF(VLOOKUP(A125,'ECN-ECO_DATA'!B:Q,15,FALSE)="","",VLOOKUP(A125,'ECN-ECO_DATA'!B:Q,15,FALSE))),"")</f>
        <v/>
      </c>
      <c r="L125" s="10" t="str">
        <f>IFERROR((IF(VLOOKUP(A125,'ECN-ECO_DATA'!B:Q,16,FALSE)="","",VLOOKUP(A125,'ECN-ECO_DATA'!B:Q,16,FALSE))),"")</f>
        <v/>
      </c>
      <c r="M125" s="9" t="str">
        <f>IFERROR((IF(VLOOKUP(A125,'ECN-ECO_DATA'!B:V,18,FALSE)=0/1/1900,"",VLOOKUP(A125,'ECN-ECO_DATA'!B:V,18,FALSE))),"")</f>
        <v/>
      </c>
      <c r="N125" s="9" t="str">
        <f>IFERROR((IF(VLOOKUP(A125,'ECN-ECO_DATA'!B:V,19,FALSE)=0/1/1900,"",VLOOKUP(A125,'ECN-ECO_DATA'!B:V,19,FALSE))),"")</f>
        <v/>
      </c>
      <c r="O125" s="9" t="str">
        <f>IFERROR((IF(VLOOKUP(A125,'ECN-ECO_DATA'!B:V,20,FALSE)=0/1/1900,"",VLOOKUP(A125,'ECN-ECO_DATA'!B:V,20,FALSE))),"")</f>
        <v/>
      </c>
      <c r="P125" s="9" t="str">
        <f>IFERROR((IF(VLOOKUP(A125,'ECN-ECO_DATA'!B:V,21,FALSE)=0/1/1900,"",VLOOKUP(A125,'ECN-ECO_DATA'!B:V,21,FALSE))),"")</f>
        <v/>
      </c>
      <c r="Q125" s="10" t="str">
        <f t="shared" ca="1" si="5"/>
        <v/>
      </c>
      <c r="R125" s="4" t="str">
        <f t="shared" si="6"/>
        <v/>
      </c>
      <c r="S125" s="4" t="str">
        <f t="shared" si="7"/>
        <v/>
      </c>
      <c r="T125" s="4" t="str">
        <f t="shared" si="8"/>
        <v/>
      </c>
      <c r="U125" s="10" t="str">
        <f t="shared" si="9"/>
        <v/>
      </c>
      <c r="V125" s="4"/>
    </row>
    <row r="126" spans="2:22" x14ac:dyDescent="0.25">
      <c r="B126" s="4" t="str">
        <f>IFERROR(VLOOKUP(A126,'ECN-ECO_DATA'!B:G,4,FALSE),"")</f>
        <v/>
      </c>
      <c r="C126" s="9" t="str">
        <f>IFERROR(VLOOKUP(A126,'ECN-ECO_DATA'!B:G,5,FALSE),"")</f>
        <v/>
      </c>
      <c r="D126" s="9" t="str">
        <f ca="1">IFERROR((IF(VLOOKUP(A126,'ECN-ECO_DATA'!B:G,6,FALSE)=0/1/1900,TODAY(),VLOOKUP(A126,'ECN-ECO_DATA'!B:G,6,FALSE))),"")</f>
        <v/>
      </c>
      <c r="E126" s="9" t="str">
        <f>IFERROR((IF(VLOOKUP(A126,'ECN-ECO_DATA'!B:G,6,FALSE)=0/1/1900,"",VLOOKUP(A126,'ECN-ECO_DATA'!B:G,6,FALSE))),"")</f>
        <v/>
      </c>
      <c r="F126" s="9" t="str">
        <f>IFERROR((IF(VLOOKUP(A126,'ECN-ECO_DATA'!B:J,7,FALSE)=0/1/1900,"",VLOOKUP(A126,'ECN-ECO_DATA'!B:J,7,FALSE))),"")</f>
        <v/>
      </c>
      <c r="G126" s="9" t="str">
        <f>IFERROR((IF(VLOOKUP(A126,'ECN-ECO_DATA'!B:J,8,FALSE)=0/1/1900,"",VLOOKUP(A126,'ECN-ECO_DATA'!B:J,8,FALSE))),"")</f>
        <v/>
      </c>
      <c r="H126" s="9" t="str">
        <f>IFERROR((IF(VLOOKUP(A126,'ECN-ECO_DATA'!B:J,9,FALSE)=0/1/1900,"",VLOOKUP(A126,'ECN-ECO_DATA'!B:J,9,FALSE))),"")</f>
        <v/>
      </c>
      <c r="I126" s="10" t="str">
        <f>IFERROR((IF(VLOOKUP(A126,'ECN-ECO_DATA'!B:Q,13,FALSE)="","",VLOOKUP(A126,'ECN-ECO_DATA'!B:Q,13,FALSE))),"")</f>
        <v/>
      </c>
      <c r="J126" s="10" t="str">
        <f>IFERROR((IF(VLOOKUP(A126,'ECN-ECO_DATA'!B:Q,14,FALSE)="","",VLOOKUP(A126,'ECN-ECO_DATA'!B:Q,14,FALSE))),"")</f>
        <v/>
      </c>
      <c r="K126" s="10" t="str">
        <f>IFERROR((IF(VLOOKUP(A126,'ECN-ECO_DATA'!B:Q,15,FALSE)="","",VLOOKUP(A126,'ECN-ECO_DATA'!B:Q,15,FALSE))),"")</f>
        <v/>
      </c>
      <c r="L126" s="10" t="str">
        <f>IFERROR((IF(VLOOKUP(A126,'ECN-ECO_DATA'!B:Q,16,FALSE)="","",VLOOKUP(A126,'ECN-ECO_DATA'!B:Q,16,FALSE))),"")</f>
        <v/>
      </c>
      <c r="M126" s="9" t="str">
        <f>IFERROR((IF(VLOOKUP(A126,'ECN-ECO_DATA'!B:V,18,FALSE)=0/1/1900,"",VLOOKUP(A126,'ECN-ECO_DATA'!B:V,18,FALSE))),"")</f>
        <v/>
      </c>
      <c r="N126" s="9" t="str">
        <f>IFERROR((IF(VLOOKUP(A126,'ECN-ECO_DATA'!B:V,19,FALSE)=0/1/1900,"",VLOOKUP(A126,'ECN-ECO_DATA'!B:V,19,FALSE))),"")</f>
        <v/>
      </c>
      <c r="O126" s="9" t="str">
        <f>IFERROR((IF(VLOOKUP(A126,'ECN-ECO_DATA'!B:V,20,FALSE)=0/1/1900,"",VLOOKUP(A126,'ECN-ECO_DATA'!B:V,20,FALSE))),"")</f>
        <v/>
      </c>
      <c r="P126" s="9" t="str">
        <f>IFERROR((IF(VLOOKUP(A126,'ECN-ECO_DATA'!B:V,21,FALSE)=0/1/1900,"",VLOOKUP(A126,'ECN-ECO_DATA'!B:V,21,FALSE))),"")</f>
        <v/>
      </c>
      <c r="Q126" s="10" t="str">
        <f t="shared" ca="1" si="5"/>
        <v/>
      </c>
      <c r="R126" s="4" t="str">
        <f t="shared" si="6"/>
        <v/>
      </c>
      <c r="S126" s="4" t="str">
        <f t="shared" si="7"/>
        <v/>
      </c>
      <c r="T126" s="4" t="str">
        <f t="shared" si="8"/>
        <v/>
      </c>
      <c r="U126" s="10" t="str">
        <f t="shared" si="9"/>
        <v/>
      </c>
      <c r="V126" s="4"/>
    </row>
    <row r="127" spans="2:22" x14ac:dyDescent="0.25">
      <c r="B127" s="4" t="str">
        <f>IFERROR(VLOOKUP(A127,'ECN-ECO_DATA'!B:G,4,FALSE),"")</f>
        <v/>
      </c>
      <c r="C127" s="9" t="str">
        <f>IFERROR(VLOOKUP(A127,'ECN-ECO_DATA'!B:G,5,FALSE),"")</f>
        <v/>
      </c>
      <c r="D127" s="9" t="str">
        <f ca="1">IFERROR((IF(VLOOKUP(A127,'ECN-ECO_DATA'!B:G,6,FALSE)=0/1/1900,TODAY(),VLOOKUP(A127,'ECN-ECO_DATA'!B:G,6,FALSE))),"")</f>
        <v/>
      </c>
      <c r="E127" s="9" t="str">
        <f>IFERROR((IF(VLOOKUP(A127,'ECN-ECO_DATA'!B:G,6,FALSE)=0/1/1900,"",VLOOKUP(A127,'ECN-ECO_DATA'!B:G,6,FALSE))),"")</f>
        <v/>
      </c>
      <c r="F127" s="9" t="str">
        <f>IFERROR((IF(VLOOKUP(A127,'ECN-ECO_DATA'!B:J,7,FALSE)=0/1/1900,"",VLOOKUP(A127,'ECN-ECO_DATA'!B:J,7,FALSE))),"")</f>
        <v/>
      </c>
      <c r="G127" s="9" t="str">
        <f>IFERROR((IF(VLOOKUP(A127,'ECN-ECO_DATA'!B:J,8,FALSE)=0/1/1900,"",VLOOKUP(A127,'ECN-ECO_DATA'!B:J,8,FALSE))),"")</f>
        <v/>
      </c>
      <c r="H127" s="9" t="str">
        <f>IFERROR((IF(VLOOKUP(A127,'ECN-ECO_DATA'!B:J,9,FALSE)=0/1/1900,"",VLOOKUP(A127,'ECN-ECO_DATA'!B:J,9,FALSE))),"")</f>
        <v/>
      </c>
      <c r="I127" s="10" t="str">
        <f>IFERROR((IF(VLOOKUP(A127,'ECN-ECO_DATA'!B:Q,13,FALSE)="","",VLOOKUP(A127,'ECN-ECO_DATA'!B:Q,13,FALSE))),"")</f>
        <v/>
      </c>
      <c r="J127" s="10" t="str">
        <f>IFERROR((IF(VLOOKUP(A127,'ECN-ECO_DATA'!B:Q,14,FALSE)="","",VLOOKUP(A127,'ECN-ECO_DATA'!B:Q,14,FALSE))),"")</f>
        <v/>
      </c>
      <c r="K127" s="10" t="str">
        <f>IFERROR((IF(VLOOKUP(A127,'ECN-ECO_DATA'!B:Q,15,FALSE)="","",VLOOKUP(A127,'ECN-ECO_DATA'!B:Q,15,FALSE))),"")</f>
        <v/>
      </c>
      <c r="L127" s="10" t="str">
        <f>IFERROR((IF(VLOOKUP(A127,'ECN-ECO_DATA'!B:Q,16,FALSE)="","",VLOOKUP(A127,'ECN-ECO_DATA'!B:Q,16,FALSE))),"")</f>
        <v/>
      </c>
      <c r="M127" s="9" t="str">
        <f>IFERROR((IF(VLOOKUP(A127,'ECN-ECO_DATA'!B:V,18,FALSE)=0/1/1900,"",VLOOKUP(A127,'ECN-ECO_DATA'!B:V,18,FALSE))),"")</f>
        <v/>
      </c>
      <c r="N127" s="9" t="str">
        <f>IFERROR((IF(VLOOKUP(A127,'ECN-ECO_DATA'!B:V,19,FALSE)=0/1/1900,"",VLOOKUP(A127,'ECN-ECO_DATA'!B:V,19,FALSE))),"")</f>
        <v/>
      </c>
      <c r="O127" s="9" t="str">
        <f>IFERROR((IF(VLOOKUP(A127,'ECN-ECO_DATA'!B:V,20,FALSE)=0/1/1900,"",VLOOKUP(A127,'ECN-ECO_DATA'!B:V,20,FALSE))),"")</f>
        <v/>
      </c>
      <c r="P127" s="9" t="str">
        <f>IFERROR((IF(VLOOKUP(A127,'ECN-ECO_DATA'!B:V,21,FALSE)=0/1/1900,"",VLOOKUP(A127,'ECN-ECO_DATA'!B:V,21,FALSE))),"")</f>
        <v/>
      </c>
      <c r="Q127" s="10" t="str">
        <f t="shared" ca="1" si="5"/>
        <v/>
      </c>
      <c r="R127" s="4" t="str">
        <f t="shared" si="6"/>
        <v/>
      </c>
      <c r="S127" s="4" t="str">
        <f t="shared" si="7"/>
        <v/>
      </c>
      <c r="T127" s="4" t="str">
        <f t="shared" si="8"/>
        <v/>
      </c>
      <c r="U127" s="10" t="str">
        <f t="shared" si="9"/>
        <v/>
      </c>
      <c r="V127" s="4"/>
    </row>
    <row r="128" spans="2:22" x14ac:dyDescent="0.25">
      <c r="B128" s="4" t="str">
        <f>IFERROR(VLOOKUP(A128,'ECN-ECO_DATA'!B:G,4,FALSE),"")</f>
        <v/>
      </c>
      <c r="C128" s="9" t="str">
        <f>IFERROR(VLOOKUP(A128,'ECN-ECO_DATA'!B:G,5,FALSE),"")</f>
        <v/>
      </c>
      <c r="D128" s="9" t="str">
        <f ca="1">IFERROR((IF(VLOOKUP(A128,'ECN-ECO_DATA'!B:G,6,FALSE)=0/1/1900,TODAY(),VLOOKUP(A128,'ECN-ECO_DATA'!B:G,6,FALSE))),"")</f>
        <v/>
      </c>
      <c r="E128" s="9" t="str">
        <f>IFERROR((IF(VLOOKUP(A128,'ECN-ECO_DATA'!B:G,6,FALSE)=0/1/1900,"",VLOOKUP(A128,'ECN-ECO_DATA'!B:G,6,FALSE))),"")</f>
        <v/>
      </c>
      <c r="F128" s="9" t="str">
        <f>IFERROR((IF(VLOOKUP(A128,'ECN-ECO_DATA'!B:J,7,FALSE)=0/1/1900,"",VLOOKUP(A128,'ECN-ECO_DATA'!B:J,7,FALSE))),"")</f>
        <v/>
      </c>
      <c r="G128" s="9" t="str">
        <f>IFERROR((IF(VLOOKUP(A128,'ECN-ECO_DATA'!B:J,8,FALSE)=0/1/1900,"",VLOOKUP(A128,'ECN-ECO_DATA'!B:J,8,FALSE))),"")</f>
        <v/>
      </c>
      <c r="H128" s="9" t="str">
        <f>IFERROR((IF(VLOOKUP(A128,'ECN-ECO_DATA'!B:J,9,FALSE)=0/1/1900,"",VLOOKUP(A128,'ECN-ECO_DATA'!B:J,9,FALSE))),"")</f>
        <v/>
      </c>
      <c r="I128" s="10" t="str">
        <f>IFERROR((IF(VLOOKUP(A128,'ECN-ECO_DATA'!B:Q,13,FALSE)="","",VLOOKUP(A128,'ECN-ECO_DATA'!B:Q,13,FALSE))),"")</f>
        <v/>
      </c>
      <c r="J128" s="10" t="str">
        <f>IFERROR((IF(VLOOKUP(A128,'ECN-ECO_DATA'!B:Q,14,FALSE)="","",VLOOKUP(A128,'ECN-ECO_DATA'!B:Q,14,FALSE))),"")</f>
        <v/>
      </c>
      <c r="K128" s="10" t="str">
        <f>IFERROR((IF(VLOOKUP(A128,'ECN-ECO_DATA'!B:Q,15,FALSE)="","",VLOOKUP(A128,'ECN-ECO_DATA'!B:Q,15,FALSE))),"")</f>
        <v/>
      </c>
      <c r="L128" s="10" t="str">
        <f>IFERROR((IF(VLOOKUP(A128,'ECN-ECO_DATA'!B:Q,16,FALSE)="","",VLOOKUP(A128,'ECN-ECO_DATA'!B:Q,16,FALSE))),"")</f>
        <v/>
      </c>
      <c r="M128" s="9" t="str">
        <f>IFERROR((IF(VLOOKUP(A128,'ECN-ECO_DATA'!B:V,18,FALSE)=0/1/1900,"",VLOOKUP(A128,'ECN-ECO_DATA'!B:V,18,FALSE))),"")</f>
        <v/>
      </c>
      <c r="N128" s="9" t="str">
        <f>IFERROR((IF(VLOOKUP(A128,'ECN-ECO_DATA'!B:V,19,FALSE)=0/1/1900,"",VLOOKUP(A128,'ECN-ECO_DATA'!B:V,19,FALSE))),"")</f>
        <v/>
      </c>
      <c r="O128" s="9" t="str">
        <f>IFERROR((IF(VLOOKUP(A128,'ECN-ECO_DATA'!B:V,20,FALSE)=0/1/1900,"",VLOOKUP(A128,'ECN-ECO_DATA'!B:V,20,FALSE))),"")</f>
        <v/>
      </c>
      <c r="P128" s="9" t="str">
        <f>IFERROR((IF(VLOOKUP(A128,'ECN-ECO_DATA'!B:V,21,FALSE)=0/1/1900,"",VLOOKUP(A128,'ECN-ECO_DATA'!B:V,21,FALSE))),"")</f>
        <v/>
      </c>
      <c r="Q128" s="10" t="str">
        <f t="shared" ca="1" si="5"/>
        <v/>
      </c>
      <c r="R128" s="4" t="str">
        <f t="shared" si="6"/>
        <v/>
      </c>
      <c r="S128" s="4" t="str">
        <f t="shared" si="7"/>
        <v/>
      </c>
      <c r="T128" s="4" t="str">
        <f t="shared" si="8"/>
        <v/>
      </c>
      <c r="U128" s="10" t="str">
        <f t="shared" si="9"/>
        <v/>
      </c>
      <c r="V128" s="4"/>
    </row>
    <row r="129" spans="2:22" x14ac:dyDescent="0.25">
      <c r="B129" s="4" t="str">
        <f>IFERROR(VLOOKUP(A129,'ECN-ECO_DATA'!B:G,4,FALSE),"")</f>
        <v/>
      </c>
      <c r="C129" s="9" t="str">
        <f>IFERROR(VLOOKUP(A129,'ECN-ECO_DATA'!B:G,5,FALSE),"")</f>
        <v/>
      </c>
      <c r="D129" s="9" t="str">
        <f ca="1">IFERROR((IF(VLOOKUP(A129,'ECN-ECO_DATA'!B:G,6,FALSE)=0/1/1900,TODAY(),VLOOKUP(A129,'ECN-ECO_DATA'!B:G,6,FALSE))),"")</f>
        <v/>
      </c>
      <c r="E129" s="9" t="str">
        <f>IFERROR((IF(VLOOKUP(A129,'ECN-ECO_DATA'!B:G,6,FALSE)=0/1/1900,"",VLOOKUP(A129,'ECN-ECO_DATA'!B:G,6,FALSE))),"")</f>
        <v/>
      </c>
      <c r="F129" s="9" t="str">
        <f>IFERROR((IF(VLOOKUP(A129,'ECN-ECO_DATA'!B:J,7,FALSE)=0/1/1900,"",VLOOKUP(A129,'ECN-ECO_DATA'!B:J,7,FALSE))),"")</f>
        <v/>
      </c>
      <c r="G129" s="9" t="str">
        <f>IFERROR((IF(VLOOKUP(A129,'ECN-ECO_DATA'!B:J,8,FALSE)=0/1/1900,"",VLOOKUP(A129,'ECN-ECO_DATA'!B:J,8,FALSE))),"")</f>
        <v/>
      </c>
      <c r="H129" s="9" t="str">
        <f>IFERROR((IF(VLOOKUP(A129,'ECN-ECO_DATA'!B:J,9,FALSE)=0/1/1900,"",VLOOKUP(A129,'ECN-ECO_DATA'!B:J,9,FALSE))),"")</f>
        <v/>
      </c>
      <c r="I129" s="10" t="str">
        <f>IFERROR((IF(VLOOKUP(A129,'ECN-ECO_DATA'!B:Q,13,FALSE)="","",VLOOKUP(A129,'ECN-ECO_DATA'!B:Q,13,FALSE))),"")</f>
        <v/>
      </c>
      <c r="J129" s="10" t="str">
        <f>IFERROR((IF(VLOOKUP(A129,'ECN-ECO_DATA'!B:Q,14,FALSE)="","",VLOOKUP(A129,'ECN-ECO_DATA'!B:Q,14,FALSE))),"")</f>
        <v/>
      </c>
      <c r="K129" s="10" t="str">
        <f>IFERROR((IF(VLOOKUP(A129,'ECN-ECO_DATA'!B:Q,15,FALSE)="","",VLOOKUP(A129,'ECN-ECO_DATA'!B:Q,15,FALSE))),"")</f>
        <v/>
      </c>
      <c r="L129" s="10" t="str">
        <f>IFERROR((IF(VLOOKUP(A129,'ECN-ECO_DATA'!B:Q,16,FALSE)="","",VLOOKUP(A129,'ECN-ECO_DATA'!B:Q,16,FALSE))),"")</f>
        <v/>
      </c>
      <c r="M129" s="9" t="str">
        <f>IFERROR((IF(VLOOKUP(A129,'ECN-ECO_DATA'!B:V,18,FALSE)=0/1/1900,"",VLOOKUP(A129,'ECN-ECO_DATA'!B:V,18,FALSE))),"")</f>
        <v/>
      </c>
      <c r="N129" s="9" t="str">
        <f>IFERROR((IF(VLOOKUP(A129,'ECN-ECO_DATA'!B:V,19,FALSE)=0/1/1900,"",VLOOKUP(A129,'ECN-ECO_DATA'!B:V,19,FALSE))),"")</f>
        <v/>
      </c>
      <c r="O129" s="9" t="str">
        <f>IFERROR((IF(VLOOKUP(A129,'ECN-ECO_DATA'!B:V,20,FALSE)=0/1/1900,"",VLOOKUP(A129,'ECN-ECO_DATA'!B:V,20,FALSE))),"")</f>
        <v/>
      </c>
      <c r="P129" s="9" t="str">
        <f>IFERROR((IF(VLOOKUP(A129,'ECN-ECO_DATA'!B:V,21,FALSE)=0/1/1900,"",VLOOKUP(A129,'ECN-ECO_DATA'!B:V,21,FALSE))),"")</f>
        <v/>
      </c>
      <c r="Q129" s="10" t="str">
        <f t="shared" ca="1" si="5"/>
        <v/>
      </c>
      <c r="R129" s="4" t="str">
        <f t="shared" si="6"/>
        <v/>
      </c>
      <c r="S129" s="4" t="str">
        <f t="shared" si="7"/>
        <v/>
      </c>
      <c r="T129" s="4" t="str">
        <f t="shared" si="8"/>
        <v/>
      </c>
      <c r="U129" s="10" t="str">
        <f t="shared" si="9"/>
        <v/>
      </c>
      <c r="V129" s="4"/>
    </row>
    <row r="130" spans="2:22" x14ac:dyDescent="0.25">
      <c r="B130" s="4" t="str">
        <f>IFERROR(VLOOKUP(A130,'ECN-ECO_DATA'!B:G,4,FALSE),"")</f>
        <v/>
      </c>
      <c r="C130" s="9" t="str">
        <f>IFERROR(VLOOKUP(A130,'ECN-ECO_DATA'!B:G,5,FALSE),"")</f>
        <v/>
      </c>
      <c r="D130" s="9" t="str">
        <f ca="1">IFERROR((IF(VLOOKUP(A130,'ECN-ECO_DATA'!B:G,6,FALSE)=0/1/1900,TODAY(),VLOOKUP(A130,'ECN-ECO_DATA'!B:G,6,FALSE))),"")</f>
        <v/>
      </c>
      <c r="E130" s="9" t="str">
        <f>IFERROR((IF(VLOOKUP(A130,'ECN-ECO_DATA'!B:G,6,FALSE)=0/1/1900,"",VLOOKUP(A130,'ECN-ECO_DATA'!B:G,6,FALSE))),"")</f>
        <v/>
      </c>
      <c r="F130" s="9" t="str">
        <f>IFERROR((IF(VLOOKUP(A130,'ECN-ECO_DATA'!B:J,7,FALSE)=0/1/1900,"",VLOOKUP(A130,'ECN-ECO_DATA'!B:J,7,FALSE))),"")</f>
        <v/>
      </c>
      <c r="G130" s="9" t="str">
        <f>IFERROR((IF(VLOOKUP(A130,'ECN-ECO_DATA'!B:J,8,FALSE)=0/1/1900,"",VLOOKUP(A130,'ECN-ECO_DATA'!B:J,8,FALSE))),"")</f>
        <v/>
      </c>
      <c r="H130" s="9" t="str">
        <f>IFERROR((IF(VLOOKUP(A130,'ECN-ECO_DATA'!B:J,9,FALSE)=0/1/1900,"",VLOOKUP(A130,'ECN-ECO_DATA'!B:J,9,FALSE))),"")</f>
        <v/>
      </c>
      <c r="I130" s="10" t="str">
        <f>IFERROR((IF(VLOOKUP(A130,'ECN-ECO_DATA'!B:Q,13,FALSE)="","",VLOOKUP(A130,'ECN-ECO_DATA'!B:Q,13,FALSE))),"")</f>
        <v/>
      </c>
      <c r="J130" s="10" t="str">
        <f>IFERROR((IF(VLOOKUP(A130,'ECN-ECO_DATA'!B:Q,14,FALSE)="","",VLOOKUP(A130,'ECN-ECO_DATA'!B:Q,14,FALSE))),"")</f>
        <v/>
      </c>
      <c r="K130" s="10" t="str">
        <f>IFERROR((IF(VLOOKUP(A130,'ECN-ECO_DATA'!B:Q,15,FALSE)="","",VLOOKUP(A130,'ECN-ECO_DATA'!B:Q,15,FALSE))),"")</f>
        <v/>
      </c>
      <c r="L130" s="10" t="str">
        <f>IFERROR((IF(VLOOKUP(A130,'ECN-ECO_DATA'!B:Q,16,FALSE)="","",VLOOKUP(A130,'ECN-ECO_DATA'!B:Q,16,FALSE))),"")</f>
        <v/>
      </c>
      <c r="M130" s="9" t="str">
        <f>IFERROR((IF(VLOOKUP(A130,'ECN-ECO_DATA'!B:V,18,FALSE)=0/1/1900,"",VLOOKUP(A130,'ECN-ECO_DATA'!B:V,18,FALSE))),"")</f>
        <v/>
      </c>
      <c r="N130" s="9" t="str">
        <f>IFERROR((IF(VLOOKUP(A130,'ECN-ECO_DATA'!B:V,19,FALSE)=0/1/1900,"",VLOOKUP(A130,'ECN-ECO_DATA'!B:V,19,FALSE))),"")</f>
        <v/>
      </c>
      <c r="O130" s="9" t="str">
        <f>IFERROR((IF(VLOOKUP(A130,'ECN-ECO_DATA'!B:V,20,FALSE)=0/1/1900,"",VLOOKUP(A130,'ECN-ECO_DATA'!B:V,20,FALSE))),"")</f>
        <v/>
      </c>
      <c r="P130" s="9" t="str">
        <f>IFERROR((IF(VLOOKUP(A130,'ECN-ECO_DATA'!B:V,21,FALSE)=0/1/1900,"",VLOOKUP(A130,'ECN-ECO_DATA'!B:V,21,FALSE))),"")</f>
        <v/>
      </c>
      <c r="Q130" s="10" t="str">
        <f t="shared" ca="1" si="5"/>
        <v/>
      </c>
      <c r="R130" s="4" t="str">
        <f t="shared" si="6"/>
        <v/>
      </c>
      <c r="S130" s="4" t="str">
        <f t="shared" si="7"/>
        <v/>
      </c>
      <c r="T130" s="4" t="str">
        <f t="shared" si="8"/>
        <v/>
      </c>
      <c r="U130" s="10" t="str">
        <f t="shared" si="9"/>
        <v/>
      </c>
      <c r="V130" s="4"/>
    </row>
    <row r="131" spans="2:22" x14ac:dyDescent="0.25">
      <c r="B131" s="4" t="str">
        <f>IFERROR(VLOOKUP(A131,'ECN-ECO_DATA'!B:G,4,FALSE),"")</f>
        <v/>
      </c>
      <c r="C131" s="9" t="str">
        <f>IFERROR(VLOOKUP(A131,'ECN-ECO_DATA'!B:G,5,FALSE),"")</f>
        <v/>
      </c>
      <c r="D131" s="9" t="str">
        <f ca="1">IFERROR((IF(VLOOKUP(A131,'ECN-ECO_DATA'!B:G,6,FALSE)=0/1/1900,TODAY(),VLOOKUP(A131,'ECN-ECO_DATA'!B:G,6,FALSE))),"")</f>
        <v/>
      </c>
      <c r="E131" s="9" t="str">
        <f>IFERROR((IF(VLOOKUP(A131,'ECN-ECO_DATA'!B:G,6,FALSE)=0/1/1900,"",VLOOKUP(A131,'ECN-ECO_DATA'!B:G,6,FALSE))),"")</f>
        <v/>
      </c>
      <c r="F131" s="9" t="str">
        <f>IFERROR((IF(VLOOKUP(A131,'ECN-ECO_DATA'!B:J,7,FALSE)=0/1/1900,"",VLOOKUP(A131,'ECN-ECO_DATA'!B:J,7,FALSE))),"")</f>
        <v/>
      </c>
      <c r="G131" s="9" t="str">
        <f>IFERROR((IF(VLOOKUP(A131,'ECN-ECO_DATA'!B:J,8,FALSE)=0/1/1900,"",VLOOKUP(A131,'ECN-ECO_DATA'!B:J,8,FALSE))),"")</f>
        <v/>
      </c>
      <c r="H131" s="9" t="str">
        <f>IFERROR((IF(VLOOKUP(A131,'ECN-ECO_DATA'!B:J,9,FALSE)=0/1/1900,"",VLOOKUP(A131,'ECN-ECO_DATA'!B:J,9,FALSE))),"")</f>
        <v/>
      </c>
      <c r="I131" s="10" t="str">
        <f>IFERROR((IF(VLOOKUP(A131,'ECN-ECO_DATA'!B:Q,13,FALSE)="","",VLOOKUP(A131,'ECN-ECO_DATA'!B:Q,13,FALSE))),"")</f>
        <v/>
      </c>
      <c r="J131" s="10" t="str">
        <f>IFERROR((IF(VLOOKUP(A131,'ECN-ECO_DATA'!B:Q,14,FALSE)="","",VLOOKUP(A131,'ECN-ECO_DATA'!B:Q,14,FALSE))),"")</f>
        <v/>
      </c>
      <c r="K131" s="10" t="str">
        <f>IFERROR((IF(VLOOKUP(A131,'ECN-ECO_DATA'!B:Q,15,FALSE)="","",VLOOKUP(A131,'ECN-ECO_DATA'!B:Q,15,FALSE))),"")</f>
        <v/>
      </c>
      <c r="L131" s="10" t="str">
        <f>IFERROR((IF(VLOOKUP(A131,'ECN-ECO_DATA'!B:Q,16,FALSE)="","",VLOOKUP(A131,'ECN-ECO_DATA'!B:Q,16,FALSE))),"")</f>
        <v/>
      </c>
      <c r="M131" s="9" t="str">
        <f>IFERROR((IF(VLOOKUP(A131,'ECN-ECO_DATA'!B:V,18,FALSE)=0/1/1900,"",VLOOKUP(A131,'ECN-ECO_DATA'!B:V,18,FALSE))),"")</f>
        <v/>
      </c>
      <c r="N131" s="9" t="str">
        <f>IFERROR((IF(VLOOKUP(A131,'ECN-ECO_DATA'!B:V,19,FALSE)=0/1/1900,"",VLOOKUP(A131,'ECN-ECO_DATA'!B:V,19,FALSE))),"")</f>
        <v/>
      </c>
      <c r="O131" s="9" t="str">
        <f>IFERROR((IF(VLOOKUP(A131,'ECN-ECO_DATA'!B:V,20,FALSE)=0/1/1900,"",VLOOKUP(A131,'ECN-ECO_DATA'!B:V,20,FALSE))),"")</f>
        <v/>
      </c>
      <c r="P131" s="9" t="str">
        <f>IFERROR((IF(VLOOKUP(A131,'ECN-ECO_DATA'!B:V,21,FALSE)=0/1/1900,"",VLOOKUP(A131,'ECN-ECO_DATA'!B:V,21,FALSE))),"")</f>
        <v/>
      </c>
      <c r="Q131" s="10" t="str">
        <f t="shared" ref="Q131:Q194" ca="1" si="10">IFERROR(D131-C131,"")</f>
        <v/>
      </c>
      <c r="R131" s="4" t="str">
        <f t="shared" ref="R131:R194" si="11">IFERROR(H131-E131,"")</f>
        <v/>
      </c>
      <c r="S131" s="4" t="str">
        <f t="shared" ref="S131:S194" si="12">IFERROR(N131-H131,"")</f>
        <v/>
      </c>
      <c r="T131" s="4" t="str">
        <f t="shared" ref="T131:T194" si="13">IFERROR(O131-N131,"")</f>
        <v/>
      </c>
      <c r="U131" s="10" t="str">
        <f t="shared" ref="U131:U194" si="14">IF(O131="","",IF(SUM(Q131:T131)=0,"",SUM(Q131:T131)))</f>
        <v/>
      </c>
      <c r="V131" s="4"/>
    </row>
    <row r="132" spans="2:22" x14ac:dyDescent="0.25">
      <c r="B132" s="4" t="str">
        <f>IFERROR(VLOOKUP(A132,'ECN-ECO_DATA'!B:G,4,FALSE),"")</f>
        <v/>
      </c>
      <c r="C132" s="9" t="str">
        <f>IFERROR(VLOOKUP(A132,'ECN-ECO_DATA'!B:G,5,FALSE),"")</f>
        <v/>
      </c>
      <c r="D132" s="9" t="str">
        <f ca="1">IFERROR((IF(VLOOKUP(A132,'ECN-ECO_DATA'!B:G,6,FALSE)=0/1/1900,TODAY(),VLOOKUP(A132,'ECN-ECO_DATA'!B:G,6,FALSE))),"")</f>
        <v/>
      </c>
      <c r="E132" s="9" t="str">
        <f>IFERROR((IF(VLOOKUP(A132,'ECN-ECO_DATA'!B:G,6,FALSE)=0/1/1900,"",VLOOKUP(A132,'ECN-ECO_DATA'!B:G,6,FALSE))),"")</f>
        <v/>
      </c>
      <c r="F132" s="9" t="str">
        <f>IFERROR((IF(VLOOKUP(A132,'ECN-ECO_DATA'!B:J,7,FALSE)=0/1/1900,"",VLOOKUP(A132,'ECN-ECO_DATA'!B:J,7,FALSE))),"")</f>
        <v/>
      </c>
      <c r="G132" s="9" t="str">
        <f>IFERROR((IF(VLOOKUP(A132,'ECN-ECO_DATA'!B:J,8,FALSE)=0/1/1900,"",VLOOKUP(A132,'ECN-ECO_DATA'!B:J,8,FALSE))),"")</f>
        <v/>
      </c>
      <c r="H132" s="9" t="str">
        <f>IFERROR((IF(VLOOKUP(A132,'ECN-ECO_DATA'!B:J,9,FALSE)=0/1/1900,"",VLOOKUP(A132,'ECN-ECO_DATA'!B:J,9,FALSE))),"")</f>
        <v/>
      </c>
      <c r="I132" s="10" t="str">
        <f>IFERROR((IF(VLOOKUP(A132,'ECN-ECO_DATA'!B:Q,13,FALSE)="","",VLOOKUP(A132,'ECN-ECO_DATA'!B:Q,13,FALSE))),"")</f>
        <v/>
      </c>
      <c r="J132" s="10" t="str">
        <f>IFERROR((IF(VLOOKUP(A132,'ECN-ECO_DATA'!B:Q,14,FALSE)="","",VLOOKUP(A132,'ECN-ECO_DATA'!B:Q,14,FALSE))),"")</f>
        <v/>
      </c>
      <c r="K132" s="10" t="str">
        <f>IFERROR((IF(VLOOKUP(A132,'ECN-ECO_DATA'!B:Q,15,FALSE)="","",VLOOKUP(A132,'ECN-ECO_DATA'!B:Q,15,FALSE))),"")</f>
        <v/>
      </c>
      <c r="L132" s="10" t="str">
        <f>IFERROR((IF(VLOOKUP(A132,'ECN-ECO_DATA'!B:Q,16,FALSE)="","",VLOOKUP(A132,'ECN-ECO_DATA'!B:Q,16,FALSE))),"")</f>
        <v/>
      </c>
      <c r="M132" s="9" t="str">
        <f>IFERROR((IF(VLOOKUP(A132,'ECN-ECO_DATA'!B:V,18,FALSE)=0/1/1900,"",VLOOKUP(A132,'ECN-ECO_DATA'!B:V,18,FALSE))),"")</f>
        <v/>
      </c>
      <c r="N132" s="9" t="str">
        <f>IFERROR((IF(VLOOKUP(A132,'ECN-ECO_DATA'!B:V,19,FALSE)=0/1/1900,"",VLOOKUP(A132,'ECN-ECO_DATA'!B:V,19,FALSE))),"")</f>
        <v/>
      </c>
      <c r="O132" s="9" t="str">
        <f>IFERROR((IF(VLOOKUP(A132,'ECN-ECO_DATA'!B:V,20,FALSE)=0/1/1900,"",VLOOKUP(A132,'ECN-ECO_DATA'!B:V,20,FALSE))),"")</f>
        <v/>
      </c>
      <c r="P132" s="9" t="str">
        <f>IFERROR((IF(VLOOKUP(A132,'ECN-ECO_DATA'!B:V,21,FALSE)=0/1/1900,"",VLOOKUP(A132,'ECN-ECO_DATA'!B:V,21,FALSE))),"")</f>
        <v/>
      </c>
      <c r="Q132" s="10" t="str">
        <f t="shared" ca="1" si="10"/>
        <v/>
      </c>
      <c r="R132" s="4" t="str">
        <f t="shared" si="11"/>
        <v/>
      </c>
      <c r="S132" s="4" t="str">
        <f t="shared" si="12"/>
        <v/>
      </c>
      <c r="T132" s="4" t="str">
        <f t="shared" si="13"/>
        <v/>
      </c>
      <c r="U132" s="10" t="str">
        <f t="shared" si="14"/>
        <v/>
      </c>
      <c r="V132" s="4"/>
    </row>
    <row r="133" spans="2:22" x14ac:dyDescent="0.25">
      <c r="B133" s="4" t="str">
        <f>IFERROR(VLOOKUP(A133,'ECN-ECO_DATA'!B:G,4,FALSE),"")</f>
        <v/>
      </c>
      <c r="C133" s="9" t="str">
        <f>IFERROR(VLOOKUP(A133,'ECN-ECO_DATA'!B:G,5,FALSE),"")</f>
        <v/>
      </c>
      <c r="D133" s="9" t="str">
        <f ca="1">IFERROR((IF(VLOOKUP(A133,'ECN-ECO_DATA'!B:G,6,FALSE)=0/1/1900,TODAY(),VLOOKUP(A133,'ECN-ECO_DATA'!B:G,6,FALSE))),"")</f>
        <v/>
      </c>
      <c r="E133" s="9" t="str">
        <f>IFERROR((IF(VLOOKUP(A133,'ECN-ECO_DATA'!B:G,6,FALSE)=0/1/1900,"",VLOOKUP(A133,'ECN-ECO_DATA'!B:G,6,FALSE))),"")</f>
        <v/>
      </c>
      <c r="F133" s="9" t="str">
        <f>IFERROR((IF(VLOOKUP(A133,'ECN-ECO_DATA'!B:J,7,FALSE)=0/1/1900,"",VLOOKUP(A133,'ECN-ECO_DATA'!B:J,7,FALSE))),"")</f>
        <v/>
      </c>
      <c r="G133" s="9" t="str">
        <f>IFERROR((IF(VLOOKUP(A133,'ECN-ECO_DATA'!B:J,8,FALSE)=0/1/1900,"",VLOOKUP(A133,'ECN-ECO_DATA'!B:J,8,FALSE))),"")</f>
        <v/>
      </c>
      <c r="H133" s="9" t="str">
        <f>IFERROR((IF(VLOOKUP(A133,'ECN-ECO_DATA'!B:J,9,FALSE)=0/1/1900,"",VLOOKUP(A133,'ECN-ECO_DATA'!B:J,9,FALSE))),"")</f>
        <v/>
      </c>
      <c r="I133" s="10" t="str">
        <f>IFERROR((IF(VLOOKUP(A133,'ECN-ECO_DATA'!B:Q,13,FALSE)="","",VLOOKUP(A133,'ECN-ECO_DATA'!B:Q,13,FALSE))),"")</f>
        <v/>
      </c>
      <c r="J133" s="10" t="str">
        <f>IFERROR((IF(VLOOKUP(A133,'ECN-ECO_DATA'!B:Q,14,FALSE)="","",VLOOKUP(A133,'ECN-ECO_DATA'!B:Q,14,FALSE))),"")</f>
        <v/>
      </c>
      <c r="K133" s="10" t="str">
        <f>IFERROR((IF(VLOOKUP(A133,'ECN-ECO_DATA'!B:Q,15,FALSE)="","",VLOOKUP(A133,'ECN-ECO_DATA'!B:Q,15,FALSE))),"")</f>
        <v/>
      </c>
      <c r="L133" s="10" t="str">
        <f>IFERROR((IF(VLOOKUP(A133,'ECN-ECO_DATA'!B:Q,16,FALSE)="","",VLOOKUP(A133,'ECN-ECO_DATA'!B:Q,16,FALSE))),"")</f>
        <v/>
      </c>
      <c r="M133" s="9" t="str">
        <f>IFERROR((IF(VLOOKUP(A133,'ECN-ECO_DATA'!B:V,18,FALSE)=0/1/1900,"",VLOOKUP(A133,'ECN-ECO_DATA'!B:V,18,FALSE))),"")</f>
        <v/>
      </c>
      <c r="N133" s="9" t="str">
        <f>IFERROR((IF(VLOOKUP(A133,'ECN-ECO_DATA'!B:V,19,FALSE)=0/1/1900,"",VLOOKUP(A133,'ECN-ECO_DATA'!B:V,19,FALSE))),"")</f>
        <v/>
      </c>
      <c r="O133" s="9" t="str">
        <f>IFERROR((IF(VLOOKUP(A133,'ECN-ECO_DATA'!B:V,20,FALSE)=0/1/1900,"",VLOOKUP(A133,'ECN-ECO_DATA'!B:V,20,FALSE))),"")</f>
        <v/>
      </c>
      <c r="P133" s="9" t="str">
        <f>IFERROR((IF(VLOOKUP(A133,'ECN-ECO_DATA'!B:V,21,FALSE)=0/1/1900,"",VLOOKUP(A133,'ECN-ECO_DATA'!B:V,21,FALSE))),"")</f>
        <v/>
      </c>
      <c r="Q133" s="10" t="str">
        <f t="shared" ca="1" si="10"/>
        <v/>
      </c>
      <c r="R133" s="4" t="str">
        <f t="shared" si="11"/>
        <v/>
      </c>
      <c r="S133" s="4" t="str">
        <f t="shared" si="12"/>
        <v/>
      </c>
      <c r="T133" s="4" t="str">
        <f t="shared" si="13"/>
        <v/>
      </c>
      <c r="U133" s="10" t="str">
        <f t="shared" si="14"/>
        <v/>
      </c>
      <c r="V133" s="4"/>
    </row>
    <row r="134" spans="2:22" x14ac:dyDescent="0.25">
      <c r="B134" s="4" t="str">
        <f>IFERROR(VLOOKUP(A134,'ECN-ECO_DATA'!B:G,4,FALSE),"")</f>
        <v/>
      </c>
      <c r="C134" s="9" t="str">
        <f>IFERROR(VLOOKUP(A134,'ECN-ECO_DATA'!B:G,5,FALSE),"")</f>
        <v/>
      </c>
      <c r="D134" s="9" t="str">
        <f ca="1">IFERROR((IF(VLOOKUP(A134,'ECN-ECO_DATA'!B:G,6,FALSE)=0/1/1900,TODAY(),VLOOKUP(A134,'ECN-ECO_DATA'!B:G,6,FALSE))),"")</f>
        <v/>
      </c>
      <c r="E134" s="9" t="str">
        <f>IFERROR((IF(VLOOKUP(A134,'ECN-ECO_DATA'!B:G,6,FALSE)=0/1/1900,"",VLOOKUP(A134,'ECN-ECO_DATA'!B:G,6,FALSE))),"")</f>
        <v/>
      </c>
      <c r="F134" s="9" t="str">
        <f>IFERROR((IF(VLOOKUP(A134,'ECN-ECO_DATA'!B:J,7,FALSE)=0/1/1900,"",VLOOKUP(A134,'ECN-ECO_DATA'!B:J,7,FALSE))),"")</f>
        <v/>
      </c>
      <c r="G134" s="9" t="str">
        <f>IFERROR((IF(VLOOKUP(A134,'ECN-ECO_DATA'!B:J,8,FALSE)=0/1/1900,"",VLOOKUP(A134,'ECN-ECO_DATA'!B:J,8,FALSE))),"")</f>
        <v/>
      </c>
      <c r="H134" s="9" t="str">
        <f>IFERROR((IF(VLOOKUP(A134,'ECN-ECO_DATA'!B:J,9,FALSE)=0/1/1900,"",VLOOKUP(A134,'ECN-ECO_DATA'!B:J,9,FALSE))),"")</f>
        <v/>
      </c>
      <c r="I134" s="10" t="str">
        <f>IFERROR((IF(VLOOKUP(A134,'ECN-ECO_DATA'!B:Q,13,FALSE)="","",VLOOKUP(A134,'ECN-ECO_DATA'!B:Q,13,FALSE))),"")</f>
        <v/>
      </c>
      <c r="J134" s="10" t="str">
        <f>IFERROR((IF(VLOOKUP(A134,'ECN-ECO_DATA'!B:Q,14,FALSE)="","",VLOOKUP(A134,'ECN-ECO_DATA'!B:Q,14,FALSE))),"")</f>
        <v/>
      </c>
      <c r="K134" s="10" t="str">
        <f>IFERROR((IF(VLOOKUP(A134,'ECN-ECO_DATA'!B:Q,15,FALSE)="","",VLOOKUP(A134,'ECN-ECO_DATA'!B:Q,15,FALSE))),"")</f>
        <v/>
      </c>
      <c r="L134" s="10" t="str">
        <f>IFERROR((IF(VLOOKUP(A134,'ECN-ECO_DATA'!B:Q,16,FALSE)="","",VLOOKUP(A134,'ECN-ECO_DATA'!B:Q,16,FALSE))),"")</f>
        <v/>
      </c>
      <c r="M134" s="9" t="str">
        <f>IFERROR((IF(VLOOKUP(A134,'ECN-ECO_DATA'!B:V,18,FALSE)=0/1/1900,"",VLOOKUP(A134,'ECN-ECO_DATA'!B:V,18,FALSE))),"")</f>
        <v/>
      </c>
      <c r="N134" s="9" t="str">
        <f>IFERROR((IF(VLOOKUP(A134,'ECN-ECO_DATA'!B:V,19,FALSE)=0/1/1900,"",VLOOKUP(A134,'ECN-ECO_DATA'!B:V,19,FALSE))),"")</f>
        <v/>
      </c>
      <c r="O134" s="9" t="str">
        <f>IFERROR((IF(VLOOKUP(A134,'ECN-ECO_DATA'!B:V,20,FALSE)=0/1/1900,"",VLOOKUP(A134,'ECN-ECO_DATA'!B:V,20,FALSE))),"")</f>
        <v/>
      </c>
      <c r="P134" s="9" t="str">
        <f>IFERROR((IF(VLOOKUP(A134,'ECN-ECO_DATA'!B:V,21,FALSE)=0/1/1900,"",VLOOKUP(A134,'ECN-ECO_DATA'!B:V,21,FALSE))),"")</f>
        <v/>
      </c>
      <c r="Q134" s="10" t="str">
        <f t="shared" ca="1" si="10"/>
        <v/>
      </c>
      <c r="R134" s="4" t="str">
        <f t="shared" si="11"/>
        <v/>
      </c>
      <c r="S134" s="4" t="str">
        <f t="shared" si="12"/>
        <v/>
      </c>
      <c r="T134" s="4" t="str">
        <f t="shared" si="13"/>
        <v/>
      </c>
      <c r="U134" s="10" t="str">
        <f t="shared" si="14"/>
        <v/>
      </c>
      <c r="V134" s="4"/>
    </row>
    <row r="135" spans="2:22" x14ac:dyDescent="0.25">
      <c r="B135" s="4" t="str">
        <f>IFERROR(VLOOKUP(A135,'ECN-ECO_DATA'!B:G,4,FALSE),"")</f>
        <v/>
      </c>
      <c r="C135" s="9" t="str">
        <f>IFERROR(VLOOKUP(A135,'ECN-ECO_DATA'!B:G,5,FALSE),"")</f>
        <v/>
      </c>
      <c r="D135" s="9" t="str">
        <f ca="1">IFERROR((IF(VLOOKUP(A135,'ECN-ECO_DATA'!B:G,6,FALSE)=0/1/1900,TODAY(),VLOOKUP(A135,'ECN-ECO_DATA'!B:G,6,FALSE))),"")</f>
        <v/>
      </c>
      <c r="E135" s="9" t="str">
        <f>IFERROR((IF(VLOOKUP(A135,'ECN-ECO_DATA'!B:G,6,FALSE)=0/1/1900,"",VLOOKUP(A135,'ECN-ECO_DATA'!B:G,6,FALSE))),"")</f>
        <v/>
      </c>
      <c r="F135" s="9" t="str">
        <f>IFERROR((IF(VLOOKUP(A135,'ECN-ECO_DATA'!B:J,7,FALSE)=0/1/1900,"",VLOOKUP(A135,'ECN-ECO_DATA'!B:J,7,FALSE))),"")</f>
        <v/>
      </c>
      <c r="G135" s="9" t="str">
        <f>IFERROR((IF(VLOOKUP(A135,'ECN-ECO_DATA'!B:J,8,FALSE)=0/1/1900,"",VLOOKUP(A135,'ECN-ECO_DATA'!B:J,8,FALSE))),"")</f>
        <v/>
      </c>
      <c r="H135" s="9" t="str">
        <f>IFERROR((IF(VLOOKUP(A135,'ECN-ECO_DATA'!B:J,9,FALSE)=0/1/1900,"",VLOOKUP(A135,'ECN-ECO_DATA'!B:J,9,FALSE))),"")</f>
        <v/>
      </c>
      <c r="I135" s="10" t="str">
        <f>IFERROR((IF(VLOOKUP(A135,'ECN-ECO_DATA'!B:Q,13,FALSE)="","",VLOOKUP(A135,'ECN-ECO_DATA'!B:Q,13,FALSE))),"")</f>
        <v/>
      </c>
      <c r="J135" s="10" t="str">
        <f>IFERROR((IF(VLOOKUP(A135,'ECN-ECO_DATA'!B:Q,14,FALSE)="","",VLOOKUP(A135,'ECN-ECO_DATA'!B:Q,14,FALSE))),"")</f>
        <v/>
      </c>
      <c r="K135" s="10" t="str">
        <f>IFERROR((IF(VLOOKUP(A135,'ECN-ECO_DATA'!B:Q,15,FALSE)="","",VLOOKUP(A135,'ECN-ECO_DATA'!B:Q,15,FALSE))),"")</f>
        <v/>
      </c>
      <c r="L135" s="10" t="str">
        <f>IFERROR((IF(VLOOKUP(A135,'ECN-ECO_DATA'!B:Q,16,FALSE)="","",VLOOKUP(A135,'ECN-ECO_DATA'!B:Q,16,FALSE))),"")</f>
        <v/>
      </c>
      <c r="M135" s="9" t="str">
        <f>IFERROR((IF(VLOOKUP(A135,'ECN-ECO_DATA'!B:V,18,FALSE)=0/1/1900,"",VLOOKUP(A135,'ECN-ECO_DATA'!B:V,18,FALSE))),"")</f>
        <v/>
      </c>
      <c r="N135" s="9" t="str">
        <f>IFERROR((IF(VLOOKUP(A135,'ECN-ECO_DATA'!B:V,19,FALSE)=0/1/1900,"",VLOOKUP(A135,'ECN-ECO_DATA'!B:V,19,FALSE))),"")</f>
        <v/>
      </c>
      <c r="O135" s="9" t="str">
        <f>IFERROR((IF(VLOOKUP(A135,'ECN-ECO_DATA'!B:V,20,FALSE)=0/1/1900,"",VLOOKUP(A135,'ECN-ECO_DATA'!B:V,20,FALSE))),"")</f>
        <v/>
      </c>
      <c r="P135" s="9" t="str">
        <f>IFERROR((IF(VLOOKUP(A135,'ECN-ECO_DATA'!B:V,21,FALSE)=0/1/1900,"",VLOOKUP(A135,'ECN-ECO_DATA'!B:V,21,FALSE))),"")</f>
        <v/>
      </c>
      <c r="Q135" s="10" t="str">
        <f t="shared" ca="1" si="10"/>
        <v/>
      </c>
      <c r="R135" s="4" t="str">
        <f t="shared" si="11"/>
        <v/>
      </c>
      <c r="S135" s="4" t="str">
        <f t="shared" si="12"/>
        <v/>
      </c>
      <c r="T135" s="4" t="str">
        <f t="shared" si="13"/>
        <v/>
      </c>
      <c r="U135" s="10" t="str">
        <f t="shared" si="14"/>
        <v/>
      </c>
      <c r="V135" s="4"/>
    </row>
    <row r="136" spans="2:22" x14ac:dyDescent="0.25">
      <c r="B136" s="4" t="str">
        <f>IFERROR(VLOOKUP(A136,'ECN-ECO_DATA'!B:G,4,FALSE),"")</f>
        <v/>
      </c>
      <c r="C136" s="9" t="str">
        <f>IFERROR(VLOOKUP(A136,'ECN-ECO_DATA'!B:G,5,FALSE),"")</f>
        <v/>
      </c>
      <c r="D136" s="9" t="str">
        <f ca="1">IFERROR((IF(VLOOKUP(A136,'ECN-ECO_DATA'!B:G,6,FALSE)=0/1/1900,TODAY(),VLOOKUP(A136,'ECN-ECO_DATA'!B:G,6,FALSE))),"")</f>
        <v/>
      </c>
      <c r="E136" s="9" t="str">
        <f>IFERROR((IF(VLOOKUP(A136,'ECN-ECO_DATA'!B:G,6,FALSE)=0/1/1900,"",VLOOKUP(A136,'ECN-ECO_DATA'!B:G,6,FALSE))),"")</f>
        <v/>
      </c>
      <c r="F136" s="9" t="str">
        <f>IFERROR((IF(VLOOKUP(A136,'ECN-ECO_DATA'!B:J,7,FALSE)=0/1/1900,"",VLOOKUP(A136,'ECN-ECO_DATA'!B:J,7,FALSE))),"")</f>
        <v/>
      </c>
      <c r="G136" s="9" t="str">
        <f>IFERROR((IF(VLOOKUP(A136,'ECN-ECO_DATA'!B:J,8,FALSE)=0/1/1900,"",VLOOKUP(A136,'ECN-ECO_DATA'!B:J,8,FALSE))),"")</f>
        <v/>
      </c>
      <c r="H136" s="9" t="str">
        <f>IFERROR((IF(VLOOKUP(A136,'ECN-ECO_DATA'!B:J,9,FALSE)=0/1/1900,"",VLOOKUP(A136,'ECN-ECO_DATA'!B:J,9,FALSE))),"")</f>
        <v/>
      </c>
      <c r="I136" s="10" t="str">
        <f>IFERROR((IF(VLOOKUP(A136,'ECN-ECO_DATA'!B:Q,13,FALSE)="","",VLOOKUP(A136,'ECN-ECO_DATA'!B:Q,13,FALSE))),"")</f>
        <v/>
      </c>
      <c r="J136" s="10" t="str">
        <f>IFERROR((IF(VLOOKUP(A136,'ECN-ECO_DATA'!B:Q,14,FALSE)="","",VLOOKUP(A136,'ECN-ECO_DATA'!B:Q,14,FALSE))),"")</f>
        <v/>
      </c>
      <c r="K136" s="10" t="str">
        <f>IFERROR((IF(VLOOKUP(A136,'ECN-ECO_DATA'!B:Q,15,FALSE)="","",VLOOKUP(A136,'ECN-ECO_DATA'!B:Q,15,FALSE))),"")</f>
        <v/>
      </c>
      <c r="L136" s="10" t="str">
        <f>IFERROR((IF(VLOOKUP(A136,'ECN-ECO_DATA'!B:Q,16,FALSE)="","",VLOOKUP(A136,'ECN-ECO_DATA'!B:Q,16,FALSE))),"")</f>
        <v/>
      </c>
      <c r="M136" s="9" t="str">
        <f>IFERROR((IF(VLOOKUP(A136,'ECN-ECO_DATA'!B:V,18,FALSE)=0/1/1900,"",VLOOKUP(A136,'ECN-ECO_DATA'!B:V,18,FALSE))),"")</f>
        <v/>
      </c>
      <c r="N136" s="9" t="str">
        <f>IFERROR((IF(VLOOKUP(A136,'ECN-ECO_DATA'!B:V,19,FALSE)=0/1/1900,"",VLOOKUP(A136,'ECN-ECO_DATA'!B:V,19,FALSE))),"")</f>
        <v/>
      </c>
      <c r="O136" s="9" t="str">
        <f>IFERROR((IF(VLOOKUP(A136,'ECN-ECO_DATA'!B:V,20,FALSE)=0/1/1900,"",VLOOKUP(A136,'ECN-ECO_DATA'!B:V,20,FALSE))),"")</f>
        <v/>
      </c>
      <c r="P136" s="9" t="str">
        <f>IFERROR((IF(VLOOKUP(A136,'ECN-ECO_DATA'!B:V,21,FALSE)=0/1/1900,"",VLOOKUP(A136,'ECN-ECO_DATA'!B:V,21,FALSE))),"")</f>
        <v/>
      </c>
      <c r="Q136" s="10" t="str">
        <f t="shared" ca="1" si="10"/>
        <v/>
      </c>
      <c r="R136" s="4" t="str">
        <f t="shared" si="11"/>
        <v/>
      </c>
      <c r="S136" s="4" t="str">
        <f t="shared" si="12"/>
        <v/>
      </c>
      <c r="T136" s="4" t="str">
        <f t="shared" si="13"/>
        <v/>
      </c>
      <c r="U136" s="10" t="str">
        <f t="shared" si="14"/>
        <v/>
      </c>
      <c r="V136" s="4"/>
    </row>
    <row r="137" spans="2:22" x14ac:dyDescent="0.25">
      <c r="B137" s="4" t="str">
        <f>IFERROR(VLOOKUP(A137,'ECN-ECO_DATA'!B:G,4,FALSE),"")</f>
        <v/>
      </c>
      <c r="C137" s="9" t="str">
        <f>IFERROR(VLOOKUP(A137,'ECN-ECO_DATA'!B:G,5,FALSE),"")</f>
        <v/>
      </c>
      <c r="D137" s="9" t="str">
        <f ca="1">IFERROR((IF(VLOOKUP(A137,'ECN-ECO_DATA'!B:G,6,FALSE)=0/1/1900,TODAY(),VLOOKUP(A137,'ECN-ECO_DATA'!B:G,6,FALSE))),"")</f>
        <v/>
      </c>
      <c r="E137" s="9" t="str">
        <f>IFERROR((IF(VLOOKUP(A137,'ECN-ECO_DATA'!B:G,6,FALSE)=0/1/1900,"",VLOOKUP(A137,'ECN-ECO_DATA'!B:G,6,FALSE))),"")</f>
        <v/>
      </c>
      <c r="F137" s="9" t="str">
        <f>IFERROR((IF(VLOOKUP(A137,'ECN-ECO_DATA'!B:J,7,FALSE)=0/1/1900,"",VLOOKUP(A137,'ECN-ECO_DATA'!B:J,7,FALSE))),"")</f>
        <v/>
      </c>
      <c r="G137" s="9" t="str">
        <f>IFERROR((IF(VLOOKUP(A137,'ECN-ECO_DATA'!B:J,8,FALSE)=0/1/1900,"",VLOOKUP(A137,'ECN-ECO_DATA'!B:J,8,FALSE))),"")</f>
        <v/>
      </c>
      <c r="H137" s="9" t="str">
        <f>IFERROR((IF(VLOOKUP(A137,'ECN-ECO_DATA'!B:J,9,FALSE)=0/1/1900,"",VLOOKUP(A137,'ECN-ECO_DATA'!B:J,9,FALSE))),"")</f>
        <v/>
      </c>
      <c r="I137" s="10" t="str">
        <f>IFERROR((IF(VLOOKUP(A137,'ECN-ECO_DATA'!B:Q,13,FALSE)="","",VLOOKUP(A137,'ECN-ECO_DATA'!B:Q,13,FALSE))),"")</f>
        <v/>
      </c>
      <c r="J137" s="10" t="str">
        <f>IFERROR((IF(VLOOKUP(A137,'ECN-ECO_DATA'!B:Q,14,FALSE)="","",VLOOKUP(A137,'ECN-ECO_DATA'!B:Q,14,FALSE))),"")</f>
        <v/>
      </c>
      <c r="K137" s="10" t="str">
        <f>IFERROR((IF(VLOOKUP(A137,'ECN-ECO_DATA'!B:Q,15,FALSE)="","",VLOOKUP(A137,'ECN-ECO_DATA'!B:Q,15,FALSE))),"")</f>
        <v/>
      </c>
      <c r="L137" s="10" t="str">
        <f>IFERROR((IF(VLOOKUP(A137,'ECN-ECO_DATA'!B:Q,16,FALSE)="","",VLOOKUP(A137,'ECN-ECO_DATA'!B:Q,16,FALSE))),"")</f>
        <v/>
      </c>
      <c r="M137" s="9" t="str">
        <f>IFERROR((IF(VLOOKUP(A137,'ECN-ECO_DATA'!B:V,18,FALSE)=0/1/1900,"",VLOOKUP(A137,'ECN-ECO_DATA'!B:V,18,FALSE))),"")</f>
        <v/>
      </c>
      <c r="N137" s="9" t="str">
        <f>IFERROR((IF(VLOOKUP(A137,'ECN-ECO_DATA'!B:V,19,FALSE)=0/1/1900,"",VLOOKUP(A137,'ECN-ECO_DATA'!B:V,19,FALSE))),"")</f>
        <v/>
      </c>
      <c r="O137" s="9" t="str">
        <f>IFERROR((IF(VLOOKUP(A137,'ECN-ECO_DATA'!B:V,20,FALSE)=0/1/1900,"",VLOOKUP(A137,'ECN-ECO_DATA'!B:V,20,FALSE))),"")</f>
        <v/>
      </c>
      <c r="P137" s="9" t="str">
        <f>IFERROR((IF(VLOOKUP(A137,'ECN-ECO_DATA'!B:V,21,FALSE)=0/1/1900,"",VLOOKUP(A137,'ECN-ECO_DATA'!B:V,21,FALSE))),"")</f>
        <v/>
      </c>
      <c r="Q137" s="10" t="str">
        <f t="shared" ca="1" si="10"/>
        <v/>
      </c>
      <c r="R137" s="4" t="str">
        <f t="shared" si="11"/>
        <v/>
      </c>
      <c r="S137" s="4" t="str">
        <f t="shared" si="12"/>
        <v/>
      </c>
      <c r="T137" s="4" t="str">
        <f t="shared" si="13"/>
        <v/>
      </c>
      <c r="U137" s="10" t="str">
        <f t="shared" si="14"/>
        <v/>
      </c>
      <c r="V137" s="4"/>
    </row>
    <row r="138" spans="2:22" x14ac:dyDescent="0.25">
      <c r="B138" s="4" t="str">
        <f>IFERROR(VLOOKUP(A138,'ECN-ECO_DATA'!B:G,4,FALSE),"")</f>
        <v/>
      </c>
      <c r="C138" s="9" t="str">
        <f>IFERROR(VLOOKUP(A138,'ECN-ECO_DATA'!B:G,5,FALSE),"")</f>
        <v/>
      </c>
      <c r="D138" s="9" t="str">
        <f ca="1">IFERROR((IF(VLOOKUP(A138,'ECN-ECO_DATA'!B:G,6,FALSE)=0/1/1900,TODAY(),VLOOKUP(A138,'ECN-ECO_DATA'!B:G,6,FALSE))),"")</f>
        <v/>
      </c>
      <c r="E138" s="9" t="str">
        <f>IFERROR((IF(VLOOKUP(A138,'ECN-ECO_DATA'!B:G,6,FALSE)=0/1/1900,"",VLOOKUP(A138,'ECN-ECO_DATA'!B:G,6,FALSE))),"")</f>
        <v/>
      </c>
      <c r="F138" s="9" t="str">
        <f>IFERROR((IF(VLOOKUP(A138,'ECN-ECO_DATA'!B:J,7,FALSE)=0/1/1900,"",VLOOKUP(A138,'ECN-ECO_DATA'!B:J,7,FALSE))),"")</f>
        <v/>
      </c>
      <c r="G138" s="9" t="str">
        <f>IFERROR((IF(VLOOKUP(A138,'ECN-ECO_DATA'!B:J,8,FALSE)=0/1/1900,"",VLOOKUP(A138,'ECN-ECO_DATA'!B:J,8,FALSE))),"")</f>
        <v/>
      </c>
      <c r="H138" s="9" t="str">
        <f>IFERROR((IF(VLOOKUP(A138,'ECN-ECO_DATA'!B:J,9,FALSE)=0/1/1900,"",VLOOKUP(A138,'ECN-ECO_DATA'!B:J,9,FALSE))),"")</f>
        <v/>
      </c>
      <c r="I138" s="10" t="str">
        <f>IFERROR((IF(VLOOKUP(A138,'ECN-ECO_DATA'!B:Q,13,FALSE)="","",VLOOKUP(A138,'ECN-ECO_DATA'!B:Q,13,FALSE))),"")</f>
        <v/>
      </c>
      <c r="J138" s="10" t="str">
        <f>IFERROR((IF(VLOOKUP(A138,'ECN-ECO_DATA'!B:Q,14,FALSE)="","",VLOOKUP(A138,'ECN-ECO_DATA'!B:Q,14,FALSE))),"")</f>
        <v/>
      </c>
      <c r="K138" s="10" t="str">
        <f>IFERROR((IF(VLOOKUP(A138,'ECN-ECO_DATA'!B:Q,15,FALSE)="","",VLOOKUP(A138,'ECN-ECO_DATA'!B:Q,15,FALSE))),"")</f>
        <v/>
      </c>
      <c r="L138" s="10" t="str">
        <f>IFERROR((IF(VLOOKUP(A138,'ECN-ECO_DATA'!B:Q,16,FALSE)="","",VLOOKUP(A138,'ECN-ECO_DATA'!B:Q,16,FALSE))),"")</f>
        <v/>
      </c>
      <c r="M138" s="9" t="str">
        <f>IFERROR((IF(VLOOKUP(A138,'ECN-ECO_DATA'!B:V,18,FALSE)=0/1/1900,"",VLOOKUP(A138,'ECN-ECO_DATA'!B:V,18,FALSE))),"")</f>
        <v/>
      </c>
      <c r="N138" s="9" t="str">
        <f>IFERROR((IF(VLOOKUP(A138,'ECN-ECO_DATA'!B:V,19,FALSE)=0/1/1900,"",VLOOKUP(A138,'ECN-ECO_DATA'!B:V,19,FALSE))),"")</f>
        <v/>
      </c>
      <c r="O138" s="9" t="str">
        <f>IFERROR((IF(VLOOKUP(A138,'ECN-ECO_DATA'!B:V,20,FALSE)=0/1/1900,"",VLOOKUP(A138,'ECN-ECO_DATA'!B:V,20,FALSE))),"")</f>
        <v/>
      </c>
      <c r="P138" s="9" t="str">
        <f>IFERROR((IF(VLOOKUP(A138,'ECN-ECO_DATA'!B:V,21,FALSE)=0/1/1900,"",VLOOKUP(A138,'ECN-ECO_DATA'!B:V,21,FALSE))),"")</f>
        <v/>
      </c>
      <c r="Q138" s="10" t="str">
        <f t="shared" ca="1" si="10"/>
        <v/>
      </c>
      <c r="R138" s="4" t="str">
        <f t="shared" si="11"/>
        <v/>
      </c>
      <c r="S138" s="4" t="str">
        <f t="shared" si="12"/>
        <v/>
      </c>
      <c r="T138" s="4" t="str">
        <f t="shared" si="13"/>
        <v/>
      </c>
      <c r="U138" s="10" t="str">
        <f t="shared" si="14"/>
        <v/>
      </c>
      <c r="V138" s="4"/>
    </row>
    <row r="139" spans="2:22" x14ac:dyDescent="0.25">
      <c r="B139" s="4" t="str">
        <f>IFERROR(VLOOKUP(A139,'ECN-ECO_DATA'!B:G,4,FALSE),"")</f>
        <v/>
      </c>
      <c r="C139" s="9" t="str">
        <f>IFERROR(VLOOKUP(A139,'ECN-ECO_DATA'!B:G,5,FALSE),"")</f>
        <v/>
      </c>
      <c r="D139" s="9" t="str">
        <f ca="1">IFERROR((IF(VLOOKUP(A139,'ECN-ECO_DATA'!B:G,6,FALSE)=0/1/1900,TODAY(),VLOOKUP(A139,'ECN-ECO_DATA'!B:G,6,FALSE))),"")</f>
        <v/>
      </c>
      <c r="E139" s="9" t="str">
        <f>IFERROR((IF(VLOOKUP(A139,'ECN-ECO_DATA'!B:G,6,FALSE)=0/1/1900,"",VLOOKUP(A139,'ECN-ECO_DATA'!B:G,6,FALSE))),"")</f>
        <v/>
      </c>
      <c r="F139" s="9" t="str">
        <f>IFERROR((IF(VLOOKUP(A139,'ECN-ECO_DATA'!B:J,7,FALSE)=0/1/1900,"",VLOOKUP(A139,'ECN-ECO_DATA'!B:J,7,FALSE))),"")</f>
        <v/>
      </c>
      <c r="G139" s="9" t="str">
        <f>IFERROR((IF(VLOOKUP(A139,'ECN-ECO_DATA'!B:J,8,FALSE)=0/1/1900,"",VLOOKUP(A139,'ECN-ECO_DATA'!B:J,8,FALSE))),"")</f>
        <v/>
      </c>
      <c r="H139" s="9" t="str">
        <f>IFERROR((IF(VLOOKUP(A139,'ECN-ECO_DATA'!B:J,9,FALSE)=0/1/1900,"",VLOOKUP(A139,'ECN-ECO_DATA'!B:J,9,FALSE))),"")</f>
        <v/>
      </c>
      <c r="I139" s="10" t="str">
        <f>IFERROR((IF(VLOOKUP(A139,'ECN-ECO_DATA'!B:Q,13,FALSE)="","",VLOOKUP(A139,'ECN-ECO_DATA'!B:Q,13,FALSE))),"")</f>
        <v/>
      </c>
      <c r="J139" s="10" t="str">
        <f>IFERROR((IF(VLOOKUP(A139,'ECN-ECO_DATA'!B:Q,14,FALSE)="","",VLOOKUP(A139,'ECN-ECO_DATA'!B:Q,14,FALSE))),"")</f>
        <v/>
      </c>
      <c r="K139" s="10" t="str">
        <f>IFERROR((IF(VLOOKUP(A139,'ECN-ECO_DATA'!B:Q,15,FALSE)="","",VLOOKUP(A139,'ECN-ECO_DATA'!B:Q,15,FALSE))),"")</f>
        <v/>
      </c>
      <c r="L139" s="10" t="str">
        <f>IFERROR((IF(VLOOKUP(A139,'ECN-ECO_DATA'!B:Q,16,FALSE)="","",VLOOKUP(A139,'ECN-ECO_DATA'!B:Q,16,FALSE))),"")</f>
        <v/>
      </c>
      <c r="M139" s="9" t="str">
        <f>IFERROR((IF(VLOOKUP(A139,'ECN-ECO_DATA'!B:V,18,FALSE)=0/1/1900,"",VLOOKUP(A139,'ECN-ECO_DATA'!B:V,18,FALSE))),"")</f>
        <v/>
      </c>
      <c r="N139" s="9" t="str">
        <f>IFERROR((IF(VLOOKUP(A139,'ECN-ECO_DATA'!B:V,19,FALSE)=0/1/1900,"",VLOOKUP(A139,'ECN-ECO_DATA'!B:V,19,FALSE))),"")</f>
        <v/>
      </c>
      <c r="O139" s="9" t="str">
        <f>IFERROR((IF(VLOOKUP(A139,'ECN-ECO_DATA'!B:V,20,FALSE)=0/1/1900,"",VLOOKUP(A139,'ECN-ECO_DATA'!B:V,20,FALSE))),"")</f>
        <v/>
      </c>
      <c r="P139" s="9" t="str">
        <f>IFERROR((IF(VLOOKUP(A139,'ECN-ECO_DATA'!B:V,21,FALSE)=0/1/1900,"",VLOOKUP(A139,'ECN-ECO_DATA'!B:V,21,FALSE))),"")</f>
        <v/>
      </c>
      <c r="Q139" s="10" t="str">
        <f t="shared" ca="1" si="10"/>
        <v/>
      </c>
      <c r="R139" s="4" t="str">
        <f t="shared" si="11"/>
        <v/>
      </c>
      <c r="S139" s="4" t="str">
        <f t="shared" si="12"/>
        <v/>
      </c>
      <c r="T139" s="4" t="str">
        <f t="shared" si="13"/>
        <v/>
      </c>
      <c r="U139" s="10" t="str">
        <f t="shared" si="14"/>
        <v/>
      </c>
      <c r="V139" s="4"/>
    </row>
    <row r="140" spans="2:22" x14ac:dyDescent="0.25">
      <c r="B140" s="4" t="str">
        <f>IFERROR(VLOOKUP(A140,'ECN-ECO_DATA'!B:G,4,FALSE),"")</f>
        <v/>
      </c>
      <c r="C140" s="9" t="str">
        <f>IFERROR(VLOOKUP(A140,'ECN-ECO_DATA'!B:G,5,FALSE),"")</f>
        <v/>
      </c>
      <c r="D140" s="9" t="str">
        <f ca="1">IFERROR((IF(VLOOKUP(A140,'ECN-ECO_DATA'!B:G,6,FALSE)=0/1/1900,TODAY(),VLOOKUP(A140,'ECN-ECO_DATA'!B:G,6,FALSE))),"")</f>
        <v/>
      </c>
      <c r="E140" s="9" t="str">
        <f>IFERROR((IF(VLOOKUP(A140,'ECN-ECO_DATA'!B:G,6,FALSE)=0/1/1900,"",VLOOKUP(A140,'ECN-ECO_DATA'!B:G,6,FALSE))),"")</f>
        <v/>
      </c>
      <c r="F140" s="9" t="str">
        <f>IFERROR((IF(VLOOKUP(A140,'ECN-ECO_DATA'!B:J,7,FALSE)=0/1/1900,"",VLOOKUP(A140,'ECN-ECO_DATA'!B:J,7,FALSE))),"")</f>
        <v/>
      </c>
      <c r="G140" s="9" t="str">
        <f>IFERROR((IF(VLOOKUP(A140,'ECN-ECO_DATA'!B:J,8,FALSE)=0/1/1900,"",VLOOKUP(A140,'ECN-ECO_DATA'!B:J,8,FALSE))),"")</f>
        <v/>
      </c>
      <c r="H140" s="9" t="str">
        <f>IFERROR((IF(VLOOKUP(A140,'ECN-ECO_DATA'!B:J,9,FALSE)=0/1/1900,"",VLOOKUP(A140,'ECN-ECO_DATA'!B:J,9,FALSE))),"")</f>
        <v/>
      </c>
      <c r="I140" s="10" t="str">
        <f>IFERROR((IF(VLOOKUP(A140,'ECN-ECO_DATA'!B:Q,13,FALSE)="","",VLOOKUP(A140,'ECN-ECO_DATA'!B:Q,13,FALSE))),"")</f>
        <v/>
      </c>
      <c r="J140" s="10" t="str">
        <f>IFERROR((IF(VLOOKUP(A140,'ECN-ECO_DATA'!B:Q,14,FALSE)="","",VLOOKUP(A140,'ECN-ECO_DATA'!B:Q,14,FALSE))),"")</f>
        <v/>
      </c>
      <c r="K140" s="10" t="str">
        <f>IFERROR((IF(VLOOKUP(A140,'ECN-ECO_DATA'!B:Q,15,FALSE)="","",VLOOKUP(A140,'ECN-ECO_DATA'!B:Q,15,FALSE))),"")</f>
        <v/>
      </c>
      <c r="L140" s="10" t="str">
        <f>IFERROR((IF(VLOOKUP(A140,'ECN-ECO_DATA'!B:Q,16,FALSE)="","",VLOOKUP(A140,'ECN-ECO_DATA'!B:Q,16,FALSE))),"")</f>
        <v/>
      </c>
      <c r="M140" s="9" t="str">
        <f>IFERROR((IF(VLOOKUP(A140,'ECN-ECO_DATA'!B:V,18,FALSE)=0/1/1900,"",VLOOKUP(A140,'ECN-ECO_DATA'!B:V,18,FALSE))),"")</f>
        <v/>
      </c>
      <c r="N140" s="9" t="str">
        <f>IFERROR((IF(VLOOKUP(A140,'ECN-ECO_DATA'!B:V,19,FALSE)=0/1/1900,"",VLOOKUP(A140,'ECN-ECO_DATA'!B:V,19,FALSE))),"")</f>
        <v/>
      </c>
      <c r="O140" s="9" t="str">
        <f>IFERROR((IF(VLOOKUP(A140,'ECN-ECO_DATA'!B:V,20,FALSE)=0/1/1900,"",VLOOKUP(A140,'ECN-ECO_DATA'!B:V,20,FALSE))),"")</f>
        <v/>
      </c>
      <c r="P140" s="9" t="str">
        <f>IFERROR((IF(VLOOKUP(A140,'ECN-ECO_DATA'!B:V,21,FALSE)=0/1/1900,"",VLOOKUP(A140,'ECN-ECO_DATA'!B:V,21,FALSE))),"")</f>
        <v/>
      </c>
      <c r="Q140" s="10" t="str">
        <f t="shared" ca="1" si="10"/>
        <v/>
      </c>
      <c r="R140" s="4" t="str">
        <f t="shared" si="11"/>
        <v/>
      </c>
      <c r="S140" s="4" t="str">
        <f t="shared" si="12"/>
        <v/>
      </c>
      <c r="T140" s="4" t="str">
        <f t="shared" si="13"/>
        <v/>
      </c>
      <c r="U140" s="10" t="str">
        <f t="shared" si="14"/>
        <v/>
      </c>
      <c r="V140" s="4"/>
    </row>
    <row r="141" spans="2:22" x14ac:dyDescent="0.25">
      <c r="B141" s="4" t="str">
        <f>IFERROR(VLOOKUP(A141,'ECN-ECO_DATA'!B:G,4,FALSE),"")</f>
        <v/>
      </c>
      <c r="C141" s="9" t="str">
        <f>IFERROR(VLOOKUP(A141,'ECN-ECO_DATA'!B:G,5,FALSE),"")</f>
        <v/>
      </c>
      <c r="D141" s="9" t="str">
        <f ca="1">IFERROR((IF(VLOOKUP(A141,'ECN-ECO_DATA'!B:G,6,FALSE)=0/1/1900,TODAY(),VLOOKUP(A141,'ECN-ECO_DATA'!B:G,6,FALSE))),"")</f>
        <v/>
      </c>
      <c r="E141" s="9" t="str">
        <f>IFERROR((IF(VLOOKUP(A141,'ECN-ECO_DATA'!B:G,6,FALSE)=0/1/1900,"",VLOOKUP(A141,'ECN-ECO_DATA'!B:G,6,FALSE))),"")</f>
        <v/>
      </c>
      <c r="F141" s="9" t="str">
        <f>IFERROR((IF(VLOOKUP(A141,'ECN-ECO_DATA'!B:J,7,FALSE)=0/1/1900,"",VLOOKUP(A141,'ECN-ECO_DATA'!B:J,7,FALSE))),"")</f>
        <v/>
      </c>
      <c r="G141" s="9" t="str">
        <f>IFERROR((IF(VLOOKUP(A141,'ECN-ECO_DATA'!B:J,8,FALSE)=0/1/1900,"",VLOOKUP(A141,'ECN-ECO_DATA'!B:J,8,FALSE))),"")</f>
        <v/>
      </c>
      <c r="H141" s="9" t="str">
        <f>IFERROR((IF(VLOOKUP(A141,'ECN-ECO_DATA'!B:J,9,FALSE)=0/1/1900,"",VLOOKUP(A141,'ECN-ECO_DATA'!B:J,9,FALSE))),"")</f>
        <v/>
      </c>
      <c r="I141" s="10" t="str">
        <f>IFERROR((IF(VLOOKUP(A141,'ECN-ECO_DATA'!B:Q,13,FALSE)="","",VLOOKUP(A141,'ECN-ECO_DATA'!B:Q,13,FALSE))),"")</f>
        <v/>
      </c>
      <c r="J141" s="10" t="str">
        <f>IFERROR((IF(VLOOKUP(A141,'ECN-ECO_DATA'!B:Q,14,FALSE)="","",VLOOKUP(A141,'ECN-ECO_DATA'!B:Q,14,FALSE))),"")</f>
        <v/>
      </c>
      <c r="K141" s="10" t="str">
        <f>IFERROR((IF(VLOOKUP(A141,'ECN-ECO_DATA'!B:Q,15,FALSE)="","",VLOOKUP(A141,'ECN-ECO_DATA'!B:Q,15,FALSE))),"")</f>
        <v/>
      </c>
      <c r="L141" s="10" t="str">
        <f>IFERROR((IF(VLOOKUP(A141,'ECN-ECO_DATA'!B:Q,16,FALSE)="","",VLOOKUP(A141,'ECN-ECO_DATA'!B:Q,16,FALSE))),"")</f>
        <v/>
      </c>
      <c r="M141" s="9" t="str">
        <f>IFERROR((IF(VLOOKUP(A141,'ECN-ECO_DATA'!B:V,18,FALSE)=0/1/1900,"",VLOOKUP(A141,'ECN-ECO_DATA'!B:V,18,FALSE))),"")</f>
        <v/>
      </c>
      <c r="N141" s="9" t="str">
        <f>IFERROR((IF(VLOOKUP(A141,'ECN-ECO_DATA'!B:V,19,FALSE)=0/1/1900,"",VLOOKUP(A141,'ECN-ECO_DATA'!B:V,19,FALSE))),"")</f>
        <v/>
      </c>
      <c r="O141" s="9" t="str">
        <f>IFERROR((IF(VLOOKUP(A141,'ECN-ECO_DATA'!B:V,20,FALSE)=0/1/1900,"",VLOOKUP(A141,'ECN-ECO_DATA'!B:V,20,FALSE))),"")</f>
        <v/>
      </c>
      <c r="P141" s="9" t="str">
        <f>IFERROR((IF(VLOOKUP(A141,'ECN-ECO_DATA'!B:V,21,FALSE)=0/1/1900,"",VLOOKUP(A141,'ECN-ECO_DATA'!B:V,21,FALSE))),"")</f>
        <v/>
      </c>
      <c r="Q141" s="10" t="str">
        <f t="shared" ca="1" si="10"/>
        <v/>
      </c>
      <c r="R141" s="4" t="str">
        <f t="shared" si="11"/>
        <v/>
      </c>
      <c r="S141" s="4" t="str">
        <f t="shared" si="12"/>
        <v/>
      </c>
      <c r="T141" s="4" t="str">
        <f t="shared" si="13"/>
        <v/>
      </c>
      <c r="U141" s="10" t="str">
        <f t="shared" si="14"/>
        <v/>
      </c>
      <c r="V141" s="4"/>
    </row>
    <row r="142" spans="2:22" x14ac:dyDescent="0.25">
      <c r="B142" s="4" t="str">
        <f>IFERROR(VLOOKUP(A142,'ECN-ECO_DATA'!B:G,4,FALSE),"")</f>
        <v/>
      </c>
      <c r="C142" s="9" t="str">
        <f>IFERROR(VLOOKUP(A142,'ECN-ECO_DATA'!B:G,5,FALSE),"")</f>
        <v/>
      </c>
      <c r="D142" s="9" t="str">
        <f ca="1">IFERROR((IF(VLOOKUP(A142,'ECN-ECO_DATA'!B:G,6,FALSE)=0/1/1900,TODAY(),VLOOKUP(A142,'ECN-ECO_DATA'!B:G,6,FALSE))),"")</f>
        <v/>
      </c>
      <c r="E142" s="9" t="str">
        <f>IFERROR((IF(VLOOKUP(A142,'ECN-ECO_DATA'!B:G,6,FALSE)=0/1/1900,"",VLOOKUP(A142,'ECN-ECO_DATA'!B:G,6,FALSE))),"")</f>
        <v/>
      </c>
      <c r="F142" s="9" t="str">
        <f>IFERROR((IF(VLOOKUP(A142,'ECN-ECO_DATA'!B:J,7,FALSE)=0/1/1900,"",VLOOKUP(A142,'ECN-ECO_DATA'!B:J,7,FALSE))),"")</f>
        <v/>
      </c>
      <c r="G142" s="9" t="str">
        <f>IFERROR((IF(VLOOKUP(A142,'ECN-ECO_DATA'!B:J,8,FALSE)=0/1/1900,"",VLOOKUP(A142,'ECN-ECO_DATA'!B:J,8,FALSE))),"")</f>
        <v/>
      </c>
      <c r="H142" s="9" t="str">
        <f>IFERROR((IF(VLOOKUP(A142,'ECN-ECO_DATA'!B:J,9,FALSE)=0/1/1900,"",VLOOKUP(A142,'ECN-ECO_DATA'!B:J,9,FALSE))),"")</f>
        <v/>
      </c>
      <c r="I142" s="10" t="str">
        <f>IFERROR((IF(VLOOKUP(A142,'ECN-ECO_DATA'!B:Q,13,FALSE)="","",VLOOKUP(A142,'ECN-ECO_DATA'!B:Q,13,FALSE))),"")</f>
        <v/>
      </c>
      <c r="J142" s="10" t="str">
        <f>IFERROR((IF(VLOOKUP(A142,'ECN-ECO_DATA'!B:Q,14,FALSE)="","",VLOOKUP(A142,'ECN-ECO_DATA'!B:Q,14,FALSE))),"")</f>
        <v/>
      </c>
      <c r="K142" s="10" t="str">
        <f>IFERROR((IF(VLOOKUP(A142,'ECN-ECO_DATA'!B:Q,15,FALSE)="","",VLOOKUP(A142,'ECN-ECO_DATA'!B:Q,15,FALSE))),"")</f>
        <v/>
      </c>
      <c r="L142" s="10" t="str">
        <f>IFERROR((IF(VLOOKUP(A142,'ECN-ECO_DATA'!B:Q,16,FALSE)="","",VLOOKUP(A142,'ECN-ECO_DATA'!B:Q,16,FALSE))),"")</f>
        <v/>
      </c>
      <c r="M142" s="9" t="str">
        <f>IFERROR((IF(VLOOKUP(A142,'ECN-ECO_DATA'!B:V,18,FALSE)=0/1/1900,"",VLOOKUP(A142,'ECN-ECO_DATA'!B:V,18,FALSE))),"")</f>
        <v/>
      </c>
      <c r="N142" s="9" t="str">
        <f>IFERROR((IF(VLOOKUP(A142,'ECN-ECO_DATA'!B:V,19,FALSE)=0/1/1900,"",VLOOKUP(A142,'ECN-ECO_DATA'!B:V,19,FALSE))),"")</f>
        <v/>
      </c>
      <c r="O142" s="9" t="str">
        <f>IFERROR((IF(VLOOKUP(A142,'ECN-ECO_DATA'!B:V,20,FALSE)=0/1/1900,"",VLOOKUP(A142,'ECN-ECO_DATA'!B:V,20,FALSE))),"")</f>
        <v/>
      </c>
      <c r="P142" s="9" t="str">
        <f>IFERROR((IF(VLOOKUP(A142,'ECN-ECO_DATA'!B:V,21,FALSE)=0/1/1900,"",VLOOKUP(A142,'ECN-ECO_DATA'!B:V,21,FALSE))),"")</f>
        <v/>
      </c>
      <c r="Q142" s="10" t="str">
        <f t="shared" ca="1" si="10"/>
        <v/>
      </c>
      <c r="R142" s="4" t="str">
        <f t="shared" si="11"/>
        <v/>
      </c>
      <c r="S142" s="4" t="str">
        <f t="shared" si="12"/>
        <v/>
      </c>
      <c r="T142" s="4" t="str">
        <f t="shared" si="13"/>
        <v/>
      </c>
      <c r="U142" s="10" t="str">
        <f t="shared" si="14"/>
        <v/>
      </c>
      <c r="V142" s="4"/>
    </row>
    <row r="143" spans="2:22" x14ac:dyDescent="0.25">
      <c r="B143" s="4" t="str">
        <f>IFERROR(VLOOKUP(A143,'ECN-ECO_DATA'!B:G,4,FALSE),"")</f>
        <v/>
      </c>
      <c r="C143" s="9" t="str">
        <f>IFERROR(VLOOKUP(A143,'ECN-ECO_DATA'!B:G,5,FALSE),"")</f>
        <v/>
      </c>
      <c r="D143" s="9" t="str">
        <f ca="1">IFERROR((IF(VLOOKUP(A143,'ECN-ECO_DATA'!B:G,6,FALSE)=0/1/1900,TODAY(),VLOOKUP(A143,'ECN-ECO_DATA'!B:G,6,FALSE))),"")</f>
        <v/>
      </c>
      <c r="E143" s="9" t="str">
        <f>IFERROR((IF(VLOOKUP(A143,'ECN-ECO_DATA'!B:G,6,FALSE)=0/1/1900,"",VLOOKUP(A143,'ECN-ECO_DATA'!B:G,6,FALSE))),"")</f>
        <v/>
      </c>
      <c r="F143" s="9" t="str">
        <f>IFERROR((IF(VLOOKUP(A143,'ECN-ECO_DATA'!B:J,7,FALSE)=0/1/1900,"",VLOOKUP(A143,'ECN-ECO_DATA'!B:J,7,FALSE))),"")</f>
        <v/>
      </c>
      <c r="G143" s="9" t="str">
        <f>IFERROR((IF(VLOOKUP(A143,'ECN-ECO_DATA'!B:J,8,FALSE)=0/1/1900,"",VLOOKUP(A143,'ECN-ECO_DATA'!B:J,8,FALSE))),"")</f>
        <v/>
      </c>
      <c r="H143" s="9" t="str">
        <f>IFERROR((IF(VLOOKUP(A143,'ECN-ECO_DATA'!B:J,9,FALSE)=0/1/1900,"",VLOOKUP(A143,'ECN-ECO_DATA'!B:J,9,FALSE))),"")</f>
        <v/>
      </c>
      <c r="I143" s="10" t="str">
        <f>IFERROR((IF(VLOOKUP(A143,'ECN-ECO_DATA'!B:Q,13,FALSE)="","",VLOOKUP(A143,'ECN-ECO_DATA'!B:Q,13,FALSE))),"")</f>
        <v/>
      </c>
      <c r="J143" s="10" t="str">
        <f>IFERROR((IF(VLOOKUP(A143,'ECN-ECO_DATA'!B:Q,14,FALSE)="","",VLOOKUP(A143,'ECN-ECO_DATA'!B:Q,14,FALSE))),"")</f>
        <v/>
      </c>
      <c r="K143" s="10" t="str">
        <f>IFERROR((IF(VLOOKUP(A143,'ECN-ECO_DATA'!B:Q,15,FALSE)="","",VLOOKUP(A143,'ECN-ECO_DATA'!B:Q,15,FALSE))),"")</f>
        <v/>
      </c>
      <c r="L143" s="10" t="str">
        <f>IFERROR((IF(VLOOKUP(A143,'ECN-ECO_DATA'!B:Q,16,FALSE)="","",VLOOKUP(A143,'ECN-ECO_DATA'!B:Q,16,FALSE))),"")</f>
        <v/>
      </c>
      <c r="M143" s="9" t="str">
        <f>IFERROR((IF(VLOOKUP(A143,'ECN-ECO_DATA'!B:V,18,FALSE)=0/1/1900,"",VLOOKUP(A143,'ECN-ECO_DATA'!B:V,18,FALSE))),"")</f>
        <v/>
      </c>
      <c r="N143" s="9" t="str">
        <f>IFERROR((IF(VLOOKUP(A143,'ECN-ECO_DATA'!B:V,19,FALSE)=0/1/1900,"",VLOOKUP(A143,'ECN-ECO_DATA'!B:V,19,FALSE))),"")</f>
        <v/>
      </c>
      <c r="O143" s="9" t="str">
        <f>IFERROR((IF(VLOOKUP(A143,'ECN-ECO_DATA'!B:V,20,FALSE)=0/1/1900,"",VLOOKUP(A143,'ECN-ECO_DATA'!B:V,20,FALSE))),"")</f>
        <v/>
      </c>
      <c r="P143" s="9" t="str">
        <f>IFERROR((IF(VLOOKUP(A143,'ECN-ECO_DATA'!B:V,21,FALSE)=0/1/1900,"",VLOOKUP(A143,'ECN-ECO_DATA'!B:V,21,FALSE))),"")</f>
        <v/>
      </c>
      <c r="Q143" s="10" t="str">
        <f t="shared" ca="1" si="10"/>
        <v/>
      </c>
      <c r="R143" s="4" t="str">
        <f t="shared" si="11"/>
        <v/>
      </c>
      <c r="S143" s="4" t="str">
        <f t="shared" si="12"/>
        <v/>
      </c>
      <c r="T143" s="4" t="str">
        <f t="shared" si="13"/>
        <v/>
      </c>
      <c r="U143" s="10" t="str">
        <f t="shared" si="14"/>
        <v/>
      </c>
      <c r="V143" s="4"/>
    </row>
    <row r="144" spans="2:22" x14ac:dyDescent="0.25">
      <c r="B144" s="4" t="str">
        <f>IFERROR(VLOOKUP(A144,'ECN-ECO_DATA'!B:G,4,FALSE),"")</f>
        <v/>
      </c>
      <c r="C144" s="9" t="str">
        <f>IFERROR(VLOOKUP(A144,'ECN-ECO_DATA'!B:G,5,FALSE),"")</f>
        <v/>
      </c>
      <c r="D144" s="9" t="str">
        <f ca="1">IFERROR((IF(VLOOKUP(A144,'ECN-ECO_DATA'!B:G,6,FALSE)=0/1/1900,TODAY(),VLOOKUP(A144,'ECN-ECO_DATA'!B:G,6,FALSE))),"")</f>
        <v/>
      </c>
      <c r="E144" s="9" t="str">
        <f>IFERROR((IF(VLOOKUP(A144,'ECN-ECO_DATA'!B:G,6,FALSE)=0/1/1900,"",VLOOKUP(A144,'ECN-ECO_DATA'!B:G,6,FALSE))),"")</f>
        <v/>
      </c>
      <c r="F144" s="9" t="str">
        <f>IFERROR((IF(VLOOKUP(A144,'ECN-ECO_DATA'!B:J,7,FALSE)=0/1/1900,"",VLOOKUP(A144,'ECN-ECO_DATA'!B:J,7,FALSE))),"")</f>
        <v/>
      </c>
      <c r="G144" s="9" t="str">
        <f>IFERROR((IF(VLOOKUP(A144,'ECN-ECO_DATA'!B:J,8,FALSE)=0/1/1900,"",VLOOKUP(A144,'ECN-ECO_DATA'!B:J,8,FALSE))),"")</f>
        <v/>
      </c>
      <c r="H144" s="9" t="str">
        <f>IFERROR((IF(VLOOKUP(A144,'ECN-ECO_DATA'!B:J,9,FALSE)=0/1/1900,"",VLOOKUP(A144,'ECN-ECO_DATA'!B:J,9,FALSE))),"")</f>
        <v/>
      </c>
      <c r="I144" s="10" t="str">
        <f>IFERROR((IF(VLOOKUP(A144,'ECN-ECO_DATA'!B:Q,13,FALSE)="","",VLOOKUP(A144,'ECN-ECO_DATA'!B:Q,13,FALSE))),"")</f>
        <v/>
      </c>
      <c r="J144" s="10" t="str">
        <f>IFERROR((IF(VLOOKUP(A144,'ECN-ECO_DATA'!B:Q,14,FALSE)="","",VLOOKUP(A144,'ECN-ECO_DATA'!B:Q,14,FALSE))),"")</f>
        <v/>
      </c>
      <c r="K144" s="10" t="str">
        <f>IFERROR((IF(VLOOKUP(A144,'ECN-ECO_DATA'!B:Q,15,FALSE)="","",VLOOKUP(A144,'ECN-ECO_DATA'!B:Q,15,FALSE))),"")</f>
        <v/>
      </c>
      <c r="L144" s="10" t="str">
        <f>IFERROR((IF(VLOOKUP(A144,'ECN-ECO_DATA'!B:Q,16,FALSE)="","",VLOOKUP(A144,'ECN-ECO_DATA'!B:Q,16,FALSE))),"")</f>
        <v/>
      </c>
      <c r="M144" s="9" t="str">
        <f>IFERROR((IF(VLOOKUP(A144,'ECN-ECO_DATA'!B:V,18,FALSE)=0/1/1900,"",VLOOKUP(A144,'ECN-ECO_DATA'!B:V,18,FALSE))),"")</f>
        <v/>
      </c>
      <c r="N144" s="9" t="str">
        <f>IFERROR((IF(VLOOKUP(A144,'ECN-ECO_DATA'!B:V,19,FALSE)=0/1/1900,"",VLOOKUP(A144,'ECN-ECO_DATA'!B:V,19,FALSE))),"")</f>
        <v/>
      </c>
      <c r="O144" s="9" t="str">
        <f>IFERROR((IF(VLOOKUP(A144,'ECN-ECO_DATA'!B:V,20,FALSE)=0/1/1900,"",VLOOKUP(A144,'ECN-ECO_DATA'!B:V,20,FALSE))),"")</f>
        <v/>
      </c>
      <c r="P144" s="9" t="str">
        <f>IFERROR((IF(VLOOKUP(A144,'ECN-ECO_DATA'!B:V,21,FALSE)=0/1/1900,"",VLOOKUP(A144,'ECN-ECO_DATA'!B:V,21,FALSE))),"")</f>
        <v/>
      </c>
      <c r="Q144" s="10" t="str">
        <f t="shared" ca="1" si="10"/>
        <v/>
      </c>
      <c r="R144" s="4" t="str">
        <f t="shared" si="11"/>
        <v/>
      </c>
      <c r="S144" s="4" t="str">
        <f t="shared" si="12"/>
        <v/>
      </c>
      <c r="T144" s="4" t="str">
        <f t="shared" si="13"/>
        <v/>
      </c>
      <c r="U144" s="10" t="str">
        <f t="shared" si="14"/>
        <v/>
      </c>
      <c r="V144" s="4"/>
    </row>
    <row r="145" spans="2:22" x14ac:dyDescent="0.25">
      <c r="B145" s="4" t="str">
        <f>IFERROR(VLOOKUP(A145,'ECN-ECO_DATA'!B:G,4,FALSE),"")</f>
        <v/>
      </c>
      <c r="C145" s="9" t="str">
        <f>IFERROR(VLOOKUP(A145,'ECN-ECO_DATA'!B:G,5,FALSE),"")</f>
        <v/>
      </c>
      <c r="D145" s="9" t="str">
        <f ca="1">IFERROR((IF(VLOOKUP(A145,'ECN-ECO_DATA'!B:G,6,FALSE)=0/1/1900,TODAY(),VLOOKUP(A145,'ECN-ECO_DATA'!B:G,6,FALSE))),"")</f>
        <v/>
      </c>
      <c r="E145" s="9" t="str">
        <f>IFERROR((IF(VLOOKUP(A145,'ECN-ECO_DATA'!B:G,6,FALSE)=0/1/1900,"",VLOOKUP(A145,'ECN-ECO_DATA'!B:G,6,FALSE))),"")</f>
        <v/>
      </c>
      <c r="F145" s="9" t="str">
        <f>IFERROR((IF(VLOOKUP(A145,'ECN-ECO_DATA'!B:J,7,FALSE)=0/1/1900,"",VLOOKUP(A145,'ECN-ECO_DATA'!B:J,7,FALSE))),"")</f>
        <v/>
      </c>
      <c r="G145" s="9" t="str">
        <f>IFERROR((IF(VLOOKUP(A145,'ECN-ECO_DATA'!B:J,8,FALSE)=0/1/1900,"",VLOOKUP(A145,'ECN-ECO_DATA'!B:J,8,FALSE))),"")</f>
        <v/>
      </c>
      <c r="H145" s="9" t="str">
        <f>IFERROR((IF(VLOOKUP(A145,'ECN-ECO_DATA'!B:J,9,FALSE)=0/1/1900,"",VLOOKUP(A145,'ECN-ECO_DATA'!B:J,9,FALSE))),"")</f>
        <v/>
      </c>
      <c r="I145" s="10" t="str">
        <f>IFERROR((IF(VLOOKUP(A145,'ECN-ECO_DATA'!B:Q,13,FALSE)="","",VLOOKUP(A145,'ECN-ECO_DATA'!B:Q,13,FALSE))),"")</f>
        <v/>
      </c>
      <c r="J145" s="10" t="str">
        <f>IFERROR((IF(VLOOKUP(A145,'ECN-ECO_DATA'!B:Q,14,FALSE)="","",VLOOKUP(A145,'ECN-ECO_DATA'!B:Q,14,FALSE))),"")</f>
        <v/>
      </c>
      <c r="K145" s="10" t="str">
        <f>IFERROR((IF(VLOOKUP(A145,'ECN-ECO_DATA'!B:Q,15,FALSE)="","",VLOOKUP(A145,'ECN-ECO_DATA'!B:Q,15,FALSE))),"")</f>
        <v/>
      </c>
      <c r="L145" s="10" t="str">
        <f>IFERROR((IF(VLOOKUP(A145,'ECN-ECO_DATA'!B:Q,16,FALSE)="","",VLOOKUP(A145,'ECN-ECO_DATA'!B:Q,16,FALSE))),"")</f>
        <v/>
      </c>
      <c r="M145" s="9" t="str">
        <f>IFERROR((IF(VLOOKUP(A145,'ECN-ECO_DATA'!B:V,18,FALSE)=0/1/1900,"",VLOOKUP(A145,'ECN-ECO_DATA'!B:V,18,FALSE))),"")</f>
        <v/>
      </c>
      <c r="N145" s="9" t="str">
        <f>IFERROR((IF(VLOOKUP(A145,'ECN-ECO_DATA'!B:V,19,FALSE)=0/1/1900,"",VLOOKUP(A145,'ECN-ECO_DATA'!B:V,19,FALSE))),"")</f>
        <v/>
      </c>
      <c r="O145" s="9" t="str">
        <f>IFERROR((IF(VLOOKUP(A145,'ECN-ECO_DATA'!B:V,20,FALSE)=0/1/1900,"",VLOOKUP(A145,'ECN-ECO_DATA'!B:V,20,FALSE))),"")</f>
        <v/>
      </c>
      <c r="P145" s="9" t="str">
        <f>IFERROR((IF(VLOOKUP(A145,'ECN-ECO_DATA'!B:V,21,FALSE)=0/1/1900,"",VLOOKUP(A145,'ECN-ECO_DATA'!B:V,21,FALSE))),"")</f>
        <v/>
      </c>
      <c r="Q145" s="10" t="str">
        <f t="shared" ca="1" si="10"/>
        <v/>
      </c>
      <c r="R145" s="4" t="str">
        <f t="shared" si="11"/>
        <v/>
      </c>
      <c r="S145" s="4" t="str">
        <f t="shared" si="12"/>
        <v/>
      </c>
      <c r="T145" s="4" t="str">
        <f t="shared" si="13"/>
        <v/>
      </c>
      <c r="U145" s="10" t="str">
        <f t="shared" si="14"/>
        <v/>
      </c>
      <c r="V145" s="4"/>
    </row>
    <row r="146" spans="2:22" x14ac:dyDescent="0.25">
      <c r="B146" s="4" t="str">
        <f>IFERROR(VLOOKUP(A146,'ECN-ECO_DATA'!B:G,4,FALSE),"")</f>
        <v/>
      </c>
      <c r="C146" s="9" t="str">
        <f>IFERROR(VLOOKUP(A146,'ECN-ECO_DATA'!B:G,5,FALSE),"")</f>
        <v/>
      </c>
      <c r="D146" s="9" t="str">
        <f ca="1">IFERROR((IF(VLOOKUP(A146,'ECN-ECO_DATA'!B:G,6,FALSE)=0/1/1900,TODAY(),VLOOKUP(A146,'ECN-ECO_DATA'!B:G,6,FALSE))),"")</f>
        <v/>
      </c>
      <c r="E146" s="9" t="str">
        <f>IFERROR((IF(VLOOKUP(A146,'ECN-ECO_DATA'!B:G,6,FALSE)=0/1/1900,"",VLOOKUP(A146,'ECN-ECO_DATA'!B:G,6,FALSE))),"")</f>
        <v/>
      </c>
      <c r="F146" s="9" t="str">
        <f>IFERROR((IF(VLOOKUP(A146,'ECN-ECO_DATA'!B:J,7,FALSE)=0/1/1900,"",VLOOKUP(A146,'ECN-ECO_DATA'!B:J,7,FALSE))),"")</f>
        <v/>
      </c>
      <c r="G146" s="9" t="str">
        <f>IFERROR((IF(VLOOKUP(A146,'ECN-ECO_DATA'!B:J,8,FALSE)=0/1/1900,"",VLOOKUP(A146,'ECN-ECO_DATA'!B:J,8,FALSE))),"")</f>
        <v/>
      </c>
      <c r="H146" s="9" t="str">
        <f>IFERROR((IF(VLOOKUP(A146,'ECN-ECO_DATA'!B:J,9,FALSE)=0/1/1900,"",VLOOKUP(A146,'ECN-ECO_DATA'!B:J,9,FALSE))),"")</f>
        <v/>
      </c>
      <c r="I146" s="10" t="str">
        <f>IFERROR((IF(VLOOKUP(A146,'ECN-ECO_DATA'!B:Q,13,FALSE)="","",VLOOKUP(A146,'ECN-ECO_DATA'!B:Q,13,FALSE))),"")</f>
        <v/>
      </c>
      <c r="J146" s="10" t="str">
        <f>IFERROR((IF(VLOOKUP(A146,'ECN-ECO_DATA'!B:Q,14,FALSE)="","",VLOOKUP(A146,'ECN-ECO_DATA'!B:Q,14,FALSE))),"")</f>
        <v/>
      </c>
      <c r="K146" s="10" t="str">
        <f>IFERROR((IF(VLOOKUP(A146,'ECN-ECO_DATA'!B:Q,15,FALSE)="","",VLOOKUP(A146,'ECN-ECO_DATA'!B:Q,15,FALSE))),"")</f>
        <v/>
      </c>
      <c r="L146" s="10" t="str">
        <f>IFERROR((IF(VLOOKUP(A146,'ECN-ECO_DATA'!B:Q,16,FALSE)="","",VLOOKUP(A146,'ECN-ECO_DATA'!B:Q,16,FALSE))),"")</f>
        <v/>
      </c>
      <c r="M146" s="9" t="str">
        <f>IFERROR((IF(VLOOKUP(A146,'ECN-ECO_DATA'!B:V,18,FALSE)=0/1/1900,"",VLOOKUP(A146,'ECN-ECO_DATA'!B:V,18,FALSE))),"")</f>
        <v/>
      </c>
      <c r="N146" s="9" t="str">
        <f>IFERROR((IF(VLOOKUP(A146,'ECN-ECO_DATA'!B:V,19,FALSE)=0/1/1900,"",VLOOKUP(A146,'ECN-ECO_DATA'!B:V,19,FALSE))),"")</f>
        <v/>
      </c>
      <c r="O146" s="9" t="str">
        <f>IFERROR((IF(VLOOKUP(A146,'ECN-ECO_DATA'!B:V,20,FALSE)=0/1/1900,"",VLOOKUP(A146,'ECN-ECO_DATA'!B:V,20,FALSE))),"")</f>
        <v/>
      </c>
      <c r="P146" s="9" t="str">
        <f>IFERROR((IF(VLOOKUP(A146,'ECN-ECO_DATA'!B:V,21,FALSE)=0/1/1900,"",VLOOKUP(A146,'ECN-ECO_DATA'!B:V,21,FALSE))),"")</f>
        <v/>
      </c>
      <c r="Q146" s="10" t="str">
        <f t="shared" ca="1" si="10"/>
        <v/>
      </c>
      <c r="R146" s="4" t="str">
        <f t="shared" si="11"/>
        <v/>
      </c>
      <c r="S146" s="4" t="str">
        <f t="shared" si="12"/>
        <v/>
      </c>
      <c r="T146" s="4" t="str">
        <f t="shared" si="13"/>
        <v/>
      </c>
      <c r="U146" s="10" t="str">
        <f t="shared" si="14"/>
        <v/>
      </c>
      <c r="V146" s="4"/>
    </row>
    <row r="147" spans="2:22" x14ac:dyDescent="0.25">
      <c r="B147" s="4" t="str">
        <f>IFERROR(VLOOKUP(A147,'ECN-ECO_DATA'!B:G,4,FALSE),"")</f>
        <v/>
      </c>
      <c r="C147" s="9" t="str">
        <f>IFERROR(VLOOKUP(A147,'ECN-ECO_DATA'!B:G,5,FALSE),"")</f>
        <v/>
      </c>
      <c r="D147" s="9" t="str">
        <f ca="1">IFERROR((IF(VLOOKUP(A147,'ECN-ECO_DATA'!B:G,6,FALSE)=0/1/1900,TODAY(),VLOOKUP(A147,'ECN-ECO_DATA'!B:G,6,FALSE))),"")</f>
        <v/>
      </c>
      <c r="E147" s="9" t="str">
        <f>IFERROR((IF(VLOOKUP(A147,'ECN-ECO_DATA'!B:G,6,FALSE)=0/1/1900,"",VLOOKUP(A147,'ECN-ECO_DATA'!B:G,6,FALSE))),"")</f>
        <v/>
      </c>
      <c r="F147" s="9" t="str">
        <f>IFERROR((IF(VLOOKUP(A147,'ECN-ECO_DATA'!B:J,7,FALSE)=0/1/1900,"",VLOOKUP(A147,'ECN-ECO_DATA'!B:J,7,FALSE))),"")</f>
        <v/>
      </c>
      <c r="G147" s="9" t="str">
        <f>IFERROR((IF(VLOOKUP(A147,'ECN-ECO_DATA'!B:J,8,FALSE)=0/1/1900,"",VLOOKUP(A147,'ECN-ECO_DATA'!B:J,8,FALSE))),"")</f>
        <v/>
      </c>
      <c r="H147" s="9" t="str">
        <f>IFERROR((IF(VLOOKUP(A147,'ECN-ECO_DATA'!B:J,9,FALSE)=0/1/1900,"",VLOOKUP(A147,'ECN-ECO_DATA'!B:J,9,FALSE))),"")</f>
        <v/>
      </c>
      <c r="I147" s="10" t="str">
        <f>IFERROR((IF(VLOOKUP(A147,'ECN-ECO_DATA'!B:Q,13,FALSE)="","",VLOOKUP(A147,'ECN-ECO_DATA'!B:Q,13,FALSE))),"")</f>
        <v/>
      </c>
      <c r="J147" s="10" t="str">
        <f>IFERROR((IF(VLOOKUP(A147,'ECN-ECO_DATA'!B:Q,14,FALSE)="","",VLOOKUP(A147,'ECN-ECO_DATA'!B:Q,14,FALSE))),"")</f>
        <v/>
      </c>
      <c r="K147" s="10" t="str">
        <f>IFERROR((IF(VLOOKUP(A147,'ECN-ECO_DATA'!B:Q,15,FALSE)="","",VLOOKUP(A147,'ECN-ECO_DATA'!B:Q,15,FALSE))),"")</f>
        <v/>
      </c>
      <c r="L147" s="10" t="str">
        <f>IFERROR((IF(VLOOKUP(A147,'ECN-ECO_DATA'!B:Q,16,FALSE)="","",VLOOKUP(A147,'ECN-ECO_DATA'!B:Q,16,FALSE))),"")</f>
        <v/>
      </c>
      <c r="M147" s="9" t="str">
        <f>IFERROR((IF(VLOOKUP(A147,'ECN-ECO_DATA'!B:V,18,FALSE)=0/1/1900,"",VLOOKUP(A147,'ECN-ECO_DATA'!B:V,18,FALSE))),"")</f>
        <v/>
      </c>
      <c r="N147" s="9" t="str">
        <f>IFERROR((IF(VLOOKUP(A147,'ECN-ECO_DATA'!B:V,19,FALSE)=0/1/1900,"",VLOOKUP(A147,'ECN-ECO_DATA'!B:V,19,FALSE))),"")</f>
        <v/>
      </c>
      <c r="O147" s="9" t="str">
        <f>IFERROR((IF(VLOOKUP(A147,'ECN-ECO_DATA'!B:V,20,FALSE)=0/1/1900,"",VLOOKUP(A147,'ECN-ECO_DATA'!B:V,20,FALSE))),"")</f>
        <v/>
      </c>
      <c r="P147" s="9" t="str">
        <f>IFERROR((IF(VLOOKUP(A147,'ECN-ECO_DATA'!B:V,21,FALSE)=0/1/1900,"",VLOOKUP(A147,'ECN-ECO_DATA'!B:V,21,FALSE))),"")</f>
        <v/>
      </c>
      <c r="Q147" s="10" t="str">
        <f t="shared" ca="1" si="10"/>
        <v/>
      </c>
      <c r="R147" s="4" t="str">
        <f t="shared" si="11"/>
        <v/>
      </c>
      <c r="S147" s="4" t="str">
        <f t="shared" si="12"/>
        <v/>
      </c>
      <c r="T147" s="4" t="str">
        <f t="shared" si="13"/>
        <v/>
      </c>
      <c r="U147" s="10" t="str">
        <f t="shared" si="14"/>
        <v/>
      </c>
      <c r="V147" s="4"/>
    </row>
    <row r="148" spans="2:22" x14ac:dyDescent="0.25">
      <c r="B148" s="4" t="str">
        <f>IFERROR(VLOOKUP(A148,'ECN-ECO_DATA'!B:G,4,FALSE),"")</f>
        <v/>
      </c>
      <c r="C148" s="9" t="str">
        <f>IFERROR(VLOOKUP(A148,'ECN-ECO_DATA'!B:G,5,FALSE),"")</f>
        <v/>
      </c>
      <c r="D148" s="9" t="str">
        <f ca="1">IFERROR((IF(VLOOKUP(A148,'ECN-ECO_DATA'!B:G,6,FALSE)=0/1/1900,TODAY(),VLOOKUP(A148,'ECN-ECO_DATA'!B:G,6,FALSE))),"")</f>
        <v/>
      </c>
      <c r="E148" s="9" t="str">
        <f>IFERROR((IF(VLOOKUP(A148,'ECN-ECO_DATA'!B:G,6,FALSE)=0/1/1900,"",VLOOKUP(A148,'ECN-ECO_DATA'!B:G,6,FALSE))),"")</f>
        <v/>
      </c>
      <c r="F148" s="9" t="str">
        <f>IFERROR((IF(VLOOKUP(A148,'ECN-ECO_DATA'!B:J,7,FALSE)=0/1/1900,"",VLOOKUP(A148,'ECN-ECO_DATA'!B:J,7,FALSE))),"")</f>
        <v/>
      </c>
      <c r="G148" s="9" t="str">
        <f>IFERROR((IF(VLOOKUP(A148,'ECN-ECO_DATA'!B:J,8,FALSE)=0/1/1900,"",VLOOKUP(A148,'ECN-ECO_DATA'!B:J,8,FALSE))),"")</f>
        <v/>
      </c>
      <c r="H148" s="9" t="str">
        <f>IFERROR((IF(VLOOKUP(A148,'ECN-ECO_DATA'!B:J,9,FALSE)=0/1/1900,"",VLOOKUP(A148,'ECN-ECO_DATA'!B:J,9,FALSE))),"")</f>
        <v/>
      </c>
      <c r="I148" s="10" t="str">
        <f>IFERROR((IF(VLOOKUP(A148,'ECN-ECO_DATA'!B:Q,13,FALSE)="","",VLOOKUP(A148,'ECN-ECO_DATA'!B:Q,13,FALSE))),"")</f>
        <v/>
      </c>
      <c r="J148" s="10" t="str">
        <f>IFERROR((IF(VLOOKUP(A148,'ECN-ECO_DATA'!B:Q,14,FALSE)="","",VLOOKUP(A148,'ECN-ECO_DATA'!B:Q,14,FALSE))),"")</f>
        <v/>
      </c>
      <c r="K148" s="10" t="str">
        <f>IFERROR((IF(VLOOKUP(A148,'ECN-ECO_DATA'!B:Q,15,FALSE)="","",VLOOKUP(A148,'ECN-ECO_DATA'!B:Q,15,FALSE))),"")</f>
        <v/>
      </c>
      <c r="L148" s="10" t="str">
        <f>IFERROR((IF(VLOOKUP(A148,'ECN-ECO_DATA'!B:Q,16,FALSE)="","",VLOOKUP(A148,'ECN-ECO_DATA'!B:Q,16,FALSE))),"")</f>
        <v/>
      </c>
      <c r="M148" s="9" t="str">
        <f>IFERROR((IF(VLOOKUP(A148,'ECN-ECO_DATA'!B:V,18,FALSE)=0/1/1900,"",VLOOKUP(A148,'ECN-ECO_DATA'!B:V,18,FALSE))),"")</f>
        <v/>
      </c>
      <c r="N148" s="9" t="str">
        <f>IFERROR((IF(VLOOKUP(A148,'ECN-ECO_DATA'!B:V,19,FALSE)=0/1/1900,"",VLOOKUP(A148,'ECN-ECO_DATA'!B:V,19,FALSE))),"")</f>
        <v/>
      </c>
      <c r="O148" s="9" t="str">
        <f>IFERROR((IF(VLOOKUP(A148,'ECN-ECO_DATA'!B:V,20,FALSE)=0/1/1900,"",VLOOKUP(A148,'ECN-ECO_DATA'!B:V,20,FALSE))),"")</f>
        <v/>
      </c>
      <c r="P148" s="9" t="str">
        <f>IFERROR((IF(VLOOKUP(A148,'ECN-ECO_DATA'!B:V,21,FALSE)=0/1/1900,"",VLOOKUP(A148,'ECN-ECO_DATA'!B:V,21,FALSE))),"")</f>
        <v/>
      </c>
      <c r="Q148" s="10" t="str">
        <f t="shared" ca="1" si="10"/>
        <v/>
      </c>
      <c r="R148" s="4" t="str">
        <f t="shared" si="11"/>
        <v/>
      </c>
      <c r="S148" s="4" t="str">
        <f t="shared" si="12"/>
        <v/>
      </c>
      <c r="T148" s="4" t="str">
        <f t="shared" si="13"/>
        <v/>
      </c>
      <c r="U148" s="10" t="str">
        <f t="shared" si="14"/>
        <v/>
      </c>
      <c r="V148" s="4"/>
    </row>
    <row r="149" spans="2:22" x14ac:dyDescent="0.25">
      <c r="B149" s="4" t="str">
        <f>IFERROR(VLOOKUP(A149,'ECN-ECO_DATA'!B:G,4,FALSE),"")</f>
        <v/>
      </c>
      <c r="C149" s="9" t="str">
        <f>IFERROR(VLOOKUP(A149,'ECN-ECO_DATA'!B:G,5,FALSE),"")</f>
        <v/>
      </c>
      <c r="D149" s="9" t="str">
        <f ca="1">IFERROR((IF(VLOOKUP(A149,'ECN-ECO_DATA'!B:G,6,FALSE)=0/1/1900,TODAY(),VLOOKUP(A149,'ECN-ECO_DATA'!B:G,6,FALSE))),"")</f>
        <v/>
      </c>
      <c r="E149" s="9" t="str">
        <f>IFERROR((IF(VLOOKUP(A149,'ECN-ECO_DATA'!B:G,6,FALSE)=0/1/1900,"",VLOOKUP(A149,'ECN-ECO_DATA'!B:G,6,FALSE))),"")</f>
        <v/>
      </c>
      <c r="F149" s="9" t="str">
        <f>IFERROR((IF(VLOOKUP(A149,'ECN-ECO_DATA'!B:J,7,FALSE)=0/1/1900,"",VLOOKUP(A149,'ECN-ECO_DATA'!B:J,7,FALSE))),"")</f>
        <v/>
      </c>
      <c r="G149" s="9" t="str">
        <f>IFERROR((IF(VLOOKUP(A149,'ECN-ECO_DATA'!B:J,8,FALSE)=0/1/1900,"",VLOOKUP(A149,'ECN-ECO_DATA'!B:J,8,FALSE))),"")</f>
        <v/>
      </c>
      <c r="H149" s="9" t="str">
        <f>IFERROR((IF(VLOOKUP(A149,'ECN-ECO_DATA'!B:J,9,FALSE)=0/1/1900,"",VLOOKUP(A149,'ECN-ECO_DATA'!B:J,9,FALSE))),"")</f>
        <v/>
      </c>
      <c r="I149" s="10" t="str">
        <f>IFERROR((IF(VLOOKUP(A149,'ECN-ECO_DATA'!B:Q,13,FALSE)="","",VLOOKUP(A149,'ECN-ECO_DATA'!B:Q,13,FALSE))),"")</f>
        <v/>
      </c>
      <c r="J149" s="10" t="str">
        <f>IFERROR((IF(VLOOKUP(A149,'ECN-ECO_DATA'!B:Q,14,FALSE)="","",VLOOKUP(A149,'ECN-ECO_DATA'!B:Q,14,FALSE))),"")</f>
        <v/>
      </c>
      <c r="K149" s="10" t="str">
        <f>IFERROR((IF(VLOOKUP(A149,'ECN-ECO_DATA'!B:Q,15,FALSE)="","",VLOOKUP(A149,'ECN-ECO_DATA'!B:Q,15,FALSE))),"")</f>
        <v/>
      </c>
      <c r="L149" s="10" t="str">
        <f>IFERROR((IF(VLOOKUP(A149,'ECN-ECO_DATA'!B:Q,16,FALSE)="","",VLOOKUP(A149,'ECN-ECO_DATA'!B:Q,16,FALSE))),"")</f>
        <v/>
      </c>
      <c r="M149" s="9" t="str">
        <f>IFERROR((IF(VLOOKUP(A149,'ECN-ECO_DATA'!B:V,18,FALSE)=0/1/1900,"",VLOOKUP(A149,'ECN-ECO_DATA'!B:V,18,FALSE))),"")</f>
        <v/>
      </c>
      <c r="N149" s="9" t="str">
        <f>IFERROR((IF(VLOOKUP(A149,'ECN-ECO_DATA'!B:V,19,FALSE)=0/1/1900,"",VLOOKUP(A149,'ECN-ECO_DATA'!B:V,19,FALSE))),"")</f>
        <v/>
      </c>
      <c r="O149" s="9" t="str">
        <f>IFERROR((IF(VLOOKUP(A149,'ECN-ECO_DATA'!B:V,20,FALSE)=0/1/1900,"",VLOOKUP(A149,'ECN-ECO_DATA'!B:V,20,FALSE))),"")</f>
        <v/>
      </c>
      <c r="P149" s="9" t="str">
        <f>IFERROR((IF(VLOOKUP(A149,'ECN-ECO_DATA'!B:V,21,FALSE)=0/1/1900,"",VLOOKUP(A149,'ECN-ECO_DATA'!B:V,21,FALSE))),"")</f>
        <v/>
      </c>
      <c r="Q149" s="10" t="str">
        <f t="shared" ca="1" si="10"/>
        <v/>
      </c>
      <c r="R149" s="4" t="str">
        <f t="shared" si="11"/>
        <v/>
      </c>
      <c r="S149" s="4" t="str">
        <f t="shared" si="12"/>
        <v/>
      </c>
      <c r="T149" s="4" t="str">
        <f t="shared" si="13"/>
        <v/>
      </c>
      <c r="U149" s="10" t="str">
        <f t="shared" si="14"/>
        <v/>
      </c>
      <c r="V149" s="4"/>
    </row>
    <row r="150" spans="2:22" x14ac:dyDescent="0.25">
      <c r="B150" s="4" t="str">
        <f>IFERROR(VLOOKUP(A150,'ECN-ECO_DATA'!B:G,4,FALSE),"")</f>
        <v/>
      </c>
      <c r="C150" s="9" t="str">
        <f>IFERROR(VLOOKUP(A150,'ECN-ECO_DATA'!B:G,5,FALSE),"")</f>
        <v/>
      </c>
      <c r="D150" s="9" t="str">
        <f ca="1">IFERROR((IF(VLOOKUP(A150,'ECN-ECO_DATA'!B:G,6,FALSE)=0/1/1900,TODAY(),VLOOKUP(A150,'ECN-ECO_DATA'!B:G,6,FALSE))),"")</f>
        <v/>
      </c>
      <c r="E150" s="9" t="str">
        <f>IFERROR((IF(VLOOKUP(A150,'ECN-ECO_DATA'!B:G,6,FALSE)=0/1/1900,"",VLOOKUP(A150,'ECN-ECO_DATA'!B:G,6,FALSE))),"")</f>
        <v/>
      </c>
      <c r="F150" s="9" t="str">
        <f>IFERROR((IF(VLOOKUP(A150,'ECN-ECO_DATA'!B:J,7,FALSE)=0/1/1900,"",VLOOKUP(A150,'ECN-ECO_DATA'!B:J,7,FALSE))),"")</f>
        <v/>
      </c>
      <c r="G150" s="9" t="str">
        <f>IFERROR((IF(VLOOKUP(A150,'ECN-ECO_DATA'!B:J,8,FALSE)=0/1/1900,"",VLOOKUP(A150,'ECN-ECO_DATA'!B:J,8,FALSE))),"")</f>
        <v/>
      </c>
      <c r="H150" s="9" t="str">
        <f>IFERROR((IF(VLOOKUP(A150,'ECN-ECO_DATA'!B:J,9,FALSE)=0/1/1900,"",VLOOKUP(A150,'ECN-ECO_DATA'!B:J,9,FALSE))),"")</f>
        <v/>
      </c>
      <c r="I150" s="10" t="str">
        <f>IFERROR((IF(VLOOKUP(A150,'ECN-ECO_DATA'!B:Q,13,FALSE)="","",VLOOKUP(A150,'ECN-ECO_DATA'!B:Q,13,FALSE))),"")</f>
        <v/>
      </c>
      <c r="J150" s="10" t="str">
        <f>IFERROR((IF(VLOOKUP(A150,'ECN-ECO_DATA'!B:Q,14,FALSE)="","",VLOOKUP(A150,'ECN-ECO_DATA'!B:Q,14,FALSE))),"")</f>
        <v/>
      </c>
      <c r="K150" s="10" t="str">
        <f>IFERROR((IF(VLOOKUP(A150,'ECN-ECO_DATA'!B:Q,15,FALSE)="","",VLOOKUP(A150,'ECN-ECO_DATA'!B:Q,15,FALSE))),"")</f>
        <v/>
      </c>
      <c r="L150" s="10" t="str">
        <f>IFERROR((IF(VLOOKUP(A150,'ECN-ECO_DATA'!B:Q,16,FALSE)="","",VLOOKUP(A150,'ECN-ECO_DATA'!B:Q,16,FALSE))),"")</f>
        <v/>
      </c>
      <c r="M150" s="9" t="str">
        <f>IFERROR((IF(VLOOKUP(A150,'ECN-ECO_DATA'!B:V,18,FALSE)=0/1/1900,"",VLOOKUP(A150,'ECN-ECO_DATA'!B:V,18,FALSE))),"")</f>
        <v/>
      </c>
      <c r="N150" s="9" t="str">
        <f>IFERROR((IF(VLOOKUP(A150,'ECN-ECO_DATA'!B:V,19,FALSE)=0/1/1900,"",VLOOKUP(A150,'ECN-ECO_DATA'!B:V,19,FALSE))),"")</f>
        <v/>
      </c>
      <c r="O150" s="9" t="str">
        <f>IFERROR((IF(VLOOKUP(A150,'ECN-ECO_DATA'!B:V,20,FALSE)=0/1/1900,"",VLOOKUP(A150,'ECN-ECO_DATA'!B:V,20,FALSE))),"")</f>
        <v/>
      </c>
      <c r="P150" s="9" t="str">
        <f>IFERROR((IF(VLOOKUP(A150,'ECN-ECO_DATA'!B:V,21,FALSE)=0/1/1900,"",VLOOKUP(A150,'ECN-ECO_DATA'!B:V,21,FALSE))),"")</f>
        <v/>
      </c>
      <c r="Q150" s="10" t="str">
        <f t="shared" ca="1" si="10"/>
        <v/>
      </c>
      <c r="R150" s="4" t="str">
        <f t="shared" si="11"/>
        <v/>
      </c>
      <c r="S150" s="4" t="str">
        <f t="shared" si="12"/>
        <v/>
      </c>
      <c r="T150" s="4" t="str">
        <f t="shared" si="13"/>
        <v/>
      </c>
      <c r="U150" s="10" t="str">
        <f t="shared" si="14"/>
        <v/>
      </c>
      <c r="V150" s="4"/>
    </row>
    <row r="151" spans="2:22" x14ac:dyDescent="0.25">
      <c r="B151" s="4" t="str">
        <f>IFERROR(VLOOKUP(A151,'ECN-ECO_DATA'!B:G,4,FALSE),"")</f>
        <v/>
      </c>
      <c r="C151" s="9" t="str">
        <f>IFERROR(VLOOKUP(A151,'ECN-ECO_DATA'!B:G,5,FALSE),"")</f>
        <v/>
      </c>
      <c r="D151" s="9" t="str">
        <f ca="1">IFERROR((IF(VLOOKUP(A151,'ECN-ECO_DATA'!B:G,6,FALSE)=0/1/1900,TODAY(),VLOOKUP(A151,'ECN-ECO_DATA'!B:G,6,FALSE))),"")</f>
        <v/>
      </c>
      <c r="E151" s="9" t="str">
        <f>IFERROR((IF(VLOOKUP(A151,'ECN-ECO_DATA'!B:G,6,FALSE)=0/1/1900,"",VLOOKUP(A151,'ECN-ECO_DATA'!B:G,6,FALSE))),"")</f>
        <v/>
      </c>
      <c r="F151" s="9" t="str">
        <f>IFERROR((IF(VLOOKUP(A151,'ECN-ECO_DATA'!B:J,7,FALSE)=0/1/1900,"",VLOOKUP(A151,'ECN-ECO_DATA'!B:J,7,FALSE))),"")</f>
        <v/>
      </c>
      <c r="G151" s="9" t="str">
        <f>IFERROR((IF(VLOOKUP(A151,'ECN-ECO_DATA'!B:J,8,FALSE)=0/1/1900,"",VLOOKUP(A151,'ECN-ECO_DATA'!B:J,8,FALSE))),"")</f>
        <v/>
      </c>
      <c r="H151" s="9" t="str">
        <f>IFERROR((IF(VLOOKUP(A151,'ECN-ECO_DATA'!B:J,9,FALSE)=0/1/1900,"",VLOOKUP(A151,'ECN-ECO_DATA'!B:J,9,FALSE))),"")</f>
        <v/>
      </c>
      <c r="I151" s="10" t="str">
        <f>IFERROR((IF(VLOOKUP(A151,'ECN-ECO_DATA'!B:Q,13,FALSE)="","",VLOOKUP(A151,'ECN-ECO_DATA'!B:Q,13,FALSE))),"")</f>
        <v/>
      </c>
      <c r="J151" s="10" t="str">
        <f>IFERROR((IF(VLOOKUP(A151,'ECN-ECO_DATA'!B:Q,14,FALSE)="","",VLOOKUP(A151,'ECN-ECO_DATA'!B:Q,14,FALSE))),"")</f>
        <v/>
      </c>
      <c r="K151" s="10" t="str">
        <f>IFERROR((IF(VLOOKUP(A151,'ECN-ECO_DATA'!B:Q,15,FALSE)="","",VLOOKUP(A151,'ECN-ECO_DATA'!B:Q,15,FALSE))),"")</f>
        <v/>
      </c>
      <c r="L151" s="10" t="str">
        <f>IFERROR((IF(VLOOKUP(A151,'ECN-ECO_DATA'!B:Q,16,FALSE)="","",VLOOKUP(A151,'ECN-ECO_DATA'!B:Q,16,FALSE))),"")</f>
        <v/>
      </c>
      <c r="M151" s="9" t="str">
        <f>IFERROR((IF(VLOOKUP(A151,'ECN-ECO_DATA'!B:V,18,FALSE)=0/1/1900,"",VLOOKUP(A151,'ECN-ECO_DATA'!B:V,18,FALSE))),"")</f>
        <v/>
      </c>
      <c r="N151" s="9" t="str">
        <f>IFERROR((IF(VLOOKUP(A151,'ECN-ECO_DATA'!B:V,19,FALSE)=0/1/1900,"",VLOOKUP(A151,'ECN-ECO_DATA'!B:V,19,FALSE))),"")</f>
        <v/>
      </c>
      <c r="O151" s="9" t="str">
        <f>IFERROR((IF(VLOOKUP(A151,'ECN-ECO_DATA'!B:V,20,FALSE)=0/1/1900,"",VLOOKUP(A151,'ECN-ECO_DATA'!B:V,20,FALSE))),"")</f>
        <v/>
      </c>
      <c r="P151" s="9" t="str">
        <f>IFERROR((IF(VLOOKUP(A151,'ECN-ECO_DATA'!B:V,21,FALSE)=0/1/1900,"",VLOOKUP(A151,'ECN-ECO_DATA'!B:V,21,FALSE))),"")</f>
        <v/>
      </c>
      <c r="Q151" s="10" t="str">
        <f t="shared" ca="1" si="10"/>
        <v/>
      </c>
      <c r="R151" s="4" t="str">
        <f t="shared" si="11"/>
        <v/>
      </c>
      <c r="S151" s="4" t="str">
        <f t="shared" si="12"/>
        <v/>
      </c>
      <c r="T151" s="4" t="str">
        <f t="shared" si="13"/>
        <v/>
      </c>
      <c r="U151" s="10" t="str">
        <f t="shared" si="14"/>
        <v/>
      </c>
      <c r="V151" s="4"/>
    </row>
    <row r="152" spans="2:22" x14ac:dyDescent="0.25">
      <c r="B152" s="4" t="str">
        <f>IFERROR(VLOOKUP(A152,'ECN-ECO_DATA'!B:G,4,FALSE),"")</f>
        <v/>
      </c>
      <c r="C152" s="9" t="str">
        <f>IFERROR(VLOOKUP(A152,'ECN-ECO_DATA'!B:G,5,FALSE),"")</f>
        <v/>
      </c>
      <c r="D152" s="9" t="str">
        <f ca="1">IFERROR((IF(VLOOKUP(A152,'ECN-ECO_DATA'!B:G,6,FALSE)=0/1/1900,TODAY(),VLOOKUP(A152,'ECN-ECO_DATA'!B:G,6,FALSE))),"")</f>
        <v/>
      </c>
      <c r="E152" s="9" t="str">
        <f>IFERROR((IF(VLOOKUP(A152,'ECN-ECO_DATA'!B:G,6,FALSE)=0/1/1900,"",VLOOKUP(A152,'ECN-ECO_DATA'!B:G,6,FALSE))),"")</f>
        <v/>
      </c>
      <c r="F152" s="9" t="str">
        <f>IFERROR((IF(VLOOKUP(A152,'ECN-ECO_DATA'!B:J,7,FALSE)=0/1/1900,"",VLOOKUP(A152,'ECN-ECO_DATA'!B:J,7,FALSE))),"")</f>
        <v/>
      </c>
      <c r="G152" s="9" t="str">
        <f>IFERROR((IF(VLOOKUP(A152,'ECN-ECO_DATA'!B:J,8,FALSE)=0/1/1900,"",VLOOKUP(A152,'ECN-ECO_DATA'!B:J,8,FALSE))),"")</f>
        <v/>
      </c>
      <c r="H152" s="9" t="str">
        <f>IFERROR((IF(VLOOKUP(A152,'ECN-ECO_DATA'!B:J,9,FALSE)=0/1/1900,"",VLOOKUP(A152,'ECN-ECO_DATA'!B:J,9,FALSE))),"")</f>
        <v/>
      </c>
      <c r="I152" s="10" t="str">
        <f>IFERROR((IF(VLOOKUP(A152,'ECN-ECO_DATA'!B:Q,13,FALSE)="","",VLOOKUP(A152,'ECN-ECO_DATA'!B:Q,13,FALSE))),"")</f>
        <v/>
      </c>
      <c r="J152" s="10" t="str">
        <f>IFERROR((IF(VLOOKUP(A152,'ECN-ECO_DATA'!B:Q,14,FALSE)="","",VLOOKUP(A152,'ECN-ECO_DATA'!B:Q,14,FALSE))),"")</f>
        <v/>
      </c>
      <c r="K152" s="10" t="str">
        <f>IFERROR((IF(VLOOKUP(A152,'ECN-ECO_DATA'!B:Q,15,FALSE)="","",VLOOKUP(A152,'ECN-ECO_DATA'!B:Q,15,FALSE))),"")</f>
        <v/>
      </c>
      <c r="L152" s="10" t="str">
        <f>IFERROR((IF(VLOOKUP(A152,'ECN-ECO_DATA'!B:Q,16,FALSE)="","",VLOOKUP(A152,'ECN-ECO_DATA'!B:Q,16,FALSE))),"")</f>
        <v/>
      </c>
      <c r="M152" s="9" t="str">
        <f>IFERROR((IF(VLOOKUP(A152,'ECN-ECO_DATA'!B:V,18,FALSE)=0/1/1900,"",VLOOKUP(A152,'ECN-ECO_DATA'!B:V,18,FALSE))),"")</f>
        <v/>
      </c>
      <c r="N152" s="9" t="str">
        <f>IFERROR((IF(VLOOKUP(A152,'ECN-ECO_DATA'!B:V,19,FALSE)=0/1/1900,"",VLOOKUP(A152,'ECN-ECO_DATA'!B:V,19,FALSE))),"")</f>
        <v/>
      </c>
      <c r="O152" s="9" t="str">
        <f>IFERROR((IF(VLOOKUP(A152,'ECN-ECO_DATA'!B:V,20,FALSE)=0/1/1900,"",VLOOKUP(A152,'ECN-ECO_DATA'!B:V,20,FALSE))),"")</f>
        <v/>
      </c>
      <c r="P152" s="9" t="str">
        <f>IFERROR((IF(VLOOKUP(A152,'ECN-ECO_DATA'!B:V,21,FALSE)=0/1/1900,"",VLOOKUP(A152,'ECN-ECO_DATA'!B:V,21,FALSE))),"")</f>
        <v/>
      </c>
      <c r="Q152" s="10" t="str">
        <f t="shared" ca="1" si="10"/>
        <v/>
      </c>
      <c r="R152" s="4" t="str">
        <f t="shared" si="11"/>
        <v/>
      </c>
      <c r="S152" s="4" t="str">
        <f t="shared" si="12"/>
        <v/>
      </c>
      <c r="T152" s="4" t="str">
        <f t="shared" si="13"/>
        <v/>
      </c>
      <c r="U152" s="10" t="str">
        <f t="shared" si="14"/>
        <v/>
      </c>
      <c r="V152" s="4"/>
    </row>
    <row r="153" spans="2:22" x14ac:dyDescent="0.25">
      <c r="B153" s="4" t="str">
        <f>IFERROR(VLOOKUP(A153,'ECN-ECO_DATA'!B:G,4,FALSE),"")</f>
        <v/>
      </c>
      <c r="C153" s="9" t="str">
        <f>IFERROR(VLOOKUP(A153,'ECN-ECO_DATA'!B:G,5,FALSE),"")</f>
        <v/>
      </c>
      <c r="D153" s="9" t="str">
        <f ca="1">IFERROR((IF(VLOOKUP(A153,'ECN-ECO_DATA'!B:G,6,FALSE)=0/1/1900,TODAY(),VLOOKUP(A153,'ECN-ECO_DATA'!B:G,6,FALSE))),"")</f>
        <v/>
      </c>
      <c r="E153" s="9" t="str">
        <f>IFERROR((IF(VLOOKUP(A153,'ECN-ECO_DATA'!B:G,6,FALSE)=0/1/1900,"",VLOOKUP(A153,'ECN-ECO_DATA'!B:G,6,FALSE))),"")</f>
        <v/>
      </c>
      <c r="F153" s="9" t="str">
        <f>IFERROR((IF(VLOOKUP(A153,'ECN-ECO_DATA'!B:J,7,FALSE)=0/1/1900,"",VLOOKUP(A153,'ECN-ECO_DATA'!B:J,7,FALSE))),"")</f>
        <v/>
      </c>
      <c r="G153" s="9" t="str">
        <f>IFERROR((IF(VLOOKUP(A153,'ECN-ECO_DATA'!B:J,8,FALSE)=0/1/1900,"",VLOOKUP(A153,'ECN-ECO_DATA'!B:J,8,FALSE))),"")</f>
        <v/>
      </c>
      <c r="H153" s="9" t="str">
        <f>IFERROR((IF(VLOOKUP(A153,'ECN-ECO_DATA'!B:J,9,FALSE)=0/1/1900,"",VLOOKUP(A153,'ECN-ECO_DATA'!B:J,9,FALSE))),"")</f>
        <v/>
      </c>
      <c r="I153" s="10" t="str">
        <f>IFERROR((IF(VLOOKUP(A153,'ECN-ECO_DATA'!B:Q,13,FALSE)="","",VLOOKUP(A153,'ECN-ECO_DATA'!B:Q,13,FALSE))),"")</f>
        <v/>
      </c>
      <c r="J153" s="10" t="str">
        <f>IFERROR((IF(VLOOKUP(A153,'ECN-ECO_DATA'!B:Q,14,FALSE)="","",VLOOKUP(A153,'ECN-ECO_DATA'!B:Q,14,FALSE))),"")</f>
        <v/>
      </c>
      <c r="K153" s="10" t="str">
        <f>IFERROR((IF(VLOOKUP(A153,'ECN-ECO_DATA'!B:Q,15,FALSE)="","",VLOOKUP(A153,'ECN-ECO_DATA'!B:Q,15,FALSE))),"")</f>
        <v/>
      </c>
      <c r="L153" s="10" t="str">
        <f>IFERROR((IF(VLOOKUP(A153,'ECN-ECO_DATA'!B:Q,16,FALSE)="","",VLOOKUP(A153,'ECN-ECO_DATA'!B:Q,16,FALSE))),"")</f>
        <v/>
      </c>
      <c r="M153" s="9" t="str">
        <f>IFERROR((IF(VLOOKUP(A153,'ECN-ECO_DATA'!B:V,18,FALSE)=0/1/1900,"",VLOOKUP(A153,'ECN-ECO_DATA'!B:V,18,FALSE))),"")</f>
        <v/>
      </c>
      <c r="N153" s="9" t="str">
        <f>IFERROR((IF(VLOOKUP(A153,'ECN-ECO_DATA'!B:V,19,FALSE)=0/1/1900,"",VLOOKUP(A153,'ECN-ECO_DATA'!B:V,19,FALSE))),"")</f>
        <v/>
      </c>
      <c r="O153" s="9" t="str">
        <f>IFERROR((IF(VLOOKUP(A153,'ECN-ECO_DATA'!B:V,20,FALSE)=0/1/1900,"",VLOOKUP(A153,'ECN-ECO_DATA'!B:V,20,FALSE))),"")</f>
        <v/>
      </c>
      <c r="P153" s="9" t="str">
        <f>IFERROR((IF(VLOOKUP(A153,'ECN-ECO_DATA'!B:V,21,FALSE)=0/1/1900,"",VLOOKUP(A153,'ECN-ECO_DATA'!B:V,21,FALSE))),"")</f>
        <v/>
      </c>
      <c r="Q153" s="10" t="str">
        <f t="shared" ca="1" si="10"/>
        <v/>
      </c>
      <c r="R153" s="4" t="str">
        <f t="shared" si="11"/>
        <v/>
      </c>
      <c r="S153" s="4" t="str">
        <f t="shared" si="12"/>
        <v/>
      </c>
      <c r="T153" s="4" t="str">
        <f t="shared" si="13"/>
        <v/>
      </c>
      <c r="U153" s="10" t="str">
        <f t="shared" si="14"/>
        <v/>
      </c>
      <c r="V153" s="4"/>
    </row>
    <row r="154" spans="2:22" x14ac:dyDescent="0.25">
      <c r="B154" s="4" t="str">
        <f>IFERROR(VLOOKUP(A154,'ECN-ECO_DATA'!B:G,4,FALSE),"")</f>
        <v/>
      </c>
      <c r="C154" s="9" t="str">
        <f>IFERROR(VLOOKUP(A154,'ECN-ECO_DATA'!B:G,5,FALSE),"")</f>
        <v/>
      </c>
      <c r="D154" s="9" t="str">
        <f ca="1">IFERROR((IF(VLOOKUP(A154,'ECN-ECO_DATA'!B:G,6,FALSE)=0/1/1900,TODAY(),VLOOKUP(A154,'ECN-ECO_DATA'!B:G,6,FALSE))),"")</f>
        <v/>
      </c>
      <c r="E154" s="9" t="str">
        <f>IFERROR((IF(VLOOKUP(A154,'ECN-ECO_DATA'!B:G,6,FALSE)=0/1/1900,"",VLOOKUP(A154,'ECN-ECO_DATA'!B:G,6,FALSE))),"")</f>
        <v/>
      </c>
      <c r="F154" s="9" t="str">
        <f>IFERROR((IF(VLOOKUP(A154,'ECN-ECO_DATA'!B:J,7,FALSE)=0/1/1900,"",VLOOKUP(A154,'ECN-ECO_DATA'!B:J,7,FALSE))),"")</f>
        <v/>
      </c>
      <c r="G154" s="9" t="str">
        <f>IFERROR((IF(VLOOKUP(A154,'ECN-ECO_DATA'!B:J,8,FALSE)=0/1/1900,"",VLOOKUP(A154,'ECN-ECO_DATA'!B:J,8,FALSE))),"")</f>
        <v/>
      </c>
      <c r="H154" s="9" t="str">
        <f>IFERROR((IF(VLOOKUP(A154,'ECN-ECO_DATA'!B:J,9,FALSE)=0/1/1900,"",VLOOKUP(A154,'ECN-ECO_DATA'!B:J,9,FALSE))),"")</f>
        <v/>
      </c>
      <c r="I154" s="10" t="str">
        <f>IFERROR((IF(VLOOKUP(A154,'ECN-ECO_DATA'!B:Q,13,FALSE)="","",VLOOKUP(A154,'ECN-ECO_DATA'!B:Q,13,FALSE))),"")</f>
        <v/>
      </c>
      <c r="J154" s="10" t="str">
        <f>IFERROR((IF(VLOOKUP(A154,'ECN-ECO_DATA'!B:Q,14,FALSE)="","",VLOOKUP(A154,'ECN-ECO_DATA'!B:Q,14,FALSE))),"")</f>
        <v/>
      </c>
      <c r="K154" s="10" t="str">
        <f>IFERROR((IF(VLOOKUP(A154,'ECN-ECO_DATA'!B:Q,15,FALSE)="","",VLOOKUP(A154,'ECN-ECO_DATA'!B:Q,15,FALSE))),"")</f>
        <v/>
      </c>
      <c r="L154" s="10" t="str">
        <f>IFERROR((IF(VLOOKUP(A154,'ECN-ECO_DATA'!B:Q,16,FALSE)="","",VLOOKUP(A154,'ECN-ECO_DATA'!B:Q,16,FALSE))),"")</f>
        <v/>
      </c>
      <c r="M154" s="9" t="str">
        <f>IFERROR((IF(VLOOKUP(A154,'ECN-ECO_DATA'!B:V,18,FALSE)=0/1/1900,"",VLOOKUP(A154,'ECN-ECO_DATA'!B:V,18,FALSE))),"")</f>
        <v/>
      </c>
      <c r="N154" s="9" t="str">
        <f>IFERROR((IF(VLOOKUP(A154,'ECN-ECO_DATA'!B:V,19,FALSE)=0/1/1900,"",VLOOKUP(A154,'ECN-ECO_DATA'!B:V,19,FALSE))),"")</f>
        <v/>
      </c>
      <c r="O154" s="9" t="str">
        <f>IFERROR((IF(VLOOKUP(A154,'ECN-ECO_DATA'!B:V,20,FALSE)=0/1/1900,"",VLOOKUP(A154,'ECN-ECO_DATA'!B:V,20,FALSE))),"")</f>
        <v/>
      </c>
      <c r="P154" s="9" t="str">
        <f>IFERROR((IF(VLOOKUP(A154,'ECN-ECO_DATA'!B:V,21,FALSE)=0/1/1900,"",VLOOKUP(A154,'ECN-ECO_DATA'!B:V,21,FALSE))),"")</f>
        <v/>
      </c>
      <c r="Q154" s="10" t="str">
        <f t="shared" ca="1" si="10"/>
        <v/>
      </c>
      <c r="R154" s="4" t="str">
        <f t="shared" si="11"/>
        <v/>
      </c>
      <c r="S154" s="4" t="str">
        <f t="shared" si="12"/>
        <v/>
      </c>
      <c r="T154" s="4" t="str">
        <f t="shared" si="13"/>
        <v/>
      </c>
      <c r="U154" s="10" t="str">
        <f t="shared" si="14"/>
        <v/>
      </c>
      <c r="V154" s="4"/>
    </row>
    <row r="155" spans="2:22" x14ac:dyDescent="0.25">
      <c r="B155" s="4" t="str">
        <f>IFERROR(VLOOKUP(A155,'ECN-ECO_DATA'!B:G,4,FALSE),"")</f>
        <v/>
      </c>
      <c r="C155" s="9" t="str">
        <f>IFERROR(VLOOKUP(A155,'ECN-ECO_DATA'!B:G,5,FALSE),"")</f>
        <v/>
      </c>
      <c r="D155" s="9" t="str">
        <f ca="1">IFERROR((IF(VLOOKUP(A155,'ECN-ECO_DATA'!B:G,6,FALSE)=0/1/1900,TODAY(),VLOOKUP(A155,'ECN-ECO_DATA'!B:G,6,FALSE))),"")</f>
        <v/>
      </c>
      <c r="E155" s="9" t="str">
        <f>IFERROR((IF(VLOOKUP(A155,'ECN-ECO_DATA'!B:G,6,FALSE)=0/1/1900,"",VLOOKUP(A155,'ECN-ECO_DATA'!B:G,6,FALSE))),"")</f>
        <v/>
      </c>
      <c r="F155" s="9" t="str">
        <f>IFERROR((IF(VLOOKUP(A155,'ECN-ECO_DATA'!B:J,7,FALSE)=0/1/1900,"",VLOOKUP(A155,'ECN-ECO_DATA'!B:J,7,FALSE))),"")</f>
        <v/>
      </c>
      <c r="G155" s="9" t="str">
        <f>IFERROR((IF(VLOOKUP(A155,'ECN-ECO_DATA'!B:J,8,FALSE)=0/1/1900,"",VLOOKUP(A155,'ECN-ECO_DATA'!B:J,8,FALSE))),"")</f>
        <v/>
      </c>
      <c r="H155" s="9" t="str">
        <f>IFERROR((IF(VLOOKUP(A155,'ECN-ECO_DATA'!B:J,9,FALSE)=0/1/1900,"",VLOOKUP(A155,'ECN-ECO_DATA'!B:J,9,FALSE))),"")</f>
        <v/>
      </c>
      <c r="I155" s="10" t="str">
        <f>IFERROR((IF(VLOOKUP(A155,'ECN-ECO_DATA'!B:Q,13,FALSE)="","",VLOOKUP(A155,'ECN-ECO_DATA'!B:Q,13,FALSE))),"")</f>
        <v/>
      </c>
      <c r="J155" s="10" t="str">
        <f>IFERROR((IF(VLOOKUP(A155,'ECN-ECO_DATA'!B:Q,14,FALSE)="","",VLOOKUP(A155,'ECN-ECO_DATA'!B:Q,14,FALSE))),"")</f>
        <v/>
      </c>
      <c r="K155" s="10" t="str">
        <f>IFERROR((IF(VLOOKUP(A155,'ECN-ECO_DATA'!B:Q,15,FALSE)="","",VLOOKUP(A155,'ECN-ECO_DATA'!B:Q,15,FALSE))),"")</f>
        <v/>
      </c>
      <c r="L155" s="10" t="str">
        <f>IFERROR((IF(VLOOKUP(A155,'ECN-ECO_DATA'!B:Q,16,FALSE)="","",VLOOKUP(A155,'ECN-ECO_DATA'!B:Q,16,FALSE))),"")</f>
        <v/>
      </c>
      <c r="M155" s="9" t="str">
        <f>IFERROR((IF(VLOOKUP(A155,'ECN-ECO_DATA'!B:V,18,FALSE)=0/1/1900,"",VLOOKUP(A155,'ECN-ECO_DATA'!B:V,18,FALSE))),"")</f>
        <v/>
      </c>
      <c r="N155" s="9" t="str">
        <f>IFERROR((IF(VLOOKUP(A155,'ECN-ECO_DATA'!B:V,19,FALSE)=0/1/1900,"",VLOOKUP(A155,'ECN-ECO_DATA'!B:V,19,FALSE))),"")</f>
        <v/>
      </c>
      <c r="O155" s="9" t="str">
        <f>IFERROR((IF(VLOOKUP(A155,'ECN-ECO_DATA'!B:V,20,FALSE)=0/1/1900,"",VLOOKUP(A155,'ECN-ECO_DATA'!B:V,20,FALSE))),"")</f>
        <v/>
      </c>
      <c r="P155" s="9" t="str">
        <f>IFERROR((IF(VLOOKUP(A155,'ECN-ECO_DATA'!B:V,21,FALSE)=0/1/1900,"",VLOOKUP(A155,'ECN-ECO_DATA'!B:V,21,FALSE))),"")</f>
        <v/>
      </c>
      <c r="Q155" s="10" t="str">
        <f t="shared" ca="1" si="10"/>
        <v/>
      </c>
      <c r="R155" s="4" t="str">
        <f t="shared" si="11"/>
        <v/>
      </c>
      <c r="S155" s="4" t="str">
        <f t="shared" si="12"/>
        <v/>
      </c>
      <c r="T155" s="4" t="str">
        <f t="shared" si="13"/>
        <v/>
      </c>
      <c r="U155" s="10" t="str">
        <f t="shared" si="14"/>
        <v/>
      </c>
      <c r="V155" s="4"/>
    </row>
    <row r="156" spans="2:22" x14ac:dyDescent="0.25">
      <c r="B156" s="4" t="str">
        <f>IFERROR(VLOOKUP(A156,'ECN-ECO_DATA'!B:G,4,FALSE),"")</f>
        <v/>
      </c>
      <c r="C156" s="9" t="str">
        <f>IFERROR(VLOOKUP(A156,'ECN-ECO_DATA'!B:G,5,FALSE),"")</f>
        <v/>
      </c>
      <c r="D156" s="9" t="str">
        <f ca="1">IFERROR((IF(VLOOKUP(A156,'ECN-ECO_DATA'!B:G,6,FALSE)=0/1/1900,TODAY(),VLOOKUP(A156,'ECN-ECO_DATA'!B:G,6,FALSE))),"")</f>
        <v/>
      </c>
      <c r="E156" s="9" t="str">
        <f>IFERROR((IF(VLOOKUP(A156,'ECN-ECO_DATA'!B:G,6,FALSE)=0/1/1900,"",VLOOKUP(A156,'ECN-ECO_DATA'!B:G,6,FALSE))),"")</f>
        <v/>
      </c>
      <c r="F156" s="9" t="str">
        <f>IFERROR((IF(VLOOKUP(A156,'ECN-ECO_DATA'!B:J,7,FALSE)=0/1/1900,"",VLOOKUP(A156,'ECN-ECO_DATA'!B:J,7,FALSE))),"")</f>
        <v/>
      </c>
      <c r="G156" s="9" t="str">
        <f>IFERROR((IF(VLOOKUP(A156,'ECN-ECO_DATA'!B:J,8,FALSE)=0/1/1900,"",VLOOKUP(A156,'ECN-ECO_DATA'!B:J,8,FALSE))),"")</f>
        <v/>
      </c>
      <c r="H156" s="9" t="str">
        <f>IFERROR((IF(VLOOKUP(A156,'ECN-ECO_DATA'!B:J,9,FALSE)=0/1/1900,"",VLOOKUP(A156,'ECN-ECO_DATA'!B:J,9,FALSE))),"")</f>
        <v/>
      </c>
      <c r="I156" s="10" t="str">
        <f>IFERROR((IF(VLOOKUP(A156,'ECN-ECO_DATA'!B:Q,13,FALSE)="","",VLOOKUP(A156,'ECN-ECO_DATA'!B:Q,13,FALSE))),"")</f>
        <v/>
      </c>
      <c r="J156" s="10" t="str">
        <f>IFERROR((IF(VLOOKUP(A156,'ECN-ECO_DATA'!B:Q,14,FALSE)="","",VLOOKUP(A156,'ECN-ECO_DATA'!B:Q,14,FALSE))),"")</f>
        <v/>
      </c>
      <c r="K156" s="10" t="str">
        <f>IFERROR((IF(VLOOKUP(A156,'ECN-ECO_DATA'!B:Q,15,FALSE)="","",VLOOKUP(A156,'ECN-ECO_DATA'!B:Q,15,FALSE))),"")</f>
        <v/>
      </c>
      <c r="L156" s="10" t="str">
        <f>IFERROR((IF(VLOOKUP(A156,'ECN-ECO_DATA'!B:Q,16,FALSE)="","",VLOOKUP(A156,'ECN-ECO_DATA'!B:Q,16,FALSE))),"")</f>
        <v/>
      </c>
      <c r="M156" s="9" t="str">
        <f>IFERROR((IF(VLOOKUP(A156,'ECN-ECO_DATA'!B:V,18,FALSE)=0/1/1900,"",VLOOKUP(A156,'ECN-ECO_DATA'!B:V,18,FALSE))),"")</f>
        <v/>
      </c>
      <c r="N156" s="9" t="str">
        <f>IFERROR((IF(VLOOKUP(A156,'ECN-ECO_DATA'!B:V,19,FALSE)=0/1/1900,"",VLOOKUP(A156,'ECN-ECO_DATA'!B:V,19,FALSE))),"")</f>
        <v/>
      </c>
      <c r="O156" s="9" t="str">
        <f>IFERROR((IF(VLOOKUP(A156,'ECN-ECO_DATA'!B:V,20,FALSE)=0/1/1900,"",VLOOKUP(A156,'ECN-ECO_DATA'!B:V,20,FALSE))),"")</f>
        <v/>
      </c>
      <c r="P156" s="9" t="str">
        <f>IFERROR((IF(VLOOKUP(A156,'ECN-ECO_DATA'!B:V,21,FALSE)=0/1/1900,"",VLOOKUP(A156,'ECN-ECO_DATA'!B:V,21,FALSE))),"")</f>
        <v/>
      </c>
      <c r="Q156" s="10" t="str">
        <f t="shared" ca="1" si="10"/>
        <v/>
      </c>
      <c r="R156" s="4" t="str">
        <f t="shared" si="11"/>
        <v/>
      </c>
      <c r="S156" s="4" t="str">
        <f t="shared" si="12"/>
        <v/>
      </c>
      <c r="T156" s="4" t="str">
        <f t="shared" si="13"/>
        <v/>
      </c>
      <c r="U156" s="10" t="str">
        <f t="shared" si="14"/>
        <v/>
      </c>
      <c r="V156" s="4"/>
    </row>
    <row r="157" spans="2:22" x14ac:dyDescent="0.25">
      <c r="B157" s="4" t="str">
        <f>IFERROR(VLOOKUP(A157,'ECN-ECO_DATA'!B:G,4,FALSE),"")</f>
        <v/>
      </c>
      <c r="C157" s="9" t="str">
        <f>IFERROR(VLOOKUP(A157,'ECN-ECO_DATA'!B:G,5,FALSE),"")</f>
        <v/>
      </c>
      <c r="D157" s="9" t="str">
        <f ca="1">IFERROR((IF(VLOOKUP(A157,'ECN-ECO_DATA'!B:G,6,FALSE)=0/1/1900,TODAY(),VLOOKUP(A157,'ECN-ECO_DATA'!B:G,6,FALSE))),"")</f>
        <v/>
      </c>
      <c r="E157" s="9" t="str">
        <f>IFERROR((IF(VLOOKUP(A157,'ECN-ECO_DATA'!B:G,6,FALSE)=0/1/1900,"",VLOOKUP(A157,'ECN-ECO_DATA'!B:G,6,FALSE))),"")</f>
        <v/>
      </c>
      <c r="F157" s="9" t="str">
        <f>IFERROR((IF(VLOOKUP(A157,'ECN-ECO_DATA'!B:J,7,FALSE)=0/1/1900,"",VLOOKUP(A157,'ECN-ECO_DATA'!B:J,7,FALSE))),"")</f>
        <v/>
      </c>
      <c r="G157" s="9" t="str">
        <f>IFERROR((IF(VLOOKUP(A157,'ECN-ECO_DATA'!B:J,8,FALSE)=0/1/1900,"",VLOOKUP(A157,'ECN-ECO_DATA'!B:J,8,FALSE))),"")</f>
        <v/>
      </c>
      <c r="H157" s="9" t="str">
        <f>IFERROR((IF(VLOOKUP(A157,'ECN-ECO_DATA'!B:J,9,FALSE)=0/1/1900,"",VLOOKUP(A157,'ECN-ECO_DATA'!B:J,9,FALSE))),"")</f>
        <v/>
      </c>
      <c r="I157" s="10" t="str">
        <f>IFERROR((IF(VLOOKUP(A157,'ECN-ECO_DATA'!B:Q,13,FALSE)="","",VLOOKUP(A157,'ECN-ECO_DATA'!B:Q,13,FALSE))),"")</f>
        <v/>
      </c>
      <c r="J157" s="10" t="str">
        <f>IFERROR((IF(VLOOKUP(A157,'ECN-ECO_DATA'!B:Q,14,FALSE)="","",VLOOKUP(A157,'ECN-ECO_DATA'!B:Q,14,FALSE))),"")</f>
        <v/>
      </c>
      <c r="K157" s="10" t="str">
        <f>IFERROR((IF(VLOOKUP(A157,'ECN-ECO_DATA'!B:Q,15,FALSE)="","",VLOOKUP(A157,'ECN-ECO_DATA'!B:Q,15,FALSE))),"")</f>
        <v/>
      </c>
      <c r="L157" s="10" t="str">
        <f>IFERROR((IF(VLOOKUP(A157,'ECN-ECO_DATA'!B:Q,16,FALSE)="","",VLOOKUP(A157,'ECN-ECO_DATA'!B:Q,16,FALSE))),"")</f>
        <v/>
      </c>
      <c r="M157" s="9" t="str">
        <f>IFERROR((IF(VLOOKUP(A157,'ECN-ECO_DATA'!B:V,18,FALSE)=0/1/1900,"",VLOOKUP(A157,'ECN-ECO_DATA'!B:V,18,FALSE))),"")</f>
        <v/>
      </c>
      <c r="N157" s="9" t="str">
        <f>IFERROR((IF(VLOOKUP(A157,'ECN-ECO_DATA'!B:V,19,FALSE)=0/1/1900,"",VLOOKUP(A157,'ECN-ECO_DATA'!B:V,19,FALSE))),"")</f>
        <v/>
      </c>
      <c r="O157" s="9" t="str">
        <f>IFERROR((IF(VLOOKUP(A157,'ECN-ECO_DATA'!B:V,20,FALSE)=0/1/1900,"",VLOOKUP(A157,'ECN-ECO_DATA'!B:V,20,FALSE))),"")</f>
        <v/>
      </c>
      <c r="P157" s="9" t="str">
        <f>IFERROR((IF(VLOOKUP(A157,'ECN-ECO_DATA'!B:V,21,FALSE)=0/1/1900,"",VLOOKUP(A157,'ECN-ECO_DATA'!B:V,21,FALSE))),"")</f>
        <v/>
      </c>
      <c r="Q157" s="10" t="str">
        <f t="shared" ca="1" si="10"/>
        <v/>
      </c>
      <c r="R157" s="4" t="str">
        <f t="shared" si="11"/>
        <v/>
      </c>
      <c r="S157" s="4" t="str">
        <f t="shared" si="12"/>
        <v/>
      </c>
      <c r="T157" s="4" t="str">
        <f t="shared" si="13"/>
        <v/>
      </c>
      <c r="U157" s="10" t="str">
        <f t="shared" si="14"/>
        <v/>
      </c>
      <c r="V157" s="4"/>
    </row>
    <row r="158" spans="2:22" x14ac:dyDescent="0.25">
      <c r="B158" s="4" t="str">
        <f>IFERROR(VLOOKUP(A158,'ECN-ECO_DATA'!B:G,4,FALSE),"")</f>
        <v/>
      </c>
      <c r="C158" s="9" t="str">
        <f>IFERROR(VLOOKUP(A158,'ECN-ECO_DATA'!B:G,5,FALSE),"")</f>
        <v/>
      </c>
      <c r="D158" s="9" t="str">
        <f ca="1">IFERROR((IF(VLOOKUP(A158,'ECN-ECO_DATA'!B:G,6,FALSE)=0/1/1900,TODAY(),VLOOKUP(A158,'ECN-ECO_DATA'!B:G,6,FALSE))),"")</f>
        <v/>
      </c>
      <c r="E158" s="9" t="str">
        <f>IFERROR((IF(VLOOKUP(A158,'ECN-ECO_DATA'!B:G,6,FALSE)=0/1/1900,"",VLOOKUP(A158,'ECN-ECO_DATA'!B:G,6,FALSE))),"")</f>
        <v/>
      </c>
      <c r="F158" s="9" t="str">
        <f>IFERROR((IF(VLOOKUP(A158,'ECN-ECO_DATA'!B:J,7,FALSE)=0/1/1900,"",VLOOKUP(A158,'ECN-ECO_DATA'!B:J,7,FALSE))),"")</f>
        <v/>
      </c>
      <c r="G158" s="9" t="str">
        <f>IFERROR((IF(VLOOKUP(A158,'ECN-ECO_DATA'!B:J,8,FALSE)=0/1/1900,"",VLOOKUP(A158,'ECN-ECO_DATA'!B:J,8,FALSE))),"")</f>
        <v/>
      </c>
      <c r="H158" s="9" t="str">
        <f>IFERROR((IF(VLOOKUP(A158,'ECN-ECO_DATA'!B:J,9,FALSE)=0/1/1900,"",VLOOKUP(A158,'ECN-ECO_DATA'!B:J,9,FALSE))),"")</f>
        <v/>
      </c>
      <c r="I158" s="10" t="str">
        <f>IFERROR((IF(VLOOKUP(A158,'ECN-ECO_DATA'!B:Q,13,FALSE)="","",VLOOKUP(A158,'ECN-ECO_DATA'!B:Q,13,FALSE))),"")</f>
        <v/>
      </c>
      <c r="J158" s="10" t="str">
        <f>IFERROR((IF(VLOOKUP(A158,'ECN-ECO_DATA'!B:Q,14,FALSE)="","",VLOOKUP(A158,'ECN-ECO_DATA'!B:Q,14,FALSE))),"")</f>
        <v/>
      </c>
      <c r="K158" s="10" t="str">
        <f>IFERROR((IF(VLOOKUP(A158,'ECN-ECO_DATA'!B:Q,15,FALSE)="","",VLOOKUP(A158,'ECN-ECO_DATA'!B:Q,15,FALSE))),"")</f>
        <v/>
      </c>
      <c r="L158" s="10" t="str">
        <f>IFERROR((IF(VLOOKUP(A158,'ECN-ECO_DATA'!B:Q,16,FALSE)="","",VLOOKUP(A158,'ECN-ECO_DATA'!B:Q,16,FALSE))),"")</f>
        <v/>
      </c>
      <c r="M158" s="9" t="str">
        <f>IFERROR((IF(VLOOKUP(A158,'ECN-ECO_DATA'!B:V,18,FALSE)=0/1/1900,"",VLOOKUP(A158,'ECN-ECO_DATA'!B:V,18,FALSE))),"")</f>
        <v/>
      </c>
      <c r="N158" s="9" t="str">
        <f>IFERROR((IF(VLOOKUP(A158,'ECN-ECO_DATA'!B:V,19,FALSE)=0/1/1900,"",VLOOKUP(A158,'ECN-ECO_DATA'!B:V,19,FALSE))),"")</f>
        <v/>
      </c>
      <c r="O158" s="9" t="str">
        <f>IFERROR((IF(VLOOKUP(A158,'ECN-ECO_DATA'!B:V,20,FALSE)=0/1/1900,"",VLOOKUP(A158,'ECN-ECO_DATA'!B:V,20,FALSE))),"")</f>
        <v/>
      </c>
      <c r="P158" s="9" t="str">
        <f>IFERROR((IF(VLOOKUP(A158,'ECN-ECO_DATA'!B:V,21,FALSE)=0/1/1900,"",VLOOKUP(A158,'ECN-ECO_DATA'!B:V,21,FALSE))),"")</f>
        <v/>
      </c>
      <c r="Q158" s="10" t="str">
        <f t="shared" ca="1" si="10"/>
        <v/>
      </c>
      <c r="R158" s="4" t="str">
        <f t="shared" si="11"/>
        <v/>
      </c>
      <c r="S158" s="4" t="str">
        <f t="shared" si="12"/>
        <v/>
      </c>
      <c r="T158" s="4" t="str">
        <f t="shared" si="13"/>
        <v/>
      </c>
      <c r="U158" s="10" t="str">
        <f t="shared" si="14"/>
        <v/>
      </c>
      <c r="V158" s="4"/>
    </row>
    <row r="159" spans="2:22" x14ac:dyDescent="0.25">
      <c r="B159" s="4" t="str">
        <f>IFERROR(VLOOKUP(A159,'ECN-ECO_DATA'!B:G,4,FALSE),"")</f>
        <v/>
      </c>
      <c r="C159" s="9" t="str">
        <f>IFERROR(VLOOKUP(A159,'ECN-ECO_DATA'!B:G,5,FALSE),"")</f>
        <v/>
      </c>
      <c r="D159" s="9" t="str">
        <f ca="1">IFERROR((IF(VLOOKUP(A159,'ECN-ECO_DATA'!B:G,6,FALSE)=0/1/1900,TODAY(),VLOOKUP(A159,'ECN-ECO_DATA'!B:G,6,FALSE))),"")</f>
        <v/>
      </c>
      <c r="E159" s="9" t="str">
        <f>IFERROR((IF(VLOOKUP(A159,'ECN-ECO_DATA'!B:G,6,FALSE)=0/1/1900,"",VLOOKUP(A159,'ECN-ECO_DATA'!B:G,6,FALSE))),"")</f>
        <v/>
      </c>
      <c r="F159" s="9" t="str">
        <f>IFERROR((IF(VLOOKUP(A159,'ECN-ECO_DATA'!B:J,7,FALSE)=0/1/1900,"",VLOOKUP(A159,'ECN-ECO_DATA'!B:J,7,FALSE))),"")</f>
        <v/>
      </c>
      <c r="G159" s="9" t="str">
        <f>IFERROR((IF(VLOOKUP(A159,'ECN-ECO_DATA'!B:J,8,FALSE)=0/1/1900,"",VLOOKUP(A159,'ECN-ECO_DATA'!B:J,8,FALSE))),"")</f>
        <v/>
      </c>
      <c r="H159" s="9" t="str">
        <f>IFERROR((IF(VLOOKUP(A159,'ECN-ECO_DATA'!B:J,9,FALSE)=0/1/1900,"",VLOOKUP(A159,'ECN-ECO_DATA'!B:J,9,FALSE))),"")</f>
        <v/>
      </c>
      <c r="I159" s="10" t="str">
        <f>IFERROR((IF(VLOOKUP(A159,'ECN-ECO_DATA'!B:Q,13,FALSE)="","",VLOOKUP(A159,'ECN-ECO_DATA'!B:Q,13,FALSE))),"")</f>
        <v/>
      </c>
      <c r="J159" s="10" t="str">
        <f>IFERROR((IF(VLOOKUP(A159,'ECN-ECO_DATA'!B:Q,14,FALSE)="","",VLOOKUP(A159,'ECN-ECO_DATA'!B:Q,14,FALSE))),"")</f>
        <v/>
      </c>
      <c r="K159" s="10" t="str">
        <f>IFERROR((IF(VLOOKUP(A159,'ECN-ECO_DATA'!B:Q,15,FALSE)="","",VLOOKUP(A159,'ECN-ECO_DATA'!B:Q,15,FALSE))),"")</f>
        <v/>
      </c>
      <c r="L159" s="10" t="str">
        <f>IFERROR((IF(VLOOKUP(A159,'ECN-ECO_DATA'!B:Q,16,FALSE)="","",VLOOKUP(A159,'ECN-ECO_DATA'!B:Q,16,FALSE))),"")</f>
        <v/>
      </c>
      <c r="M159" s="9" t="str">
        <f>IFERROR((IF(VLOOKUP(A159,'ECN-ECO_DATA'!B:V,18,FALSE)=0/1/1900,"",VLOOKUP(A159,'ECN-ECO_DATA'!B:V,18,FALSE))),"")</f>
        <v/>
      </c>
      <c r="N159" s="9" t="str">
        <f>IFERROR((IF(VLOOKUP(A159,'ECN-ECO_DATA'!B:V,19,FALSE)=0/1/1900,"",VLOOKUP(A159,'ECN-ECO_DATA'!B:V,19,FALSE))),"")</f>
        <v/>
      </c>
      <c r="O159" s="9" t="str">
        <f>IFERROR((IF(VLOOKUP(A159,'ECN-ECO_DATA'!B:V,20,FALSE)=0/1/1900,"",VLOOKUP(A159,'ECN-ECO_DATA'!B:V,20,FALSE))),"")</f>
        <v/>
      </c>
      <c r="P159" s="9" t="str">
        <f>IFERROR((IF(VLOOKUP(A159,'ECN-ECO_DATA'!B:V,21,FALSE)=0/1/1900,"",VLOOKUP(A159,'ECN-ECO_DATA'!B:V,21,FALSE))),"")</f>
        <v/>
      </c>
      <c r="Q159" s="10" t="str">
        <f t="shared" ca="1" si="10"/>
        <v/>
      </c>
      <c r="R159" s="4" t="str">
        <f t="shared" si="11"/>
        <v/>
      </c>
      <c r="S159" s="4" t="str">
        <f t="shared" si="12"/>
        <v/>
      </c>
      <c r="T159" s="4" t="str">
        <f t="shared" si="13"/>
        <v/>
      </c>
      <c r="U159" s="10" t="str">
        <f t="shared" si="14"/>
        <v/>
      </c>
      <c r="V159" s="4"/>
    </row>
    <row r="160" spans="2:22" x14ac:dyDescent="0.25">
      <c r="B160" s="4" t="str">
        <f>IFERROR(VLOOKUP(A160,'ECN-ECO_DATA'!B:G,4,FALSE),"")</f>
        <v/>
      </c>
      <c r="C160" s="9" t="str">
        <f>IFERROR(VLOOKUP(A160,'ECN-ECO_DATA'!B:G,5,FALSE),"")</f>
        <v/>
      </c>
      <c r="D160" s="9" t="str">
        <f ca="1">IFERROR((IF(VLOOKUP(A160,'ECN-ECO_DATA'!B:G,6,FALSE)=0/1/1900,TODAY(),VLOOKUP(A160,'ECN-ECO_DATA'!B:G,6,FALSE))),"")</f>
        <v/>
      </c>
      <c r="E160" s="9" t="str">
        <f>IFERROR((IF(VLOOKUP(A160,'ECN-ECO_DATA'!B:G,6,FALSE)=0/1/1900,"",VLOOKUP(A160,'ECN-ECO_DATA'!B:G,6,FALSE))),"")</f>
        <v/>
      </c>
      <c r="F160" s="9" t="str">
        <f>IFERROR((IF(VLOOKUP(A160,'ECN-ECO_DATA'!B:J,7,FALSE)=0/1/1900,"",VLOOKUP(A160,'ECN-ECO_DATA'!B:J,7,FALSE))),"")</f>
        <v/>
      </c>
      <c r="G160" s="9" t="str">
        <f>IFERROR((IF(VLOOKUP(A160,'ECN-ECO_DATA'!B:J,8,FALSE)=0/1/1900,"",VLOOKUP(A160,'ECN-ECO_DATA'!B:J,8,FALSE))),"")</f>
        <v/>
      </c>
      <c r="H160" s="9" t="str">
        <f>IFERROR((IF(VLOOKUP(A160,'ECN-ECO_DATA'!B:J,9,FALSE)=0/1/1900,"",VLOOKUP(A160,'ECN-ECO_DATA'!B:J,9,FALSE))),"")</f>
        <v/>
      </c>
      <c r="I160" s="10" t="str">
        <f>IFERROR((IF(VLOOKUP(A160,'ECN-ECO_DATA'!B:Q,13,FALSE)="","",VLOOKUP(A160,'ECN-ECO_DATA'!B:Q,13,FALSE))),"")</f>
        <v/>
      </c>
      <c r="J160" s="10" t="str">
        <f>IFERROR((IF(VLOOKUP(A160,'ECN-ECO_DATA'!B:Q,14,FALSE)="","",VLOOKUP(A160,'ECN-ECO_DATA'!B:Q,14,FALSE))),"")</f>
        <v/>
      </c>
      <c r="K160" s="10" t="str">
        <f>IFERROR((IF(VLOOKUP(A160,'ECN-ECO_DATA'!B:Q,15,FALSE)="","",VLOOKUP(A160,'ECN-ECO_DATA'!B:Q,15,FALSE))),"")</f>
        <v/>
      </c>
      <c r="L160" s="10" t="str">
        <f>IFERROR((IF(VLOOKUP(A160,'ECN-ECO_DATA'!B:Q,16,FALSE)="","",VLOOKUP(A160,'ECN-ECO_DATA'!B:Q,16,FALSE))),"")</f>
        <v/>
      </c>
      <c r="M160" s="9" t="str">
        <f>IFERROR((IF(VLOOKUP(A160,'ECN-ECO_DATA'!B:V,18,FALSE)=0/1/1900,"",VLOOKUP(A160,'ECN-ECO_DATA'!B:V,18,FALSE))),"")</f>
        <v/>
      </c>
      <c r="N160" s="9" t="str">
        <f>IFERROR((IF(VLOOKUP(A160,'ECN-ECO_DATA'!B:V,19,FALSE)=0/1/1900,"",VLOOKUP(A160,'ECN-ECO_DATA'!B:V,19,FALSE))),"")</f>
        <v/>
      </c>
      <c r="O160" s="9" t="str">
        <f>IFERROR((IF(VLOOKUP(A160,'ECN-ECO_DATA'!B:V,20,FALSE)=0/1/1900,"",VLOOKUP(A160,'ECN-ECO_DATA'!B:V,20,FALSE))),"")</f>
        <v/>
      </c>
      <c r="P160" s="9" t="str">
        <f>IFERROR((IF(VLOOKUP(A160,'ECN-ECO_DATA'!B:V,21,FALSE)=0/1/1900,"",VLOOKUP(A160,'ECN-ECO_DATA'!B:V,21,FALSE))),"")</f>
        <v/>
      </c>
      <c r="Q160" s="10" t="str">
        <f t="shared" ca="1" si="10"/>
        <v/>
      </c>
      <c r="R160" s="4" t="str">
        <f t="shared" si="11"/>
        <v/>
      </c>
      <c r="S160" s="4" t="str">
        <f t="shared" si="12"/>
        <v/>
      </c>
      <c r="T160" s="4" t="str">
        <f t="shared" si="13"/>
        <v/>
      </c>
      <c r="U160" s="10" t="str">
        <f t="shared" si="14"/>
        <v/>
      </c>
      <c r="V160" s="4"/>
    </row>
    <row r="161" spans="2:22" x14ac:dyDescent="0.25">
      <c r="B161" s="4" t="str">
        <f>IFERROR(VLOOKUP(A161,'ECN-ECO_DATA'!B:G,4,FALSE),"")</f>
        <v/>
      </c>
      <c r="C161" s="9" t="str">
        <f>IFERROR(VLOOKUP(A161,'ECN-ECO_DATA'!B:G,5,FALSE),"")</f>
        <v/>
      </c>
      <c r="D161" s="9" t="str">
        <f ca="1">IFERROR((IF(VLOOKUP(A161,'ECN-ECO_DATA'!B:G,6,FALSE)=0/1/1900,TODAY(),VLOOKUP(A161,'ECN-ECO_DATA'!B:G,6,FALSE))),"")</f>
        <v/>
      </c>
      <c r="E161" s="9" t="str">
        <f>IFERROR((IF(VLOOKUP(A161,'ECN-ECO_DATA'!B:G,6,FALSE)=0/1/1900,"",VLOOKUP(A161,'ECN-ECO_DATA'!B:G,6,FALSE))),"")</f>
        <v/>
      </c>
      <c r="F161" s="9" t="str">
        <f>IFERROR((IF(VLOOKUP(A161,'ECN-ECO_DATA'!B:J,7,FALSE)=0/1/1900,"",VLOOKUP(A161,'ECN-ECO_DATA'!B:J,7,FALSE))),"")</f>
        <v/>
      </c>
      <c r="G161" s="9" t="str">
        <f>IFERROR((IF(VLOOKUP(A161,'ECN-ECO_DATA'!B:J,8,FALSE)=0/1/1900,"",VLOOKUP(A161,'ECN-ECO_DATA'!B:J,8,FALSE))),"")</f>
        <v/>
      </c>
      <c r="H161" s="9" t="str">
        <f>IFERROR((IF(VLOOKUP(A161,'ECN-ECO_DATA'!B:J,9,FALSE)=0/1/1900,"",VLOOKUP(A161,'ECN-ECO_DATA'!B:J,9,FALSE))),"")</f>
        <v/>
      </c>
      <c r="I161" s="10" t="str">
        <f>IFERROR((IF(VLOOKUP(A161,'ECN-ECO_DATA'!B:Q,13,FALSE)="","",VLOOKUP(A161,'ECN-ECO_DATA'!B:Q,13,FALSE))),"")</f>
        <v/>
      </c>
      <c r="J161" s="10" t="str">
        <f>IFERROR((IF(VLOOKUP(A161,'ECN-ECO_DATA'!B:Q,14,FALSE)="","",VLOOKUP(A161,'ECN-ECO_DATA'!B:Q,14,FALSE))),"")</f>
        <v/>
      </c>
      <c r="K161" s="10" t="str">
        <f>IFERROR((IF(VLOOKUP(A161,'ECN-ECO_DATA'!B:Q,15,FALSE)="","",VLOOKUP(A161,'ECN-ECO_DATA'!B:Q,15,FALSE))),"")</f>
        <v/>
      </c>
      <c r="L161" s="10" t="str">
        <f>IFERROR((IF(VLOOKUP(A161,'ECN-ECO_DATA'!B:Q,16,FALSE)="","",VLOOKUP(A161,'ECN-ECO_DATA'!B:Q,16,FALSE))),"")</f>
        <v/>
      </c>
      <c r="M161" s="9" t="str">
        <f>IFERROR((IF(VLOOKUP(A161,'ECN-ECO_DATA'!B:V,18,FALSE)=0/1/1900,"",VLOOKUP(A161,'ECN-ECO_DATA'!B:V,18,FALSE))),"")</f>
        <v/>
      </c>
      <c r="N161" s="9" t="str">
        <f>IFERROR((IF(VLOOKUP(A161,'ECN-ECO_DATA'!B:V,19,FALSE)=0/1/1900,"",VLOOKUP(A161,'ECN-ECO_DATA'!B:V,19,FALSE))),"")</f>
        <v/>
      </c>
      <c r="O161" s="9" t="str">
        <f>IFERROR((IF(VLOOKUP(A161,'ECN-ECO_DATA'!B:V,20,FALSE)=0/1/1900,"",VLOOKUP(A161,'ECN-ECO_DATA'!B:V,20,FALSE))),"")</f>
        <v/>
      </c>
      <c r="P161" s="9" t="str">
        <f>IFERROR((IF(VLOOKUP(A161,'ECN-ECO_DATA'!B:V,21,FALSE)=0/1/1900,"",VLOOKUP(A161,'ECN-ECO_DATA'!B:V,21,FALSE))),"")</f>
        <v/>
      </c>
      <c r="Q161" s="10" t="str">
        <f t="shared" ca="1" si="10"/>
        <v/>
      </c>
      <c r="R161" s="4" t="str">
        <f t="shared" si="11"/>
        <v/>
      </c>
      <c r="S161" s="4" t="str">
        <f t="shared" si="12"/>
        <v/>
      </c>
      <c r="T161" s="4" t="str">
        <f t="shared" si="13"/>
        <v/>
      </c>
      <c r="U161" s="10" t="str">
        <f t="shared" si="14"/>
        <v/>
      </c>
      <c r="V161" s="4"/>
    </row>
    <row r="162" spans="2:22" x14ac:dyDescent="0.25">
      <c r="B162" s="4" t="str">
        <f>IFERROR(VLOOKUP(A162,'ECN-ECO_DATA'!B:G,4,FALSE),"")</f>
        <v/>
      </c>
      <c r="C162" s="9" t="str">
        <f>IFERROR(VLOOKUP(A162,'ECN-ECO_DATA'!B:G,5,FALSE),"")</f>
        <v/>
      </c>
      <c r="D162" s="9" t="str">
        <f ca="1">IFERROR((IF(VLOOKUP(A162,'ECN-ECO_DATA'!B:G,6,FALSE)=0/1/1900,TODAY(),VLOOKUP(A162,'ECN-ECO_DATA'!B:G,6,FALSE))),"")</f>
        <v/>
      </c>
      <c r="E162" s="9" t="str">
        <f>IFERROR((IF(VLOOKUP(A162,'ECN-ECO_DATA'!B:G,6,FALSE)=0/1/1900,"",VLOOKUP(A162,'ECN-ECO_DATA'!B:G,6,FALSE))),"")</f>
        <v/>
      </c>
      <c r="F162" s="9" t="str">
        <f>IFERROR((IF(VLOOKUP(A162,'ECN-ECO_DATA'!B:J,7,FALSE)=0/1/1900,"",VLOOKUP(A162,'ECN-ECO_DATA'!B:J,7,FALSE))),"")</f>
        <v/>
      </c>
      <c r="G162" s="9" t="str">
        <f>IFERROR((IF(VLOOKUP(A162,'ECN-ECO_DATA'!B:J,8,FALSE)=0/1/1900,"",VLOOKUP(A162,'ECN-ECO_DATA'!B:J,8,FALSE))),"")</f>
        <v/>
      </c>
      <c r="H162" s="9" t="str">
        <f>IFERROR((IF(VLOOKUP(A162,'ECN-ECO_DATA'!B:J,9,FALSE)=0/1/1900,"",VLOOKUP(A162,'ECN-ECO_DATA'!B:J,9,FALSE))),"")</f>
        <v/>
      </c>
      <c r="I162" s="10" t="str">
        <f>IFERROR((IF(VLOOKUP(A162,'ECN-ECO_DATA'!B:Q,13,FALSE)="","",VLOOKUP(A162,'ECN-ECO_DATA'!B:Q,13,FALSE))),"")</f>
        <v/>
      </c>
      <c r="J162" s="10" t="str">
        <f>IFERROR((IF(VLOOKUP(A162,'ECN-ECO_DATA'!B:Q,14,FALSE)="","",VLOOKUP(A162,'ECN-ECO_DATA'!B:Q,14,FALSE))),"")</f>
        <v/>
      </c>
      <c r="K162" s="10" t="str">
        <f>IFERROR((IF(VLOOKUP(A162,'ECN-ECO_DATA'!B:Q,15,FALSE)="","",VLOOKUP(A162,'ECN-ECO_DATA'!B:Q,15,FALSE))),"")</f>
        <v/>
      </c>
      <c r="L162" s="10" t="str">
        <f>IFERROR((IF(VLOOKUP(A162,'ECN-ECO_DATA'!B:Q,16,FALSE)="","",VLOOKUP(A162,'ECN-ECO_DATA'!B:Q,16,FALSE))),"")</f>
        <v/>
      </c>
      <c r="M162" s="9" t="str">
        <f>IFERROR((IF(VLOOKUP(A162,'ECN-ECO_DATA'!B:V,18,FALSE)=0/1/1900,"",VLOOKUP(A162,'ECN-ECO_DATA'!B:V,18,FALSE))),"")</f>
        <v/>
      </c>
      <c r="N162" s="9" t="str">
        <f>IFERROR((IF(VLOOKUP(A162,'ECN-ECO_DATA'!B:V,19,FALSE)=0/1/1900,"",VLOOKUP(A162,'ECN-ECO_DATA'!B:V,19,FALSE))),"")</f>
        <v/>
      </c>
      <c r="O162" s="9" t="str">
        <f>IFERROR((IF(VLOOKUP(A162,'ECN-ECO_DATA'!B:V,20,FALSE)=0/1/1900,"",VLOOKUP(A162,'ECN-ECO_DATA'!B:V,20,FALSE))),"")</f>
        <v/>
      </c>
      <c r="P162" s="9" t="str">
        <f>IFERROR((IF(VLOOKUP(A162,'ECN-ECO_DATA'!B:V,21,FALSE)=0/1/1900,"",VLOOKUP(A162,'ECN-ECO_DATA'!B:V,21,FALSE))),"")</f>
        <v/>
      </c>
      <c r="Q162" s="10" t="str">
        <f t="shared" ca="1" si="10"/>
        <v/>
      </c>
      <c r="R162" s="4" t="str">
        <f t="shared" si="11"/>
        <v/>
      </c>
      <c r="S162" s="4" t="str">
        <f t="shared" si="12"/>
        <v/>
      </c>
      <c r="T162" s="4" t="str">
        <f t="shared" si="13"/>
        <v/>
      </c>
      <c r="U162" s="10" t="str">
        <f t="shared" si="14"/>
        <v/>
      </c>
      <c r="V162" s="4"/>
    </row>
    <row r="163" spans="2:22" x14ac:dyDescent="0.25">
      <c r="B163" s="4" t="str">
        <f>IFERROR(VLOOKUP(A163,'ECN-ECO_DATA'!B:G,4,FALSE),"")</f>
        <v/>
      </c>
      <c r="C163" s="9" t="str">
        <f>IFERROR(VLOOKUP(A163,'ECN-ECO_DATA'!B:G,5,FALSE),"")</f>
        <v/>
      </c>
      <c r="D163" s="9" t="str">
        <f ca="1">IFERROR((IF(VLOOKUP(A163,'ECN-ECO_DATA'!B:G,6,FALSE)=0/1/1900,TODAY(),VLOOKUP(A163,'ECN-ECO_DATA'!B:G,6,FALSE))),"")</f>
        <v/>
      </c>
      <c r="E163" s="9" t="str">
        <f>IFERROR((IF(VLOOKUP(A163,'ECN-ECO_DATA'!B:G,6,FALSE)=0/1/1900,"",VLOOKUP(A163,'ECN-ECO_DATA'!B:G,6,FALSE))),"")</f>
        <v/>
      </c>
      <c r="F163" s="9" t="str">
        <f>IFERROR((IF(VLOOKUP(A163,'ECN-ECO_DATA'!B:J,7,FALSE)=0/1/1900,"",VLOOKUP(A163,'ECN-ECO_DATA'!B:J,7,FALSE))),"")</f>
        <v/>
      </c>
      <c r="G163" s="9" t="str">
        <f>IFERROR((IF(VLOOKUP(A163,'ECN-ECO_DATA'!B:J,8,FALSE)=0/1/1900,"",VLOOKUP(A163,'ECN-ECO_DATA'!B:J,8,FALSE))),"")</f>
        <v/>
      </c>
      <c r="H163" s="9" t="str">
        <f>IFERROR((IF(VLOOKUP(A163,'ECN-ECO_DATA'!B:J,9,FALSE)=0/1/1900,"",VLOOKUP(A163,'ECN-ECO_DATA'!B:J,9,FALSE))),"")</f>
        <v/>
      </c>
      <c r="I163" s="10" t="str">
        <f>IFERROR((IF(VLOOKUP(A163,'ECN-ECO_DATA'!B:Q,13,FALSE)="","",VLOOKUP(A163,'ECN-ECO_DATA'!B:Q,13,FALSE))),"")</f>
        <v/>
      </c>
      <c r="J163" s="10" t="str">
        <f>IFERROR((IF(VLOOKUP(A163,'ECN-ECO_DATA'!B:Q,14,FALSE)="","",VLOOKUP(A163,'ECN-ECO_DATA'!B:Q,14,FALSE))),"")</f>
        <v/>
      </c>
      <c r="K163" s="10" t="str">
        <f>IFERROR((IF(VLOOKUP(A163,'ECN-ECO_DATA'!B:Q,15,FALSE)="","",VLOOKUP(A163,'ECN-ECO_DATA'!B:Q,15,FALSE))),"")</f>
        <v/>
      </c>
      <c r="L163" s="10" t="str">
        <f>IFERROR((IF(VLOOKUP(A163,'ECN-ECO_DATA'!B:Q,16,FALSE)="","",VLOOKUP(A163,'ECN-ECO_DATA'!B:Q,16,FALSE))),"")</f>
        <v/>
      </c>
      <c r="M163" s="9" t="str">
        <f>IFERROR((IF(VLOOKUP(A163,'ECN-ECO_DATA'!B:V,18,FALSE)=0/1/1900,"",VLOOKUP(A163,'ECN-ECO_DATA'!B:V,18,FALSE))),"")</f>
        <v/>
      </c>
      <c r="N163" s="9" t="str">
        <f>IFERROR((IF(VLOOKUP(A163,'ECN-ECO_DATA'!B:V,19,FALSE)=0/1/1900,"",VLOOKUP(A163,'ECN-ECO_DATA'!B:V,19,FALSE))),"")</f>
        <v/>
      </c>
      <c r="O163" s="9" t="str">
        <f>IFERROR((IF(VLOOKUP(A163,'ECN-ECO_DATA'!B:V,20,FALSE)=0/1/1900,"",VLOOKUP(A163,'ECN-ECO_DATA'!B:V,20,FALSE))),"")</f>
        <v/>
      </c>
      <c r="P163" s="9" t="str">
        <f>IFERROR((IF(VLOOKUP(A163,'ECN-ECO_DATA'!B:V,21,FALSE)=0/1/1900,"",VLOOKUP(A163,'ECN-ECO_DATA'!B:V,21,FALSE))),"")</f>
        <v/>
      </c>
      <c r="Q163" s="10" t="str">
        <f t="shared" ca="1" si="10"/>
        <v/>
      </c>
      <c r="R163" s="4" t="str">
        <f t="shared" si="11"/>
        <v/>
      </c>
      <c r="S163" s="4" t="str">
        <f t="shared" si="12"/>
        <v/>
      </c>
      <c r="T163" s="4" t="str">
        <f t="shared" si="13"/>
        <v/>
      </c>
      <c r="U163" s="10" t="str">
        <f t="shared" si="14"/>
        <v/>
      </c>
      <c r="V163" s="4"/>
    </row>
    <row r="164" spans="2:22" x14ac:dyDescent="0.25">
      <c r="B164" s="4" t="str">
        <f>IFERROR(VLOOKUP(A164,'ECN-ECO_DATA'!B:G,4,FALSE),"")</f>
        <v/>
      </c>
      <c r="C164" s="9" t="str">
        <f>IFERROR(VLOOKUP(A164,'ECN-ECO_DATA'!B:G,5,FALSE),"")</f>
        <v/>
      </c>
      <c r="D164" s="9" t="str">
        <f ca="1">IFERROR((IF(VLOOKUP(A164,'ECN-ECO_DATA'!B:G,6,FALSE)=0/1/1900,TODAY(),VLOOKUP(A164,'ECN-ECO_DATA'!B:G,6,FALSE))),"")</f>
        <v/>
      </c>
      <c r="E164" s="9" t="str">
        <f>IFERROR((IF(VLOOKUP(A164,'ECN-ECO_DATA'!B:G,6,FALSE)=0/1/1900,"",VLOOKUP(A164,'ECN-ECO_DATA'!B:G,6,FALSE))),"")</f>
        <v/>
      </c>
      <c r="F164" s="9" t="str">
        <f>IFERROR((IF(VLOOKUP(A164,'ECN-ECO_DATA'!B:J,7,FALSE)=0/1/1900,"",VLOOKUP(A164,'ECN-ECO_DATA'!B:J,7,FALSE))),"")</f>
        <v/>
      </c>
      <c r="G164" s="9" t="str">
        <f>IFERROR((IF(VLOOKUP(A164,'ECN-ECO_DATA'!B:J,8,FALSE)=0/1/1900,"",VLOOKUP(A164,'ECN-ECO_DATA'!B:J,8,FALSE))),"")</f>
        <v/>
      </c>
      <c r="H164" s="9" t="str">
        <f>IFERROR((IF(VLOOKUP(A164,'ECN-ECO_DATA'!B:J,9,FALSE)=0/1/1900,"",VLOOKUP(A164,'ECN-ECO_DATA'!B:J,9,FALSE))),"")</f>
        <v/>
      </c>
      <c r="I164" s="10" t="str">
        <f>IFERROR((IF(VLOOKUP(A164,'ECN-ECO_DATA'!B:Q,13,FALSE)="","",VLOOKUP(A164,'ECN-ECO_DATA'!B:Q,13,FALSE))),"")</f>
        <v/>
      </c>
      <c r="J164" s="10" t="str">
        <f>IFERROR((IF(VLOOKUP(A164,'ECN-ECO_DATA'!B:Q,14,FALSE)="","",VLOOKUP(A164,'ECN-ECO_DATA'!B:Q,14,FALSE))),"")</f>
        <v/>
      </c>
      <c r="K164" s="10" t="str">
        <f>IFERROR((IF(VLOOKUP(A164,'ECN-ECO_DATA'!B:Q,15,FALSE)="","",VLOOKUP(A164,'ECN-ECO_DATA'!B:Q,15,FALSE))),"")</f>
        <v/>
      </c>
      <c r="L164" s="10" t="str">
        <f>IFERROR((IF(VLOOKUP(A164,'ECN-ECO_DATA'!B:Q,16,FALSE)="","",VLOOKUP(A164,'ECN-ECO_DATA'!B:Q,16,FALSE))),"")</f>
        <v/>
      </c>
      <c r="M164" s="9" t="str">
        <f>IFERROR((IF(VLOOKUP(A164,'ECN-ECO_DATA'!B:V,18,FALSE)=0/1/1900,"",VLOOKUP(A164,'ECN-ECO_DATA'!B:V,18,FALSE))),"")</f>
        <v/>
      </c>
      <c r="N164" s="9" t="str">
        <f>IFERROR((IF(VLOOKUP(A164,'ECN-ECO_DATA'!B:V,19,FALSE)=0/1/1900,"",VLOOKUP(A164,'ECN-ECO_DATA'!B:V,19,FALSE))),"")</f>
        <v/>
      </c>
      <c r="O164" s="9" t="str">
        <f>IFERROR((IF(VLOOKUP(A164,'ECN-ECO_DATA'!B:V,20,FALSE)=0/1/1900,"",VLOOKUP(A164,'ECN-ECO_DATA'!B:V,20,FALSE))),"")</f>
        <v/>
      </c>
      <c r="P164" s="9" t="str">
        <f>IFERROR((IF(VLOOKUP(A164,'ECN-ECO_DATA'!B:V,21,FALSE)=0/1/1900,"",VLOOKUP(A164,'ECN-ECO_DATA'!B:V,21,FALSE))),"")</f>
        <v/>
      </c>
      <c r="Q164" s="10" t="str">
        <f t="shared" ca="1" si="10"/>
        <v/>
      </c>
      <c r="R164" s="4" t="str">
        <f t="shared" si="11"/>
        <v/>
      </c>
      <c r="S164" s="4" t="str">
        <f t="shared" si="12"/>
        <v/>
      </c>
      <c r="T164" s="4" t="str">
        <f t="shared" si="13"/>
        <v/>
      </c>
      <c r="U164" s="10" t="str">
        <f t="shared" si="14"/>
        <v/>
      </c>
      <c r="V164" s="4"/>
    </row>
    <row r="165" spans="2:22" x14ac:dyDescent="0.25">
      <c r="B165" s="4" t="str">
        <f>IFERROR(VLOOKUP(A165,'ECN-ECO_DATA'!B:G,4,FALSE),"")</f>
        <v/>
      </c>
      <c r="C165" s="9" t="str">
        <f>IFERROR(VLOOKUP(A165,'ECN-ECO_DATA'!B:G,5,FALSE),"")</f>
        <v/>
      </c>
      <c r="D165" s="9" t="str">
        <f ca="1">IFERROR((IF(VLOOKUP(A165,'ECN-ECO_DATA'!B:G,6,FALSE)=0/1/1900,TODAY(),VLOOKUP(A165,'ECN-ECO_DATA'!B:G,6,FALSE))),"")</f>
        <v/>
      </c>
      <c r="E165" s="9" t="str">
        <f>IFERROR((IF(VLOOKUP(A165,'ECN-ECO_DATA'!B:G,6,FALSE)=0/1/1900,"",VLOOKUP(A165,'ECN-ECO_DATA'!B:G,6,FALSE))),"")</f>
        <v/>
      </c>
      <c r="F165" s="9" t="str">
        <f>IFERROR((IF(VLOOKUP(A165,'ECN-ECO_DATA'!B:J,7,FALSE)=0/1/1900,"",VLOOKUP(A165,'ECN-ECO_DATA'!B:J,7,FALSE))),"")</f>
        <v/>
      </c>
      <c r="G165" s="9" t="str">
        <f>IFERROR((IF(VLOOKUP(A165,'ECN-ECO_DATA'!B:J,8,FALSE)=0/1/1900,"",VLOOKUP(A165,'ECN-ECO_DATA'!B:J,8,FALSE))),"")</f>
        <v/>
      </c>
      <c r="H165" s="9" t="str">
        <f>IFERROR((IF(VLOOKUP(A165,'ECN-ECO_DATA'!B:J,9,FALSE)=0/1/1900,"",VLOOKUP(A165,'ECN-ECO_DATA'!B:J,9,FALSE))),"")</f>
        <v/>
      </c>
      <c r="I165" s="10" t="str">
        <f>IFERROR((IF(VLOOKUP(A165,'ECN-ECO_DATA'!B:Q,13,FALSE)="","",VLOOKUP(A165,'ECN-ECO_DATA'!B:Q,13,FALSE))),"")</f>
        <v/>
      </c>
      <c r="J165" s="10" t="str">
        <f>IFERROR((IF(VLOOKUP(A165,'ECN-ECO_DATA'!B:Q,14,FALSE)="","",VLOOKUP(A165,'ECN-ECO_DATA'!B:Q,14,FALSE))),"")</f>
        <v/>
      </c>
      <c r="K165" s="10" t="str">
        <f>IFERROR((IF(VLOOKUP(A165,'ECN-ECO_DATA'!B:Q,15,FALSE)="","",VLOOKUP(A165,'ECN-ECO_DATA'!B:Q,15,FALSE))),"")</f>
        <v/>
      </c>
      <c r="L165" s="10" t="str">
        <f>IFERROR((IF(VLOOKUP(A165,'ECN-ECO_DATA'!B:Q,16,FALSE)="","",VLOOKUP(A165,'ECN-ECO_DATA'!B:Q,16,FALSE))),"")</f>
        <v/>
      </c>
      <c r="M165" s="9" t="str">
        <f>IFERROR((IF(VLOOKUP(A165,'ECN-ECO_DATA'!B:V,18,FALSE)=0/1/1900,"",VLOOKUP(A165,'ECN-ECO_DATA'!B:V,18,FALSE))),"")</f>
        <v/>
      </c>
      <c r="N165" s="9" t="str">
        <f>IFERROR((IF(VLOOKUP(A165,'ECN-ECO_DATA'!B:V,19,FALSE)=0/1/1900,"",VLOOKUP(A165,'ECN-ECO_DATA'!B:V,19,FALSE))),"")</f>
        <v/>
      </c>
      <c r="O165" s="9" t="str">
        <f>IFERROR((IF(VLOOKUP(A165,'ECN-ECO_DATA'!B:V,20,FALSE)=0/1/1900,"",VLOOKUP(A165,'ECN-ECO_DATA'!B:V,20,FALSE))),"")</f>
        <v/>
      </c>
      <c r="P165" s="9" t="str">
        <f>IFERROR((IF(VLOOKUP(A165,'ECN-ECO_DATA'!B:V,21,FALSE)=0/1/1900,"",VLOOKUP(A165,'ECN-ECO_DATA'!B:V,21,FALSE))),"")</f>
        <v/>
      </c>
      <c r="Q165" s="10" t="str">
        <f t="shared" ca="1" si="10"/>
        <v/>
      </c>
      <c r="R165" s="4" t="str">
        <f t="shared" si="11"/>
        <v/>
      </c>
      <c r="S165" s="4" t="str">
        <f t="shared" si="12"/>
        <v/>
      </c>
      <c r="T165" s="4" t="str">
        <f t="shared" si="13"/>
        <v/>
      </c>
      <c r="U165" s="10" t="str">
        <f t="shared" si="14"/>
        <v/>
      </c>
      <c r="V165" s="4"/>
    </row>
    <row r="166" spans="2:22" x14ac:dyDescent="0.25">
      <c r="B166" s="4" t="str">
        <f>IFERROR(VLOOKUP(A166,'ECN-ECO_DATA'!B:G,4,FALSE),"")</f>
        <v/>
      </c>
      <c r="C166" s="9" t="str">
        <f>IFERROR(VLOOKUP(A166,'ECN-ECO_DATA'!B:G,5,FALSE),"")</f>
        <v/>
      </c>
      <c r="D166" s="9" t="str">
        <f ca="1">IFERROR((IF(VLOOKUP(A166,'ECN-ECO_DATA'!B:G,6,FALSE)=0/1/1900,TODAY(),VLOOKUP(A166,'ECN-ECO_DATA'!B:G,6,FALSE))),"")</f>
        <v/>
      </c>
      <c r="E166" s="9" t="str">
        <f>IFERROR((IF(VLOOKUP(A166,'ECN-ECO_DATA'!B:G,6,FALSE)=0/1/1900,"",VLOOKUP(A166,'ECN-ECO_DATA'!B:G,6,FALSE))),"")</f>
        <v/>
      </c>
      <c r="F166" s="9" t="str">
        <f>IFERROR((IF(VLOOKUP(A166,'ECN-ECO_DATA'!B:J,7,FALSE)=0/1/1900,"",VLOOKUP(A166,'ECN-ECO_DATA'!B:J,7,FALSE))),"")</f>
        <v/>
      </c>
      <c r="G166" s="9" t="str">
        <f>IFERROR((IF(VLOOKUP(A166,'ECN-ECO_DATA'!B:J,8,FALSE)=0/1/1900,"",VLOOKUP(A166,'ECN-ECO_DATA'!B:J,8,FALSE))),"")</f>
        <v/>
      </c>
      <c r="H166" s="9" t="str">
        <f>IFERROR((IF(VLOOKUP(A166,'ECN-ECO_DATA'!B:J,9,FALSE)=0/1/1900,"",VLOOKUP(A166,'ECN-ECO_DATA'!B:J,9,FALSE))),"")</f>
        <v/>
      </c>
      <c r="I166" s="10" t="str">
        <f>IFERROR((IF(VLOOKUP(A166,'ECN-ECO_DATA'!B:Q,13,FALSE)="","",VLOOKUP(A166,'ECN-ECO_DATA'!B:Q,13,FALSE))),"")</f>
        <v/>
      </c>
      <c r="J166" s="10" t="str">
        <f>IFERROR((IF(VLOOKUP(A166,'ECN-ECO_DATA'!B:Q,14,FALSE)="","",VLOOKUP(A166,'ECN-ECO_DATA'!B:Q,14,FALSE))),"")</f>
        <v/>
      </c>
      <c r="K166" s="10" t="str">
        <f>IFERROR((IF(VLOOKUP(A166,'ECN-ECO_DATA'!B:Q,15,FALSE)="","",VLOOKUP(A166,'ECN-ECO_DATA'!B:Q,15,FALSE))),"")</f>
        <v/>
      </c>
      <c r="L166" s="10" t="str">
        <f>IFERROR((IF(VLOOKUP(A166,'ECN-ECO_DATA'!B:Q,16,FALSE)="","",VLOOKUP(A166,'ECN-ECO_DATA'!B:Q,16,FALSE))),"")</f>
        <v/>
      </c>
      <c r="M166" s="9" t="str">
        <f>IFERROR((IF(VLOOKUP(A166,'ECN-ECO_DATA'!B:V,18,FALSE)=0/1/1900,"",VLOOKUP(A166,'ECN-ECO_DATA'!B:V,18,FALSE))),"")</f>
        <v/>
      </c>
      <c r="N166" s="9" t="str">
        <f>IFERROR((IF(VLOOKUP(A166,'ECN-ECO_DATA'!B:V,19,FALSE)=0/1/1900,"",VLOOKUP(A166,'ECN-ECO_DATA'!B:V,19,FALSE))),"")</f>
        <v/>
      </c>
      <c r="O166" s="9" t="str">
        <f>IFERROR((IF(VLOOKUP(A166,'ECN-ECO_DATA'!B:V,20,FALSE)=0/1/1900,"",VLOOKUP(A166,'ECN-ECO_DATA'!B:V,20,FALSE))),"")</f>
        <v/>
      </c>
      <c r="P166" s="9" t="str">
        <f>IFERROR((IF(VLOOKUP(A166,'ECN-ECO_DATA'!B:V,21,FALSE)=0/1/1900,"",VLOOKUP(A166,'ECN-ECO_DATA'!B:V,21,FALSE))),"")</f>
        <v/>
      </c>
      <c r="Q166" s="10" t="str">
        <f t="shared" ca="1" si="10"/>
        <v/>
      </c>
      <c r="R166" s="4" t="str">
        <f t="shared" si="11"/>
        <v/>
      </c>
      <c r="S166" s="4" t="str">
        <f t="shared" si="12"/>
        <v/>
      </c>
      <c r="T166" s="4" t="str">
        <f t="shared" si="13"/>
        <v/>
      </c>
      <c r="U166" s="10" t="str">
        <f t="shared" si="14"/>
        <v/>
      </c>
      <c r="V166" s="4"/>
    </row>
    <row r="167" spans="2:22" x14ac:dyDescent="0.25">
      <c r="B167" s="4" t="str">
        <f>IFERROR(VLOOKUP(A167,'ECN-ECO_DATA'!B:G,4,FALSE),"")</f>
        <v/>
      </c>
      <c r="C167" s="9" t="str">
        <f>IFERROR(VLOOKUP(A167,'ECN-ECO_DATA'!B:G,5,FALSE),"")</f>
        <v/>
      </c>
      <c r="D167" s="9" t="str">
        <f ca="1">IFERROR((IF(VLOOKUP(A167,'ECN-ECO_DATA'!B:G,6,FALSE)=0/1/1900,TODAY(),VLOOKUP(A167,'ECN-ECO_DATA'!B:G,6,FALSE))),"")</f>
        <v/>
      </c>
      <c r="E167" s="9" t="str">
        <f>IFERROR((IF(VLOOKUP(A167,'ECN-ECO_DATA'!B:G,6,FALSE)=0/1/1900,"",VLOOKUP(A167,'ECN-ECO_DATA'!B:G,6,FALSE))),"")</f>
        <v/>
      </c>
      <c r="F167" s="9" t="str">
        <f>IFERROR((IF(VLOOKUP(A167,'ECN-ECO_DATA'!B:J,7,FALSE)=0/1/1900,"",VLOOKUP(A167,'ECN-ECO_DATA'!B:J,7,FALSE))),"")</f>
        <v/>
      </c>
      <c r="G167" s="9" t="str">
        <f>IFERROR((IF(VLOOKUP(A167,'ECN-ECO_DATA'!B:J,8,FALSE)=0/1/1900,"",VLOOKUP(A167,'ECN-ECO_DATA'!B:J,8,FALSE))),"")</f>
        <v/>
      </c>
      <c r="H167" s="9" t="str">
        <f>IFERROR((IF(VLOOKUP(A167,'ECN-ECO_DATA'!B:J,9,FALSE)=0/1/1900,"",VLOOKUP(A167,'ECN-ECO_DATA'!B:J,9,FALSE))),"")</f>
        <v/>
      </c>
      <c r="I167" s="10" t="str">
        <f>IFERROR((IF(VLOOKUP(A167,'ECN-ECO_DATA'!B:Q,13,FALSE)="","",VLOOKUP(A167,'ECN-ECO_DATA'!B:Q,13,FALSE))),"")</f>
        <v/>
      </c>
      <c r="J167" s="10" t="str">
        <f>IFERROR((IF(VLOOKUP(A167,'ECN-ECO_DATA'!B:Q,14,FALSE)="","",VLOOKUP(A167,'ECN-ECO_DATA'!B:Q,14,FALSE))),"")</f>
        <v/>
      </c>
      <c r="K167" s="10" t="str">
        <f>IFERROR((IF(VLOOKUP(A167,'ECN-ECO_DATA'!B:Q,15,FALSE)="","",VLOOKUP(A167,'ECN-ECO_DATA'!B:Q,15,FALSE))),"")</f>
        <v/>
      </c>
      <c r="L167" s="10" t="str">
        <f>IFERROR((IF(VLOOKUP(A167,'ECN-ECO_DATA'!B:Q,16,FALSE)="","",VLOOKUP(A167,'ECN-ECO_DATA'!B:Q,16,FALSE))),"")</f>
        <v/>
      </c>
      <c r="M167" s="9" t="str">
        <f>IFERROR((IF(VLOOKUP(A167,'ECN-ECO_DATA'!B:V,18,FALSE)=0/1/1900,"",VLOOKUP(A167,'ECN-ECO_DATA'!B:V,18,FALSE))),"")</f>
        <v/>
      </c>
      <c r="N167" s="9" t="str">
        <f>IFERROR((IF(VLOOKUP(A167,'ECN-ECO_DATA'!B:V,19,FALSE)=0/1/1900,"",VLOOKUP(A167,'ECN-ECO_DATA'!B:V,19,FALSE))),"")</f>
        <v/>
      </c>
      <c r="O167" s="9" t="str">
        <f>IFERROR((IF(VLOOKUP(A167,'ECN-ECO_DATA'!B:V,20,FALSE)=0/1/1900,"",VLOOKUP(A167,'ECN-ECO_DATA'!B:V,20,FALSE))),"")</f>
        <v/>
      </c>
      <c r="P167" s="9" t="str">
        <f>IFERROR((IF(VLOOKUP(A167,'ECN-ECO_DATA'!B:V,21,FALSE)=0/1/1900,"",VLOOKUP(A167,'ECN-ECO_DATA'!B:V,21,FALSE))),"")</f>
        <v/>
      </c>
      <c r="Q167" s="10" t="str">
        <f t="shared" ca="1" si="10"/>
        <v/>
      </c>
      <c r="R167" s="4" t="str">
        <f t="shared" si="11"/>
        <v/>
      </c>
      <c r="S167" s="4" t="str">
        <f t="shared" si="12"/>
        <v/>
      </c>
      <c r="T167" s="4" t="str">
        <f t="shared" si="13"/>
        <v/>
      </c>
      <c r="U167" s="10" t="str">
        <f t="shared" si="14"/>
        <v/>
      </c>
      <c r="V167" s="4"/>
    </row>
    <row r="168" spans="2:22" x14ac:dyDescent="0.25">
      <c r="B168" s="4" t="str">
        <f>IFERROR(VLOOKUP(A168,'ECN-ECO_DATA'!B:G,4,FALSE),"")</f>
        <v/>
      </c>
      <c r="C168" s="9" t="str">
        <f>IFERROR(VLOOKUP(A168,'ECN-ECO_DATA'!B:G,5,FALSE),"")</f>
        <v/>
      </c>
      <c r="D168" s="9" t="str">
        <f ca="1">IFERROR((IF(VLOOKUP(A168,'ECN-ECO_DATA'!B:G,6,FALSE)=0/1/1900,TODAY(),VLOOKUP(A168,'ECN-ECO_DATA'!B:G,6,FALSE))),"")</f>
        <v/>
      </c>
      <c r="E168" s="9" t="str">
        <f>IFERROR((IF(VLOOKUP(A168,'ECN-ECO_DATA'!B:G,6,FALSE)=0/1/1900,"",VLOOKUP(A168,'ECN-ECO_DATA'!B:G,6,FALSE))),"")</f>
        <v/>
      </c>
      <c r="F168" s="9" t="str">
        <f>IFERROR((IF(VLOOKUP(A168,'ECN-ECO_DATA'!B:J,7,FALSE)=0/1/1900,"",VLOOKUP(A168,'ECN-ECO_DATA'!B:J,7,FALSE))),"")</f>
        <v/>
      </c>
      <c r="G168" s="9" t="str">
        <f>IFERROR((IF(VLOOKUP(A168,'ECN-ECO_DATA'!B:J,8,FALSE)=0/1/1900,"",VLOOKUP(A168,'ECN-ECO_DATA'!B:J,8,FALSE))),"")</f>
        <v/>
      </c>
      <c r="H168" s="9" t="str">
        <f>IFERROR((IF(VLOOKUP(A168,'ECN-ECO_DATA'!B:J,9,FALSE)=0/1/1900,"",VLOOKUP(A168,'ECN-ECO_DATA'!B:J,9,FALSE))),"")</f>
        <v/>
      </c>
      <c r="I168" s="10" t="str">
        <f>IFERROR((IF(VLOOKUP(A168,'ECN-ECO_DATA'!B:Q,13,FALSE)="","",VLOOKUP(A168,'ECN-ECO_DATA'!B:Q,13,FALSE))),"")</f>
        <v/>
      </c>
      <c r="J168" s="10" t="str">
        <f>IFERROR((IF(VLOOKUP(A168,'ECN-ECO_DATA'!B:Q,14,FALSE)="","",VLOOKUP(A168,'ECN-ECO_DATA'!B:Q,14,FALSE))),"")</f>
        <v/>
      </c>
      <c r="K168" s="10" t="str">
        <f>IFERROR((IF(VLOOKUP(A168,'ECN-ECO_DATA'!B:Q,15,FALSE)="","",VLOOKUP(A168,'ECN-ECO_DATA'!B:Q,15,FALSE))),"")</f>
        <v/>
      </c>
      <c r="L168" s="10" t="str">
        <f>IFERROR((IF(VLOOKUP(A168,'ECN-ECO_DATA'!B:Q,16,FALSE)="","",VLOOKUP(A168,'ECN-ECO_DATA'!B:Q,16,FALSE))),"")</f>
        <v/>
      </c>
      <c r="M168" s="9" t="str">
        <f>IFERROR((IF(VLOOKUP(A168,'ECN-ECO_DATA'!B:V,18,FALSE)=0/1/1900,"",VLOOKUP(A168,'ECN-ECO_DATA'!B:V,18,FALSE))),"")</f>
        <v/>
      </c>
      <c r="N168" s="9" t="str">
        <f>IFERROR((IF(VLOOKUP(A168,'ECN-ECO_DATA'!B:V,19,FALSE)=0/1/1900,"",VLOOKUP(A168,'ECN-ECO_DATA'!B:V,19,FALSE))),"")</f>
        <v/>
      </c>
      <c r="O168" s="9" t="str">
        <f>IFERROR((IF(VLOOKUP(A168,'ECN-ECO_DATA'!B:V,20,FALSE)=0/1/1900,"",VLOOKUP(A168,'ECN-ECO_DATA'!B:V,20,FALSE))),"")</f>
        <v/>
      </c>
      <c r="P168" s="9" t="str">
        <f>IFERROR((IF(VLOOKUP(A168,'ECN-ECO_DATA'!B:V,21,FALSE)=0/1/1900,"",VLOOKUP(A168,'ECN-ECO_DATA'!B:V,21,FALSE))),"")</f>
        <v/>
      </c>
      <c r="Q168" s="10" t="str">
        <f t="shared" ca="1" si="10"/>
        <v/>
      </c>
      <c r="R168" s="4" t="str">
        <f t="shared" si="11"/>
        <v/>
      </c>
      <c r="S168" s="4" t="str">
        <f t="shared" si="12"/>
        <v/>
      </c>
      <c r="T168" s="4" t="str">
        <f t="shared" si="13"/>
        <v/>
      </c>
      <c r="U168" s="10" t="str">
        <f t="shared" si="14"/>
        <v/>
      </c>
      <c r="V168" s="4"/>
    </row>
    <row r="169" spans="2:22" x14ac:dyDescent="0.25">
      <c r="B169" s="4" t="str">
        <f>IFERROR(VLOOKUP(A169,'ECN-ECO_DATA'!B:G,4,FALSE),"")</f>
        <v/>
      </c>
      <c r="C169" s="9" t="str">
        <f>IFERROR(VLOOKUP(A169,'ECN-ECO_DATA'!B:G,5,FALSE),"")</f>
        <v/>
      </c>
      <c r="D169" s="9" t="str">
        <f ca="1">IFERROR((IF(VLOOKUP(A169,'ECN-ECO_DATA'!B:G,6,FALSE)=0/1/1900,TODAY(),VLOOKUP(A169,'ECN-ECO_DATA'!B:G,6,FALSE))),"")</f>
        <v/>
      </c>
      <c r="E169" s="9" t="str">
        <f>IFERROR((IF(VLOOKUP(A169,'ECN-ECO_DATA'!B:G,6,FALSE)=0/1/1900,"",VLOOKUP(A169,'ECN-ECO_DATA'!B:G,6,FALSE))),"")</f>
        <v/>
      </c>
      <c r="F169" s="9" t="str">
        <f>IFERROR((IF(VLOOKUP(A169,'ECN-ECO_DATA'!B:J,7,FALSE)=0/1/1900,"",VLOOKUP(A169,'ECN-ECO_DATA'!B:J,7,FALSE))),"")</f>
        <v/>
      </c>
      <c r="G169" s="9" t="str">
        <f>IFERROR((IF(VLOOKUP(A169,'ECN-ECO_DATA'!B:J,8,FALSE)=0/1/1900,"",VLOOKUP(A169,'ECN-ECO_DATA'!B:J,8,FALSE))),"")</f>
        <v/>
      </c>
      <c r="H169" s="9" t="str">
        <f>IFERROR((IF(VLOOKUP(A169,'ECN-ECO_DATA'!B:J,9,FALSE)=0/1/1900,"",VLOOKUP(A169,'ECN-ECO_DATA'!B:J,9,FALSE))),"")</f>
        <v/>
      </c>
      <c r="I169" s="10" t="str">
        <f>IFERROR((IF(VLOOKUP(A169,'ECN-ECO_DATA'!B:Q,13,FALSE)="","",VLOOKUP(A169,'ECN-ECO_DATA'!B:Q,13,FALSE))),"")</f>
        <v/>
      </c>
      <c r="J169" s="10" t="str">
        <f>IFERROR((IF(VLOOKUP(A169,'ECN-ECO_DATA'!B:Q,14,FALSE)="","",VLOOKUP(A169,'ECN-ECO_DATA'!B:Q,14,FALSE))),"")</f>
        <v/>
      </c>
      <c r="K169" s="10" t="str">
        <f>IFERROR((IF(VLOOKUP(A169,'ECN-ECO_DATA'!B:Q,15,FALSE)="","",VLOOKUP(A169,'ECN-ECO_DATA'!B:Q,15,FALSE))),"")</f>
        <v/>
      </c>
      <c r="L169" s="10" t="str">
        <f>IFERROR((IF(VLOOKUP(A169,'ECN-ECO_DATA'!B:Q,16,FALSE)="","",VLOOKUP(A169,'ECN-ECO_DATA'!B:Q,16,FALSE))),"")</f>
        <v/>
      </c>
      <c r="M169" s="9" t="str">
        <f>IFERROR((IF(VLOOKUP(A169,'ECN-ECO_DATA'!B:V,18,FALSE)=0/1/1900,"",VLOOKUP(A169,'ECN-ECO_DATA'!B:V,18,FALSE))),"")</f>
        <v/>
      </c>
      <c r="N169" s="9" t="str">
        <f>IFERROR((IF(VLOOKUP(A169,'ECN-ECO_DATA'!B:V,19,FALSE)=0/1/1900,"",VLOOKUP(A169,'ECN-ECO_DATA'!B:V,19,FALSE))),"")</f>
        <v/>
      </c>
      <c r="O169" s="9" t="str">
        <f>IFERROR((IF(VLOOKUP(A169,'ECN-ECO_DATA'!B:V,20,FALSE)=0/1/1900,"",VLOOKUP(A169,'ECN-ECO_DATA'!B:V,20,FALSE))),"")</f>
        <v/>
      </c>
      <c r="P169" s="9" t="str">
        <f>IFERROR((IF(VLOOKUP(A169,'ECN-ECO_DATA'!B:V,21,FALSE)=0/1/1900,"",VLOOKUP(A169,'ECN-ECO_DATA'!B:V,21,FALSE))),"")</f>
        <v/>
      </c>
      <c r="Q169" s="10" t="str">
        <f t="shared" ca="1" si="10"/>
        <v/>
      </c>
      <c r="R169" s="4" t="str">
        <f t="shared" si="11"/>
        <v/>
      </c>
      <c r="S169" s="4" t="str">
        <f t="shared" si="12"/>
        <v/>
      </c>
      <c r="T169" s="4" t="str">
        <f t="shared" si="13"/>
        <v/>
      </c>
      <c r="U169" s="10" t="str">
        <f t="shared" si="14"/>
        <v/>
      </c>
      <c r="V169" s="4"/>
    </row>
    <row r="170" spans="2:22" x14ac:dyDescent="0.25">
      <c r="B170" s="4" t="str">
        <f>IFERROR(VLOOKUP(A170,'ECN-ECO_DATA'!B:G,4,FALSE),"")</f>
        <v/>
      </c>
      <c r="C170" s="9" t="str">
        <f>IFERROR(VLOOKUP(A170,'ECN-ECO_DATA'!B:G,5,FALSE),"")</f>
        <v/>
      </c>
      <c r="D170" s="9" t="str">
        <f ca="1">IFERROR((IF(VLOOKUP(A170,'ECN-ECO_DATA'!B:G,6,FALSE)=0/1/1900,TODAY(),VLOOKUP(A170,'ECN-ECO_DATA'!B:G,6,FALSE))),"")</f>
        <v/>
      </c>
      <c r="E170" s="9" t="str">
        <f>IFERROR((IF(VLOOKUP(A170,'ECN-ECO_DATA'!B:G,6,FALSE)=0/1/1900,"",VLOOKUP(A170,'ECN-ECO_DATA'!B:G,6,FALSE))),"")</f>
        <v/>
      </c>
      <c r="F170" s="9" t="str">
        <f>IFERROR((IF(VLOOKUP(A170,'ECN-ECO_DATA'!B:J,7,FALSE)=0/1/1900,"",VLOOKUP(A170,'ECN-ECO_DATA'!B:J,7,FALSE))),"")</f>
        <v/>
      </c>
      <c r="G170" s="9" t="str">
        <f>IFERROR((IF(VLOOKUP(A170,'ECN-ECO_DATA'!B:J,8,FALSE)=0/1/1900,"",VLOOKUP(A170,'ECN-ECO_DATA'!B:J,8,FALSE))),"")</f>
        <v/>
      </c>
      <c r="H170" s="9" t="str">
        <f>IFERROR((IF(VLOOKUP(A170,'ECN-ECO_DATA'!B:J,9,FALSE)=0/1/1900,"",VLOOKUP(A170,'ECN-ECO_DATA'!B:J,9,FALSE))),"")</f>
        <v/>
      </c>
      <c r="I170" s="10" t="str">
        <f>IFERROR((IF(VLOOKUP(A170,'ECN-ECO_DATA'!B:Q,13,FALSE)="","",VLOOKUP(A170,'ECN-ECO_DATA'!B:Q,13,FALSE))),"")</f>
        <v/>
      </c>
      <c r="J170" s="10" t="str">
        <f>IFERROR((IF(VLOOKUP(A170,'ECN-ECO_DATA'!B:Q,14,FALSE)="","",VLOOKUP(A170,'ECN-ECO_DATA'!B:Q,14,FALSE))),"")</f>
        <v/>
      </c>
      <c r="K170" s="10" t="str">
        <f>IFERROR((IF(VLOOKUP(A170,'ECN-ECO_DATA'!B:Q,15,FALSE)="","",VLOOKUP(A170,'ECN-ECO_DATA'!B:Q,15,FALSE))),"")</f>
        <v/>
      </c>
      <c r="L170" s="10" t="str">
        <f>IFERROR((IF(VLOOKUP(A170,'ECN-ECO_DATA'!B:Q,16,FALSE)="","",VLOOKUP(A170,'ECN-ECO_DATA'!B:Q,16,FALSE))),"")</f>
        <v/>
      </c>
      <c r="M170" s="9" t="str">
        <f>IFERROR((IF(VLOOKUP(A170,'ECN-ECO_DATA'!B:V,18,FALSE)=0/1/1900,"",VLOOKUP(A170,'ECN-ECO_DATA'!B:V,18,FALSE))),"")</f>
        <v/>
      </c>
      <c r="N170" s="9" t="str">
        <f>IFERROR((IF(VLOOKUP(A170,'ECN-ECO_DATA'!B:V,19,FALSE)=0/1/1900,"",VLOOKUP(A170,'ECN-ECO_DATA'!B:V,19,FALSE))),"")</f>
        <v/>
      </c>
      <c r="O170" s="9" t="str">
        <f>IFERROR((IF(VLOOKUP(A170,'ECN-ECO_DATA'!B:V,20,FALSE)=0/1/1900,"",VLOOKUP(A170,'ECN-ECO_DATA'!B:V,20,FALSE))),"")</f>
        <v/>
      </c>
      <c r="P170" s="9" t="str">
        <f>IFERROR((IF(VLOOKUP(A170,'ECN-ECO_DATA'!B:V,21,FALSE)=0/1/1900,"",VLOOKUP(A170,'ECN-ECO_DATA'!B:V,21,FALSE))),"")</f>
        <v/>
      </c>
      <c r="Q170" s="10" t="str">
        <f t="shared" ca="1" si="10"/>
        <v/>
      </c>
      <c r="R170" s="4" t="str">
        <f t="shared" si="11"/>
        <v/>
      </c>
      <c r="S170" s="4" t="str">
        <f t="shared" si="12"/>
        <v/>
      </c>
      <c r="T170" s="4" t="str">
        <f t="shared" si="13"/>
        <v/>
      </c>
      <c r="U170" s="10" t="str">
        <f t="shared" si="14"/>
        <v/>
      </c>
      <c r="V170" s="4"/>
    </row>
    <row r="171" spans="2:22" x14ac:dyDescent="0.25">
      <c r="B171" s="4" t="str">
        <f>IFERROR(VLOOKUP(A171,'ECN-ECO_DATA'!B:G,4,FALSE),"")</f>
        <v/>
      </c>
      <c r="C171" s="9" t="str">
        <f>IFERROR(VLOOKUP(A171,'ECN-ECO_DATA'!B:G,5,FALSE),"")</f>
        <v/>
      </c>
      <c r="D171" s="9" t="str">
        <f ca="1">IFERROR((IF(VLOOKUP(A171,'ECN-ECO_DATA'!B:G,6,FALSE)=0/1/1900,TODAY(),VLOOKUP(A171,'ECN-ECO_DATA'!B:G,6,FALSE))),"")</f>
        <v/>
      </c>
      <c r="E171" s="9" t="str">
        <f>IFERROR((IF(VLOOKUP(A171,'ECN-ECO_DATA'!B:G,6,FALSE)=0/1/1900,"",VLOOKUP(A171,'ECN-ECO_DATA'!B:G,6,FALSE))),"")</f>
        <v/>
      </c>
      <c r="F171" s="9" t="str">
        <f>IFERROR((IF(VLOOKUP(A171,'ECN-ECO_DATA'!B:J,7,FALSE)=0/1/1900,"",VLOOKUP(A171,'ECN-ECO_DATA'!B:J,7,FALSE))),"")</f>
        <v/>
      </c>
      <c r="G171" s="9" t="str">
        <f>IFERROR((IF(VLOOKUP(A171,'ECN-ECO_DATA'!B:J,8,FALSE)=0/1/1900,"",VLOOKUP(A171,'ECN-ECO_DATA'!B:J,8,FALSE))),"")</f>
        <v/>
      </c>
      <c r="H171" s="9" t="str">
        <f>IFERROR((IF(VLOOKUP(A171,'ECN-ECO_DATA'!B:J,9,FALSE)=0/1/1900,"",VLOOKUP(A171,'ECN-ECO_DATA'!B:J,9,FALSE))),"")</f>
        <v/>
      </c>
      <c r="I171" s="10" t="str">
        <f>IFERROR((IF(VLOOKUP(A171,'ECN-ECO_DATA'!B:Q,13,FALSE)="","",VLOOKUP(A171,'ECN-ECO_DATA'!B:Q,13,FALSE))),"")</f>
        <v/>
      </c>
      <c r="J171" s="10" t="str">
        <f>IFERROR((IF(VLOOKUP(A171,'ECN-ECO_DATA'!B:Q,14,FALSE)="","",VLOOKUP(A171,'ECN-ECO_DATA'!B:Q,14,FALSE))),"")</f>
        <v/>
      </c>
      <c r="K171" s="10" t="str">
        <f>IFERROR((IF(VLOOKUP(A171,'ECN-ECO_DATA'!B:Q,15,FALSE)="","",VLOOKUP(A171,'ECN-ECO_DATA'!B:Q,15,FALSE))),"")</f>
        <v/>
      </c>
      <c r="L171" s="10" t="str">
        <f>IFERROR((IF(VLOOKUP(A171,'ECN-ECO_DATA'!B:Q,16,FALSE)="","",VLOOKUP(A171,'ECN-ECO_DATA'!B:Q,16,FALSE))),"")</f>
        <v/>
      </c>
      <c r="M171" s="9" t="str">
        <f>IFERROR((IF(VLOOKUP(A171,'ECN-ECO_DATA'!B:V,18,FALSE)=0/1/1900,"",VLOOKUP(A171,'ECN-ECO_DATA'!B:V,18,FALSE))),"")</f>
        <v/>
      </c>
      <c r="N171" s="9" t="str">
        <f>IFERROR((IF(VLOOKUP(A171,'ECN-ECO_DATA'!B:V,19,FALSE)=0/1/1900,"",VLOOKUP(A171,'ECN-ECO_DATA'!B:V,19,FALSE))),"")</f>
        <v/>
      </c>
      <c r="O171" s="9" t="str">
        <f>IFERROR((IF(VLOOKUP(A171,'ECN-ECO_DATA'!B:V,20,FALSE)=0/1/1900,"",VLOOKUP(A171,'ECN-ECO_DATA'!B:V,20,FALSE))),"")</f>
        <v/>
      </c>
      <c r="P171" s="9" t="str">
        <f>IFERROR((IF(VLOOKUP(A171,'ECN-ECO_DATA'!B:V,21,FALSE)=0/1/1900,"",VLOOKUP(A171,'ECN-ECO_DATA'!B:V,21,FALSE))),"")</f>
        <v/>
      </c>
      <c r="Q171" s="10" t="str">
        <f t="shared" ca="1" si="10"/>
        <v/>
      </c>
      <c r="R171" s="4" t="str">
        <f t="shared" si="11"/>
        <v/>
      </c>
      <c r="S171" s="4" t="str">
        <f t="shared" si="12"/>
        <v/>
      </c>
      <c r="T171" s="4" t="str">
        <f t="shared" si="13"/>
        <v/>
      </c>
      <c r="U171" s="10" t="str">
        <f t="shared" si="14"/>
        <v/>
      </c>
      <c r="V171" s="4"/>
    </row>
    <row r="172" spans="2:22" x14ac:dyDescent="0.25">
      <c r="B172" s="4" t="str">
        <f>IFERROR(VLOOKUP(A172,'ECN-ECO_DATA'!B:G,4,FALSE),"")</f>
        <v/>
      </c>
      <c r="C172" s="9" t="str">
        <f>IFERROR(VLOOKUP(A172,'ECN-ECO_DATA'!B:G,5,FALSE),"")</f>
        <v/>
      </c>
      <c r="D172" s="9" t="str">
        <f ca="1">IFERROR((IF(VLOOKUP(A172,'ECN-ECO_DATA'!B:G,6,FALSE)=0/1/1900,TODAY(),VLOOKUP(A172,'ECN-ECO_DATA'!B:G,6,FALSE))),"")</f>
        <v/>
      </c>
      <c r="E172" s="9" t="str">
        <f>IFERROR((IF(VLOOKUP(A172,'ECN-ECO_DATA'!B:G,6,FALSE)=0/1/1900,"",VLOOKUP(A172,'ECN-ECO_DATA'!B:G,6,FALSE))),"")</f>
        <v/>
      </c>
      <c r="F172" s="9" t="str">
        <f>IFERROR((IF(VLOOKUP(A172,'ECN-ECO_DATA'!B:J,7,FALSE)=0/1/1900,"",VLOOKUP(A172,'ECN-ECO_DATA'!B:J,7,FALSE))),"")</f>
        <v/>
      </c>
      <c r="G172" s="9" t="str">
        <f>IFERROR((IF(VLOOKUP(A172,'ECN-ECO_DATA'!B:J,8,FALSE)=0/1/1900,"",VLOOKUP(A172,'ECN-ECO_DATA'!B:J,8,FALSE))),"")</f>
        <v/>
      </c>
      <c r="H172" s="9" t="str">
        <f>IFERROR((IF(VLOOKUP(A172,'ECN-ECO_DATA'!B:J,9,FALSE)=0/1/1900,"",VLOOKUP(A172,'ECN-ECO_DATA'!B:J,9,FALSE))),"")</f>
        <v/>
      </c>
      <c r="I172" s="10" t="str">
        <f>IFERROR((IF(VLOOKUP(A172,'ECN-ECO_DATA'!B:Q,13,FALSE)="","",VLOOKUP(A172,'ECN-ECO_DATA'!B:Q,13,FALSE))),"")</f>
        <v/>
      </c>
      <c r="J172" s="10" t="str">
        <f>IFERROR((IF(VLOOKUP(A172,'ECN-ECO_DATA'!B:Q,14,FALSE)="","",VLOOKUP(A172,'ECN-ECO_DATA'!B:Q,14,FALSE))),"")</f>
        <v/>
      </c>
      <c r="K172" s="10" t="str">
        <f>IFERROR((IF(VLOOKUP(A172,'ECN-ECO_DATA'!B:Q,15,FALSE)="","",VLOOKUP(A172,'ECN-ECO_DATA'!B:Q,15,FALSE))),"")</f>
        <v/>
      </c>
      <c r="L172" s="10" t="str">
        <f>IFERROR((IF(VLOOKUP(A172,'ECN-ECO_DATA'!B:Q,16,FALSE)="","",VLOOKUP(A172,'ECN-ECO_DATA'!B:Q,16,FALSE))),"")</f>
        <v/>
      </c>
      <c r="M172" s="9" t="str">
        <f>IFERROR((IF(VLOOKUP(A172,'ECN-ECO_DATA'!B:V,18,FALSE)=0/1/1900,"",VLOOKUP(A172,'ECN-ECO_DATA'!B:V,18,FALSE))),"")</f>
        <v/>
      </c>
      <c r="N172" s="9" t="str">
        <f>IFERROR((IF(VLOOKUP(A172,'ECN-ECO_DATA'!B:V,19,FALSE)=0/1/1900,"",VLOOKUP(A172,'ECN-ECO_DATA'!B:V,19,FALSE))),"")</f>
        <v/>
      </c>
      <c r="O172" s="9" t="str">
        <f>IFERROR((IF(VLOOKUP(A172,'ECN-ECO_DATA'!B:V,20,FALSE)=0/1/1900,"",VLOOKUP(A172,'ECN-ECO_DATA'!B:V,20,FALSE))),"")</f>
        <v/>
      </c>
      <c r="P172" s="9" t="str">
        <f>IFERROR((IF(VLOOKUP(A172,'ECN-ECO_DATA'!B:V,21,FALSE)=0/1/1900,"",VLOOKUP(A172,'ECN-ECO_DATA'!B:V,21,FALSE))),"")</f>
        <v/>
      </c>
      <c r="Q172" s="10" t="str">
        <f t="shared" ca="1" si="10"/>
        <v/>
      </c>
      <c r="R172" s="4" t="str">
        <f t="shared" si="11"/>
        <v/>
      </c>
      <c r="S172" s="4" t="str">
        <f t="shared" si="12"/>
        <v/>
      </c>
      <c r="T172" s="4" t="str">
        <f t="shared" si="13"/>
        <v/>
      </c>
      <c r="U172" s="10" t="str">
        <f t="shared" si="14"/>
        <v/>
      </c>
      <c r="V172" s="4"/>
    </row>
    <row r="173" spans="2:22" x14ac:dyDescent="0.25">
      <c r="B173" s="4" t="str">
        <f>IFERROR(VLOOKUP(A173,'ECN-ECO_DATA'!B:G,4,FALSE),"")</f>
        <v/>
      </c>
      <c r="C173" s="9" t="str">
        <f>IFERROR(VLOOKUP(A173,'ECN-ECO_DATA'!B:G,5,FALSE),"")</f>
        <v/>
      </c>
      <c r="D173" s="9" t="str">
        <f ca="1">IFERROR((IF(VLOOKUP(A173,'ECN-ECO_DATA'!B:G,6,FALSE)=0/1/1900,TODAY(),VLOOKUP(A173,'ECN-ECO_DATA'!B:G,6,FALSE))),"")</f>
        <v/>
      </c>
      <c r="E173" s="9" t="str">
        <f>IFERROR((IF(VLOOKUP(A173,'ECN-ECO_DATA'!B:G,6,FALSE)=0/1/1900,"",VLOOKUP(A173,'ECN-ECO_DATA'!B:G,6,FALSE))),"")</f>
        <v/>
      </c>
      <c r="F173" s="9" t="str">
        <f>IFERROR((IF(VLOOKUP(A173,'ECN-ECO_DATA'!B:J,7,FALSE)=0/1/1900,"",VLOOKUP(A173,'ECN-ECO_DATA'!B:J,7,FALSE))),"")</f>
        <v/>
      </c>
      <c r="G173" s="9" t="str">
        <f>IFERROR((IF(VLOOKUP(A173,'ECN-ECO_DATA'!B:J,8,FALSE)=0/1/1900,"",VLOOKUP(A173,'ECN-ECO_DATA'!B:J,8,FALSE))),"")</f>
        <v/>
      </c>
      <c r="H173" s="9" t="str">
        <f>IFERROR((IF(VLOOKUP(A173,'ECN-ECO_DATA'!B:J,9,FALSE)=0/1/1900,"",VLOOKUP(A173,'ECN-ECO_DATA'!B:J,9,FALSE))),"")</f>
        <v/>
      </c>
      <c r="I173" s="10" t="str">
        <f>IFERROR((IF(VLOOKUP(A173,'ECN-ECO_DATA'!B:Q,13,FALSE)="","",VLOOKUP(A173,'ECN-ECO_DATA'!B:Q,13,FALSE))),"")</f>
        <v/>
      </c>
      <c r="J173" s="10" t="str">
        <f>IFERROR((IF(VLOOKUP(A173,'ECN-ECO_DATA'!B:Q,14,FALSE)="","",VLOOKUP(A173,'ECN-ECO_DATA'!B:Q,14,FALSE))),"")</f>
        <v/>
      </c>
      <c r="K173" s="10" t="str">
        <f>IFERROR((IF(VLOOKUP(A173,'ECN-ECO_DATA'!B:Q,15,FALSE)="","",VLOOKUP(A173,'ECN-ECO_DATA'!B:Q,15,FALSE))),"")</f>
        <v/>
      </c>
      <c r="L173" s="10" t="str">
        <f>IFERROR((IF(VLOOKUP(A173,'ECN-ECO_DATA'!B:Q,16,FALSE)="","",VLOOKUP(A173,'ECN-ECO_DATA'!B:Q,16,FALSE))),"")</f>
        <v/>
      </c>
      <c r="M173" s="9" t="str">
        <f>IFERROR((IF(VLOOKUP(A173,'ECN-ECO_DATA'!B:V,18,FALSE)=0/1/1900,"",VLOOKUP(A173,'ECN-ECO_DATA'!B:V,18,FALSE))),"")</f>
        <v/>
      </c>
      <c r="N173" s="9" t="str">
        <f>IFERROR((IF(VLOOKUP(A173,'ECN-ECO_DATA'!B:V,19,FALSE)=0/1/1900,"",VLOOKUP(A173,'ECN-ECO_DATA'!B:V,19,FALSE))),"")</f>
        <v/>
      </c>
      <c r="O173" s="9" t="str">
        <f>IFERROR((IF(VLOOKUP(A173,'ECN-ECO_DATA'!B:V,20,FALSE)=0/1/1900,"",VLOOKUP(A173,'ECN-ECO_DATA'!B:V,20,FALSE))),"")</f>
        <v/>
      </c>
      <c r="P173" s="9" t="str">
        <f>IFERROR((IF(VLOOKUP(A173,'ECN-ECO_DATA'!B:V,21,FALSE)=0/1/1900,"",VLOOKUP(A173,'ECN-ECO_DATA'!B:V,21,FALSE))),"")</f>
        <v/>
      </c>
      <c r="Q173" s="10" t="str">
        <f t="shared" ca="1" si="10"/>
        <v/>
      </c>
      <c r="R173" s="4" t="str">
        <f t="shared" si="11"/>
        <v/>
      </c>
      <c r="S173" s="4" t="str">
        <f t="shared" si="12"/>
        <v/>
      </c>
      <c r="T173" s="4" t="str">
        <f t="shared" si="13"/>
        <v/>
      </c>
      <c r="U173" s="10" t="str">
        <f t="shared" si="14"/>
        <v/>
      </c>
      <c r="V173" s="4"/>
    </row>
    <row r="174" spans="2:22" x14ac:dyDescent="0.25">
      <c r="B174" s="4" t="str">
        <f>IFERROR(VLOOKUP(A174,'ECN-ECO_DATA'!B:G,4,FALSE),"")</f>
        <v/>
      </c>
      <c r="C174" s="9" t="str">
        <f>IFERROR(VLOOKUP(A174,'ECN-ECO_DATA'!B:G,5,FALSE),"")</f>
        <v/>
      </c>
      <c r="D174" s="9" t="str">
        <f ca="1">IFERROR((IF(VLOOKUP(A174,'ECN-ECO_DATA'!B:G,6,FALSE)=0/1/1900,TODAY(),VLOOKUP(A174,'ECN-ECO_DATA'!B:G,6,FALSE))),"")</f>
        <v/>
      </c>
      <c r="E174" s="9" t="str">
        <f>IFERROR((IF(VLOOKUP(A174,'ECN-ECO_DATA'!B:G,6,FALSE)=0/1/1900,"",VLOOKUP(A174,'ECN-ECO_DATA'!B:G,6,FALSE))),"")</f>
        <v/>
      </c>
      <c r="F174" s="9" t="str">
        <f>IFERROR((IF(VLOOKUP(A174,'ECN-ECO_DATA'!B:J,7,FALSE)=0/1/1900,"",VLOOKUP(A174,'ECN-ECO_DATA'!B:J,7,FALSE))),"")</f>
        <v/>
      </c>
      <c r="G174" s="9" t="str">
        <f>IFERROR((IF(VLOOKUP(A174,'ECN-ECO_DATA'!B:J,8,FALSE)=0/1/1900,"",VLOOKUP(A174,'ECN-ECO_DATA'!B:J,8,FALSE))),"")</f>
        <v/>
      </c>
      <c r="H174" s="9" t="str">
        <f>IFERROR((IF(VLOOKUP(A174,'ECN-ECO_DATA'!B:J,9,FALSE)=0/1/1900,"",VLOOKUP(A174,'ECN-ECO_DATA'!B:J,9,FALSE))),"")</f>
        <v/>
      </c>
      <c r="I174" s="10" t="str">
        <f>IFERROR((IF(VLOOKUP(A174,'ECN-ECO_DATA'!B:Q,13,FALSE)="","",VLOOKUP(A174,'ECN-ECO_DATA'!B:Q,13,FALSE))),"")</f>
        <v/>
      </c>
      <c r="J174" s="10" t="str">
        <f>IFERROR((IF(VLOOKUP(A174,'ECN-ECO_DATA'!B:Q,14,FALSE)="","",VLOOKUP(A174,'ECN-ECO_DATA'!B:Q,14,FALSE))),"")</f>
        <v/>
      </c>
      <c r="K174" s="10" t="str">
        <f>IFERROR((IF(VLOOKUP(A174,'ECN-ECO_DATA'!B:Q,15,FALSE)="","",VLOOKUP(A174,'ECN-ECO_DATA'!B:Q,15,FALSE))),"")</f>
        <v/>
      </c>
      <c r="L174" s="10" t="str">
        <f>IFERROR((IF(VLOOKUP(A174,'ECN-ECO_DATA'!B:Q,16,FALSE)="","",VLOOKUP(A174,'ECN-ECO_DATA'!B:Q,16,FALSE))),"")</f>
        <v/>
      </c>
      <c r="M174" s="9" t="str">
        <f>IFERROR((IF(VLOOKUP(A174,'ECN-ECO_DATA'!B:V,18,FALSE)=0/1/1900,"",VLOOKUP(A174,'ECN-ECO_DATA'!B:V,18,FALSE))),"")</f>
        <v/>
      </c>
      <c r="N174" s="9" t="str">
        <f>IFERROR((IF(VLOOKUP(A174,'ECN-ECO_DATA'!B:V,19,FALSE)=0/1/1900,"",VLOOKUP(A174,'ECN-ECO_DATA'!B:V,19,FALSE))),"")</f>
        <v/>
      </c>
      <c r="O174" s="9" t="str">
        <f>IFERROR((IF(VLOOKUP(A174,'ECN-ECO_DATA'!B:V,20,FALSE)=0/1/1900,"",VLOOKUP(A174,'ECN-ECO_DATA'!B:V,20,FALSE))),"")</f>
        <v/>
      </c>
      <c r="P174" s="9" t="str">
        <f>IFERROR((IF(VLOOKUP(A174,'ECN-ECO_DATA'!B:V,21,FALSE)=0/1/1900,"",VLOOKUP(A174,'ECN-ECO_DATA'!B:V,21,FALSE))),"")</f>
        <v/>
      </c>
      <c r="Q174" s="10" t="str">
        <f t="shared" ca="1" si="10"/>
        <v/>
      </c>
      <c r="R174" s="4" t="str">
        <f t="shared" si="11"/>
        <v/>
      </c>
      <c r="S174" s="4" t="str">
        <f t="shared" si="12"/>
        <v/>
      </c>
      <c r="T174" s="4" t="str">
        <f t="shared" si="13"/>
        <v/>
      </c>
      <c r="U174" s="10" t="str">
        <f t="shared" si="14"/>
        <v/>
      </c>
      <c r="V174" s="4"/>
    </row>
    <row r="175" spans="2:22" x14ac:dyDescent="0.25">
      <c r="B175" s="4" t="str">
        <f>IFERROR(VLOOKUP(A175,'ECN-ECO_DATA'!B:G,4,FALSE),"")</f>
        <v/>
      </c>
      <c r="C175" s="9" t="str">
        <f>IFERROR(VLOOKUP(A175,'ECN-ECO_DATA'!B:G,5,FALSE),"")</f>
        <v/>
      </c>
      <c r="D175" s="9" t="str">
        <f ca="1">IFERROR((IF(VLOOKUP(A175,'ECN-ECO_DATA'!B:G,6,FALSE)=0/1/1900,TODAY(),VLOOKUP(A175,'ECN-ECO_DATA'!B:G,6,FALSE))),"")</f>
        <v/>
      </c>
      <c r="E175" s="9" t="str">
        <f>IFERROR((IF(VLOOKUP(A175,'ECN-ECO_DATA'!B:G,6,FALSE)=0/1/1900,"",VLOOKUP(A175,'ECN-ECO_DATA'!B:G,6,FALSE))),"")</f>
        <v/>
      </c>
      <c r="F175" s="9" t="str">
        <f>IFERROR((IF(VLOOKUP(A175,'ECN-ECO_DATA'!B:J,7,FALSE)=0/1/1900,"",VLOOKUP(A175,'ECN-ECO_DATA'!B:J,7,FALSE))),"")</f>
        <v/>
      </c>
      <c r="G175" s="9" t="str">
        <f>IFERROR((IF(VLOOKUP(A175,'ECN-ECO_DATA'!B:J,8,FALSE)=0/1/1900,"",VLOOKUP(A175,'ECN-ECO_DATA'!B:J,8,FALSE))),"")</f>
        <v/>
      </c>
      <c r="H175" s="9" t="str">
        <f>IFERROR((IF(VLOOKUP(A175,'ECN-ECO_DATA'!B:J,9,FALSE)=0/1/1900,"",VLOOKUP(A175,'ECN-ECO_DATA'!B:J,9,FALSE))),"")</f>
        <v/>
      </c>
      <c r="I175" s="10" t="str">
        <f>IFERROR((IF(VLOOKUP(A175,'ECN-ECO_DATA'!B:Q,13,FALSE)="","",VLOOKUP(A175,'ECN-ECO_DATA'!B:Q,13,FALSE))),"")</f>
        <v/>
      </c>
      <c r="J175" s="10" t="str">
        <f>IFERROR((IF(VLOOKUP(A175,'ECN-ECO_DATA'!B:Q,14,FALSE)="","",VLOOKUP(A175,'ECN-ECO_DATA'!B:Q,14,FALSE))),"")</f>
        <v/>
      </c>
      <c r="K175" s="10" t="str">
        <f>IFERROR((IF(VLOOKUP(A175,'ECN-ECO_DATA'!B:Q,15,FALSE)="","",VLOOKUP(A175,'ECN-ECO_DATA'!B:Q,15,FALSE))),"")</f>
        <v/>
      </c>
      <c r="L175" s="10" t="str">
        <f>IFERROR((IF(VLOOKUP(A175,'ECN-ECO_DATA'!B:Q,16,FALSE)="","",VLOOKUP(A175,'ECN-ECO_DATA'!B:Q,16,FALSE))),"")</f>
        <v/>
      </c>
      <c r="M175" s="9" t="str">
        <f>IFERROR((IF(VLOOKUP(A175,'ECN-ECO_DATA'!B:V,18,FALSE)=0/1/1900,"",VLOOKUP(A175,'ECN-ECO_DATA'!B:V,18,FALSE))),"")</f>
        <v/>
      </c>
      <c r="N175" s="9" t="str">
        <f>IFERROR((IF(VLOOKUP(A175,'ECN-ECO_DATA'!B:V,19,FALSE)=0/1/1900,"",VLOOKUP(A175,'ECN-ECO_DATA'!B:V,19,FALSE))),"")</f>
        <v/>
      </c>
      <c r="O175" s="9" t="str">
        <f>IFERROR((IF(VLOOKUP(A175,'ECN-ECO_DATA'!B:V,20,FALSE)=0/1/1900,"",VLOOKUP(A175,'ECN-ECO_DATA'!B:V,20,FALSE))),"")</f>
        <v/>
      </c>
      <c r="P175" s="9" t="str">
        <f>IFERROR((IF(VLOOKUP(A175,'ECN-ECO_DATA'!B:V,21,FALSE)=0/1/1900,"",VLOOKUP(A175,'ECN-ECO_DATA'!B:V,21,FALSE))),"")</f>
        <v/>
      </c>
      <c r="Q175" s="10" t="str">
        <f t="shared" ca="1" si="10"/>
        <v/>
      </c>
      <c r="R175" s="4" t="str">
        <f t="shared" si="11"/>
        <v/>
      </c>
      <c r="S175" s="4" t="str">
        <f t="shared" si="12"/>
        <v/>
      </c>
      <c r="T175" s="4" t="str">
        <f t="shared" si="13"/>
        <v/>
      </c>
      <c r="U175" s="10" t="str">
        <f t="shared" si="14"/>
        <v/>
      </c>
      <c r="V175" s="4"/>
    </row>
    <row r="176" spans="2:22" x14ac:dyDescent="0.25">
      <c r="B176" s="4" t="str">
        <f>IFERROR(VLOOKUP(A176,'ECN-ECO_DATA'!B:G,4,FALSE),"")</f>
        <v/>
      </c>
      <c r="C176" s="9" t="str">
        <f>IFERROR(VLOOKUP(A176,'ECN-ECO_DATA'!B:G,5,FALSE),"")</f>
        <v/>
      </c>
      <c r="D176" s="9" t="str">
        <f ca="1">IFERROR((IF(VLOOKUP(A176,'ECN-ECO_DATA'!B:G,6,FALSE)=0/1/1900,TODAY(),VLOOKUP(A176,'ECN-ECO_DATA'!B:G,6,FALSE))),"")</f>
        <v/>
      </c>
      <c r="E176" s="9" t="str">
        <f>IFERROR((IF(VLOOKUP(A176,'ECN-ECO_DATA'!B:G,6,FALSE)=0/1/1900,"",VLOOKUP(A176,'ECN-ECO_DATA'!B:G,6,FALSE))),"")</f>
        <v/>
      </c>
      <c r="F176" s="9" t="str">
        <f>IFERROR((IF(VLOOKUP(A176,'ECN-ECO_DATA'!B:J,7,FALSE)=0/1/1900,"",VLOOKUP(A176,'ECN-ECO_DATA'!B:J,7,FALSE))),"")</f>
        <v/>
      </c>
      <c r="G176" s="9" t="str">
        <f>IFERROR((IF(VLOOKUP(A176,'ECN-ECO_DATA'!B:J,8,FALSE)=0/1/1900,"",VLOOKUP(A176,'ECN-ECO_DATA'!B:J,8,FALSE))),"")</f>
        <v/>
      </c>
      <c r="H176" s="9" t="str">
        <f>IFERROR((IF(VLOOKUP(A176,'ECN-ECO_DATA'!B:J,9,FALSE)=0/1/1900,"",VLOOKUP(A176,'ECN-ECO_DATA'!B:J,9,FALSE))),"")</f>
        <v/>
      </c>
      <c r="I176" s="10" t="str">
        <f>IFERROR((IF(VLOOKUP(A176,'ECN-ECO_DATA'!B:Q,13,FALSE)="","",VLOOKUP(A176,'ECN-ECO_DATA'!B:Q,13,FALSE))),"")</f>
        <v/>
      </c>
      <c r="J176" s="10" t="str">
        <f>IFERROR((IF(VLOOKUP(A176,'ECN-ECO_DATA'!B:Q,14,FALSE)="","",VLOOKUP(A176,'ECN-ECO_DATA'!B:Q,14,FALSE))),"")</f>
        <v/>
      </c>
      <c r="K176" s="10" t="str">
        <f>IFERROR((IF(VLOOKUP(A176,'ECN-ECO_DATA'!B:Q,15,FALSE)="","",VLOOKUP(A176,'ECN-ECO_DATA'!B:Q,15,FALSE))),"")</f>
        <v/>
      </c>
      <c r="L176" s="10" t="str">
        <f>IFERROR((IF(VLOOKUP(A176,'ECN-ECO_DATA'!B:Q,16,FALSE)="","",VLOOKUP(A176,'ECN-ECO_DATA'!B:Q,16,FALSE))),"")</f>
        <v/>
      </c>
      <c r="M176" s="9" t="str">
        <f>IFERROR((IF(VLOOKUP(A176,'ECN-ECO_DATA'!B:V,18,FALSE)=0/1/1900,"",VLOOKUP(A176,'ECN-ECO_DATA'!B:V,18,FALSE))),"")</f>
        <v/>
      </c>
      <c r="N176" s="9" t="str">
        <f>IFERROR((IF(VLOOKUP(A176,'ECN-ECO_DATA'!B:V,19,FALSE)=0/1/1900,"",VLOOKUP(A176,'ECN-ECO_DATA'!B:V,19,FALSE))),"")</f>
        <v/>
      </c>
      <c r="O176" s="9" t="str">
        <f>IFERROR((IF(VLOOKUP(A176,'ECN-ECO_DATA'!B:V,20,FALSE)=0/1/1900,"",VLOOKUP(A176,'ECN-ECO_DATA'!B:V,20,FALSE))),"")</f>
        <v/>
      </c>
      <c r="P176" s="9" t="str">
        <f>IFERROR((IF(VLOOKUP(A176,'ECN-ECO_DATA'!B:V,21,FALSE)=0/1/1900,"",VLOOKUP(A176,'ECN-ECO_DATA'!B:V,21,FALSE))),"")</f>
        <v/>
      </c>
      <c r="Q176" s="10" t="str">
        <f t="shared" ca="1" si="10"/>
        <v/>
      </c>
      <c r="R176" s="4" t="str">
        <f t="shared" si="11"/>
        <v/>
      </c>
      <c r="S176" s="4" t="str">
        <f t="shared" si="12"/>
        <v/>
      </c>
      <c r="T176" s="4" t="str">
        <f t="shared" si="13"/>
        <v/>
      </c>
      <c r="U176" s="10" t="str">
        <f t="shared" si="14"/>
        <v/>
      </c>
      <c r="V176" s="4"/>
    </row>
    <row r="177" spans="2:22" x14ac:dyDescent="0.25">
      <c r="B177" s="4" t="str">
        <f>IFERROR(VLOOKUP(A177,'ECN-ECO_DATA'!B:G,4,FALSE),"")</f>
        <v/>
      </c>
      <c r="C177" s="9" t="str">
        <f>IFERROR(VLOOKUP(A177,'ECN-ECO_DATA'!B:G,5,FALSE),"")</f>
        <v/>
      </c>
      <c r="D177" s="9" t="str">
        <f ca="1">IFERROR((IF(VLOOKUP(A177,'ECN-ECO_DATA'!B:G,6,FALSE)=0/1/1900,TODAY(),VLOOKUP(A177,'ECN-ECO_DATA'!B:G,6,FALSE))),"")</f>
        <v/>
      </c>
      <c r="E177" s="9" t="str">
        <f>IFERROR((IF(VLOOKUP(A177,'ECN-ECO_DATA'!B:G,6,FALSE)=0/1/1900,"",VLOOKUP(A177,'ECN-ECO_DATA'!B:G,6,FALSE))),"")</f>
        <v/>
      </c>
      <c r="F177" s="9" t="str">
        <f>IFERROR((IF(VLOOKUP(A177,'ECN-ECO_DATA'!B:J,7,FALSE)=0/1/1900,"",VLOOKUP(A177,'ECN-ECO_DATA'!B:J,7,FALSE))),"")</f>
        <v/>
      </c>
      <c r="G177" s="9" t="str">
        <f>IFERROR((IF(VLOOKUP(A177,'ECN-ECO_DATA'!B:J,8,FALSE)=0/1/1900,"",VLOOKUP(A177,'ECN-ECO_DATA'!B:J,8,FALSE))),"")</f>
        <v/>
      </c>
      <c r="H177" s="9" t="str">
        <f>IFERROR((IF(VLOOKUP(A177,'ECN-ECO_DATA'!B:J,9,FALSE)=0/1/1900,"",VLOOKUP(A177,'ECN-ECO_DATA'!B:J,9,FALSE))),"")</f>
        <v/>
      </c>
      <c r="I177" s="10" t="str">
        <f>IFERROR((IF(VLOOKUP(A177,'ECN-ECO_DATA'!B:Q,13,FALSE)="","",VLOOKUP(A177,'ECN-ECO_DATA'!B:Q,13,FALSE))),"")</f>
        <v/>
      </c>
      <c r="J177" s="10" t="str">
        <f>IFERROR((IF(VLOOKUP(A177,'ECN-ECO_DATA'!B:Q,14,FALSE)="","",VLOOKUP(A177,'ECN-ECO_DATA'!B:Q,14,FALSE))),"")</f>
        <v/>
      </c>
      <c r="K177" s="10" t="str">
        <f>IFERROR((IF(VLOOKUP(A177,'ECN-ECO_DATA'!B:Q,15,FALSE)="","",VLOOKUP(A177,'ECN-ECO_DATA'!B:Q,15,FALSE))),"")</f>
        <v/>
      </c>
      <c r="L177" s="10" t="str">
        <f>IFERROR((IF(VLOOKUP(A177,'ECN-ECO_DATA'!B:Q,16,FALSE)="","",VLOOKUP(A177,'ECN-ECO_DATA'!B:Q,16,FALSE))),"")</f>
        <v/>
      </c>
      <c r="M177" s="9" t="str">
        <f>IFERROR((IF(VLOOKUP(A177,'ECN-ECO_DATA'!B:V,18,FALSE)=0/1/1900,"",VLOOKUP(A177,'ECN-ECO_DATA'!B:V,18,FALSE))),"")</f>
        <v/>
      </c>
      <c r="N177" s="9" t="str">
        <f>IFERROR((IF(VLOOKUP(A177,'ECN-ECO_DATA'!B:V,19,FALSE)=0/1/1900,"",VLOOKUP(A177,'ECN-ECO_DATA'!B:V,19,FALSE))),"")</f>
        <v/>
      </c>
      <c r="O177" s="9" t="str">
        <f>IFERROR((IF(VLOOKUP(A177,'ECN-ECO_DATA'!B:V,20,FALSE)=0/1/1900,"",VLOOKUP(A177,'ECN-ECO_DATA'!B:V,20,FALSE))),"")</f>
        <v/>
      </c>
      <c r="P177" s="9" t="str">
        <f>IFERROR((IF(VLOOKUP(A177,'ECN-ECO_DATA'!B:V,21,FALSE)=0/1/1900,"",VLOOKUP(A177,'ECN-ECO_DATA'!B:V,21,FALSE))),"")</f>
        <v/>
      </c>
      <c r="Q177" s="10" t="str">
        <f t="shared" ca="1" si="10"/>
        <v/>
      </c>
      <c r="R177" s="4" t="str">
        <f t="shared" si="11"/>
        <v/>
      </c>
      <c r="S177" s="4" t="str">
        <f t="shared" si="12"/>
        <v/>
      </c>
      <c r="T177" s="4" t="str">
        <f t="shared" si="13"/>
        <v/>
      </c>
      <c r="U177" s="10" t="str">
        <f t="shared" si="14"/>
        <v/>
      </c>
      <c r="V177" s="4"/>
    </row>
    <row r="178" spans="2:22" x14ac:dyDescent="0.25">
      <c r="B178" s="4" t="str">
        <f>IFERROR(VLOOKUP(A178,'ECN-ECO_DATA'!B:G,4,FALSE),"")</f>
        <v/>
      </c>
      <c r="C178" s="9" t="str">
        <f>IFERROR(VLOOKUP(A178,'ECN-ECO_DATA'!B:G,5,FALSE),"")</f>
        <v/>
      </c>
      <c r="D178" s="9" t="str">
        <f ca="1">IFERROR((IF(VLOOKUP(A178,'ECN-ECO_DATA'!B:G,6,FALSE)=0/1/1900,TODAY(),VLOOKUP(A178,'ECN-ECO_DATA'!B:G,6,FALSE))),"")</f>
        <v/>
      </c>
      <c r="E178" s="9" t="str">
        <f>IFERROR((IF(VLOOKUP(A178,'ECN-ECO_DATA'!B:G,6,FALSE)=0/1/1900,"",VLOOKUP(A178,'ECN-ECO_DATA'!B:G,6,FALSE))),"")</f>
        <v/>
      </c>
      <c r="F178" s="9" t="str">
        <f>IFERROR((IF(VLOOKUP(A178,'ECN-ECO_DATA'!B:J,7,FALSE)=0/1/1900,"",VLOOKUP(A178,'ECN-ECO_DATA'!B:J,7,FALSE))),"")</f>
        <v/>
      </c>
      <c r="G178" s="9" t="str">
        <f>IFERROR((IF(VLOOKUP(A178,'ECN-ECO_DATA'!B:J,8,FALSE)=0/1/1900,"",VLOOKUP(A178,'ECN-ECO_DATA'!B:J,8,FALSE))),"")</f>
        <v/>
      </c>
      <c r="H178" s="9" t="str">
        <f>IFERROR((IF(VLOOKUP(A178,'ECN-ECO_DATA'!B:J,9,FALSE)=0/1/1900,"",VLOOKUP(A178,'ECN-ECO_DATA'!B:J,9,FALSE))),"")</f>
        <v/>
      </c>
      <c r="I178" s="10" t="str">
        <f>IFERROR((IF(VLOOKUP(A178,'ECN-ECO_DATA'!B:Q,13,FALSE)="","",VLOOKUP(A178,'ECN-ECO_DATA'!B:Q,13,FALSE))),"")</f>
        <v/>
      </c>
      <c r="J178" s="10" t="str">
        <f>IFERROR((IF(VLOOKUP(A178,'ECN-ECO_DATA'!B:Q,14,FALSE)="","",VLOOKUP(A178,'ECN-ECO_DATA'!B:Q,14,FALSE))),"")</f>
        <v/>
      </c>
      <c r="K178" s="10" t="str">
        <f>IFERROR((IF(VLOOKUP(A178,'ECN-ECO_DATA'!B:Q,15,FALSE)="","",VLOOKUP(A178,'ECN-ECO_DATA'!B:Q,15,FALSE))),"")</f>
        <v/>
      </c>
      <c r="L178" s="10" t="str">
        <f>IFERROR((IF(VLOOKUP(A178,'ECN-ECO_DATA'!B:Q,16,FALSE)="","",VLOOKUP(A178,'ECN-ECO_DATA'!B:Q,16,FALSE))),"")</f>
        <v/>
      </c>
      <c r="M178" s="9" t="str">
        <f>IFERROR((IF(VLOOKUP(A178,'ECN-ECO_DATA'!B:V,18,FALSE)=0/1/1900,"",VLOOKUP(A178,'ECN-ECO_DATA'!B:V,18,FALSE))),"")</f>
        <v/>
      </c>
      <c r="N178" s="9" t="str">
        <f>IFERROR((IF(VLOOKUP(A178,'ECN-ECO_DATA'!B:V,19,FALSE)=0/1/1900,"",VLOOKUP(A178,'ECN-ECO_DATA'!B:V,19,FALSE))),"")</f>
        <v/>
      </c>
      <c r="O178" s="9" t="str">
        <f>IFERROR((IF(VLOOKUP(A178,'ECN-ECO_DATA'!B:V,20,FALSE)=0/1/1900,"",VLOOKUP(A178,'ECN-ECO_DATA'!B:V,20,FALSE))),"")</f>
        <v/>
      </c>
      <c r="P178" s="9" t="str">
        <f>IFERROR((IF(VLOOKUP(A178,'ECN-ECO_DATA'!B:V,21,FALSE)=0/1/1900,"",VLOOKUP(A178,'ECN-ECO_DATA'!B:V,21,FALSE))),"")</f>
        <v/>
      </c>
      <c r="Q178" s="10" t="str">
        <f t="shared" ca="1" si="10"/>
        <v/>
      </c>
      <c r="R178" s="4" t="str">
        <f t="shared" si="11"/>
        <v/>
      </c>
      <c r="S178" s="4" t="str">
        <f t="shared" si="12"/>
        <v/>
      </c>
      <c r="T178" s="4" t="str">
        <f t="shared" si="13"/>
        <v/>
      </c>
      <c r="U178" s="10" t="str">
        <f t="shared" si="14"/>
        <v/>
      </c>
      <c r="V178" s="4"/>
    </row>
    <row r="179" spans="2:22" x14ac:dyDescent="0.25">
      <c r="B179" s="4" t="str">
        <f>IFERROR(VLOOKUP(A179,'ECN-ECO_DATA'!B:G,4,FALSE),"")</f>
        <v/>
      </c>
      <c r="C179" s="9" t="str">
        <f>IFERROR(VLOOKUP(A179,'ECN-ECO_DATA'!B:G,5,FALSE),"")</f>
        <v/>
      </c>
      <c r="D179" s="9" t="str">
        <f ca="1">IFERROR((IF(VLOOKUP(A179,'ECN-ECO_DATA'!B:G,6,FALSE)=0/1/1900,TODAY(),VLOOKUP(A179,'ECN-ECO_DATA'!B:G,6,FALSE))),"")</f>
        <v/>
      </c>
      <c r="E179" s="9" t="str">
        <f>IFERROR((IF(VLOOKUP(A179,'ECN-ECO_DATA'!B:G,6,FALSE)=0/1/1900,"",VLOOKUP(A179,'ECN-ECO_DATA'!B:G,6,FALSE))),"")</f>
        <v/>
      </c>
      <c r="F179" s="9" t="str">
        <f>IFERROR((IF(VLOOKUP(A179,'ECN-ECO_DATA'!B:J,7,FALSE)=0/1/1900,"",VLOOKUP(A179,'ECN-ECO_DATA'!B:J,7,FALSE))),"")</f>
        <v/>
      </c>
      <c r="G179" s="9" t="str">
        <f>IFERROR((IF(VLOOKUP(A179,'ECN-ECO_DATA'!B:J,8,FALSE)=0/1/1900,"",VLOOKUP(A179,'ECN-ECO_DATA'!B:J,8,FALSE))),"")</f>
        <v/>
      </c>
      <c r="H179" s="9" t="str">
        <f>IFERROR((IF(VLOOKUP(A179,'ECN-ECO_DATA'!B:J,9,FALSE)=0/1/1900,"",VLOOKUP(A179,'ECN-ECO_DATA'!B:J,9,FALSE))),"")</f>
        <v/>
      </c>
      <c r="I179" s="10" t="str">
        <f>IFERROR((IF(VLOOKUP(A179,'ECN-ECO_DATA'!B:Q,13,FALSE)="","",VLOOKUP(A179,'ECN-ECO_DATA'!B:Q,13,FALSE))),"")</f>
        <v/>
      </c>
      <c r="J179" s="10" t="str">
        <f>IFERROR((IF(VLOOKUP(A179,'ECN-ECO_DATA'!B:Q,14,FALSE)="","",VLOOKUP(A179,'ECN-ECO_DATA'!B:Q,14,FALSE))),"")</f>
        <v/>
      </c>
      <c r="K179" s="10" t="str">
        <f>IFERROR((IF(VLOOKUP(A179,'ECN-ECO_DATA'!B:Q,15,FALSE)="","",VLOOKUP(A179,'ECN-ECO_DATA'!B:Q,15,FALSE))),"")</f>
        <v/>
      </c>
      <c r="L179" s="10" t="str">
        <f>IFERROR((IF(VLOOKUP(A179,'ECN-ECO_DATA'!B:Q,16,FALSE)="","",VLOOKUP(A179,'ECN-ECO_DATA'!B:Q,16,FALSE))),"")</f>
        <v/>
      </c>
      <c r="M179" s="9" t="str">
        <f>IFERROR((IF(VLOOKUP(A179,'ECN-ECO_DATA'!B:V,18,FALSE)=0/1/1900,"",VLOOKUP(A179,'ECN-ECO_DATA'!B:V,18,FALSE))),"")</f>
        <v/>
      </c>
      <c r="N179" s="9" t="str">
        <f>IFERROR((IF(VLOOKUP(A179,'ECN-ECO_DATA'!B:V,19,FALSE)=0/1/1900,"",VLOOKUP(A179,'ECN-ECO_DATA'!B:V,19,FALSE))),"")</f>
        <v/>
      </c>
      <c r="O179" s="9" t="str">
        <f>IFERROR((IF(VLOOKUP(A179,'ECN-ECO_DATA'!B:V,20,FALSE)=0/1/1900,"",VLOOKUP(A179,'ECN-ECO_DATA'!B:V,20,FALSE))),"")</f>
        <v/>
      </c>
      <c r="P179" s="9" t="str">
        <f>IFERROR((IF(VLOOKUP(A179,'ECN-ECO_DATA'!B:V,21,FALSE)=0/1/1900,"",VLOOKUP(A179,'ECN-ECO_DATA'!B:V,21,FALSE))),"")</f>
        <v/>
      </c>
      <c r="Q179" s="10" t="str">
        <f t="shared" ca="1" si="10"/>
        <v/>
      </c>
      <c r="R179" s="4" t="str">
        <f t="shared" si="11"/>
        <v/>
      </c>
      <c r="S179" s="4" t="str">
        <f t="shared" si="12"/>
        <v/>
      </c>
      <c r="T179" s="4" t="str">
        <f t="shared" si="13"/>
        <v/>
      </c>
      <c r="U179" s="10" t="str">
        <f t="shared" si="14"/>
        <v/>
      </c>
      <c r="V179" s="4"/>
    </row>
    <row r="180" spans="2:22" x14ac:dyDescent="0.25">
      <c r="B180" s="4" t="str">
        <f>IFERROR(VLOOKUP(A180,'ECN-ECO_DATA'!B:G,4,FALSE),"")</f>
        <v/>
      </c>
      <c r="C180" s="9" t="str">
        <f>IFERROR(VLOOKUP(A180,'ECN-ECO_DATA'!B:G,5,FALSE),"")</f>
        <v/>
      </c>
      <c r="D180" s="9" t="str">
        <f ca="1">IFERROR((IF(VLOOKUP(A180,'ECN-ECO_DATA'!B:G,6,FALSE)=0/1/1900,TODAY(),VLOOKUP(A180,'ECN-ECO_DATA'!B:G,6,FALSE))),"")</f>
        <v/>
      </c>
      <c r="E180" s="9" t="str">
        <f>IFERROR((IF(VLOOKUP(A180,'ECN-ECO_DATA'!B:G,6,FALSE)=0/1/1900,"",VLOOKUP(A180,'ECN-ECO_DATA'!B:G,6,FALSE))),"")</f>
        <v/>
      </c>
      <c r="F180" s="9" t="str">
        <f>IFERROR((IF(VLOOKUP(A180,'ECN-ECO_DATA'!B:J,7,FALSE)=0/1/1900,"",VLOOKUP(A180,'ECN-ECO_DATA'!B:J,7,FALSE))),"")</f>
        <v/>
      </c>
      <c r="G180" s="9" t="str">
        <f>IFERROR((IF(VLOOKUP(A180,'ECN-ECO_DATA'!B:J,8,FALSE)=0/1/1900,"",VLOOKUP(A180,'ECN-ECO_DATA'!B:J,8,FALSE))),"")</f>
        <v/>
      </c>
      <c r="H180" s="9" t="str">
        <f>IFERROR((IF(VLOOKUP(A180,'ECN-ECO_DATA'!B:J,9,FALSE)=0/1/1900,"",VLOOKUP(A180,'ECN-ECO_DATA'!B:J,9,FALSE))),"")</f>
        <v/>
      </c>
      <c r="I180" s="10" t="str">
        <f>IFERROR((IF(VLOOKUP(A180,'ECN-ECO_DATA'!B:Q,13,FALSE)="","",VLOOKUP(A180,'ECN-ECO_DATA'!B:Q,13,FALSE))),"")</f>
        <v/>
      </c>
      <c r="J180" s="10" t="str">
        <f>IFERROR((IF(VLOOKUP(A180,'ECN-ECO_DATA'!B:Q,14,FALSE)="","",VLOOKUP(A180,'ECN-ECO_DATA'!B:Q,14,FALSE))),"")</f>
        <v/>
      </c>
      <c r="K180" s="10" t="str">
        <f>IFERROR((IF(VLOOKUP(A180,'ECN-ECO_DATA'!B:Q,15,FALSE)="","",VLOOKUP(A180,'ECN-ECO_DATA'!B:Q,15,FALSE))),"")</f>
        <v/>
      </c>
      <c r="L180" s="10" t="str">
        <f>IFERROR((IF(VLOOKUP(A180,'ECN-ECO_DATA'!B:Q,16,FALSE)="","",VLOOKUP(A180,'ECN-ECO_DATA'!B:Q,16,FALSE))),"")</f>
        <v/>
      </c>
      <c r="M180" s="9" t="str">
        <f>IFERROR((IF(VLOOKUP(A180,'ECN-ECO_DATA'!B:V,18,FALSE)=0/1/1900,"",VLOOKUP(A180,'ECN-ECO_DATA'!B:V,18,FALSE))),"")</f>
        <v/>
      </c>
      <c r="N180" s="9" t="str">
        <f>IFERROR((IF(VLOOKUP(A180,'ECN-ECO_DATA'!B:V,19,FALSE)=0/1/1900,"",VLOOKUP(A180,'ECN-ECO_DATA'!B:V,19,FALSE))),"")</f>
        <v/>
      </c>
      <c r="O180" s="9" t="str">
        <f>IFERROR((IF(VLOOKUP(A180,'ECN-ECO_DATA'!B:V,20,FALSE)=0/1/1900,"",VLOOKUP(A180,'ECN-ECO_DATA'!B:V,20,FALSE))),"")</f>
        <v/>
      </c>
      <c r="P180" s="9" t="str">
        <f>IFERROR((IF(VLOOKUP(A180,'ECN-ECO_DATA'!B:V,21,FALSE)=0/1/1900,"",VLOOKUP(A180,'ECN-ECO_DATA'!B:V,21,FALSE))),"")</f>
        <v/>
      </c>
      <c r="Q180" s="10" t="str">
        <f t="shared" ca="1" si="10"/>
        <v/>
      </c>
      <c r="R180" s="4" t="str">
        <f t="shared" si="11"/>
        <v/>
      </c>
      <c r="S180" s="4" t="str">
        <f t="shared" si="12"/>
        <v/>
      </c>
      <c r="T180" s="4" t="str">
        <f t="shared" si="13"/>
        <v/>
      </c>
      <c r="U180" s="10" t="str">
        <f t="shared" si="14"/>
        <v/>
      </c>
      <c r="V180" s="4"/>
    </row>
    <row r="181" spans="2:22" x14ac:dyDescent="0.25">
      <c r="B181" s="4" t="str">
        <f>IFERROR(VLOOKUP(A181,'ECN-ECO_DATA'!B:G,4,FALSE),"")</f>
        <v/>
      </c>
      <c r="C181" s="9" t="str">
        <f>IFERROR(VLOOKUP(A181,'ECN-ECO_DATA'!B:G,5,FALSE),"")</f>
        <v/>
      </c>
      <c r="D181" s="9" t="str">
        <f ca="1">IFERROR((IF(VLOOKUP(A181,'ECN-ECO_DATA'!B:G,6,FALSE)=0/1/1900,TODAY(),VLOOKUP(A181,'ECN-ECO_DATA'!B:G,6,FALSE))),"")</f>
        <v/>
      </c>
      <c r="E181" s="9" t="str">
        <f>IFERROR((IF(VLOOKUP(A181,'ECN-ECO_DATA'!B:G,6,FALSE)=0/1/1900,"",VLOOKUP(A181,'ECN-ECO_DATA'!B:G,6,FALSE))),"")</f>
        <v/>
      </c>
      <c r="F181" s="9" t="str">
        <f>IFERROR((IF(VLOOKUP(A181,'ECN-ECO_DATA'!B:J,7,FALSE)=0/1/1900,"",VLOOKUP(A181,'ECN-ECO_DATA'!B:J,7,FALSE))),"")</f>
        <v/>
      </c>
      <c r="G181" s="9" t="str">
        <f>IFERROR((IF(VLOOKUP(A181,'ECN-ECO_DATA'!B:J,8,FALSE)=0/1/1900,"",VLOOKUP(A181,'ECN-ECO_DATA'!B:J,8,FALSE))),"")</f>
        <v/>
      </c>
      <c r="H181" s="9" t="str">
        <f>IFERROR((IF(VLOOKUP(A181,'ECN-ECO_DATA'!B:J,9,FALSE)=0/1/1900,"",VLOOKUP(A181,'ECN-ECO_DATA'!B:J,9,FALSE))),"")</f>
        <v/>
      </c>
      <c r="I181" s="10" t="str">
        <f>IFERROR((IF(VLOOKUP(A181,'ECN-ECO_DATA'!B:Q,13,FALSE)="","",VLOOKUP(A181,'ECN-ECO_DATA'!B:Q,13,FALSE))),"")</f>
        <v/>
      </c>
      <c r="J181" s="10" t="str">
        <f>IFERROR((IF(VLOOKUP(A181,'ECN-ECO_DATA'!B:Q,14,FALSE)="","",VLOOKUP(A181,'ECN-ECO_DATA'!B:Q,14,FALSE))),"")</f>
        <v/>
      </c>
      <c r="K181" s="10" t="str">
        <f>IFERROR((IF(VLOOKUP(A181,'ECN-ECO_DATA'!B:Q,15,FALSE)="","",VLOOKUP(A181,'ECN-ECO_DATA'!B:Q,15,FALSE))),"")</f>
        <v/>
      </c>
      <c r="L181" s="10" t="str">
        <f>IFERROR((IF(VLOOKUP(A181,'ECN-ECO_DATA'!B:Q,16,FALSE)="","",VLOOKUP(A181,'ECN-ECO_DATA'!B:Q,16,FALSE))),"")</f>
        <v/>
      </c>
      <c r="M181" s="9" t="str">
        <f>IFERROR((IF(VLOOKUP(A181,'ECN-ECO_DATA'!B:V,18,FALSE)=0/1/1900,"",VLOOKUP(A181,'ECN-ECO_DATA'!B:V,18,FALSE))),"")</f>
        <v/>
      </c>
      <c r="N181" s="9" t="str">
        <f>IFERROR((IF(VLOOKUP(A181,'ECN-ECO_DATA'!B:V,19,FALSE)=0/1/1900,"",VLOOKUP(A181,'ECN-ECO_DATA'!B:V,19,FALSE))),"")</f>
        <v/>
      </c>
      <c r="O181" s="9" t="str">
        <f>IFERROR((IF(VLOOKUP(A181,'ECN-ECO_DATA'!B:V,20,FALSE)=0/1/1900,"",VLOOKUP(A181,'ECN-ECO_DATA'!B:V,20,FALSE))),"")</f>
        <v/>
      </c>
      <c r="P181" s="9" t="str">
        <f>IFERROR((IF(VLOOKUP(A181,'ECN-ECO_DATA'!B:V,21,FALSE)=0/1/1900,"",VLOOKUP(A181,'ECN-ECO_DATA'!B:V,21,FALSE))),"")</f>
        <v/>
      </c>
      <c r="Q181" s="10" t="str">
        <f t="shared" ca="1" si="10"/>
        <v/>
      </c>
      <c r="R181" s="4" t="str">
        <f t="shared" si="11"/>
        <v/>
      </c>
      <c r="S181" s="4" t="str">
        <f t="shared" si="12"/>
        <v/>
      </c>
      <c r="T181" s="4" t="str">
        <f t="shared" si="13"/>
        <v/>
      </c>
      <c r="U181" s="10" t="str">
        <f t="shared" si="14"/>
        <v/>
      </c>
      <c r="V181" s="4"/>
    </row>
    <row r="182" spans="2:22" x14ac:dyDescent="0.25">
      <c r="B182" s="4" t="str">
        <f>IFERROR(VLOOKUP(A182,'ECN-ECO_DATA'!B:G,4,FALSE),"")</f>
        <v/>
      </c>
      <c r="C182" s="9" t="str">
        <f>IFERROR(VLOOKUP(A182,'ECN-ECO_DATA'!B:G,5,FALSE),"")</f>
        <v/>
      </c>
      <c r="D182" s="9" t="str">
        <f ca="1">IFERROR((IF(VLOOKUP(A182,'ECN-ECO_DATA'!B:G,6,FALSE)=0/1/1900,TODAY(),VLOOKUP(A182,'ECN-ECO_DATA'!B:G,6,FALSE))),"")</f>
        <v/>
      </c>
      <c r="E182" s="9" t="str">
        <f>IFERROR((IF(VLOOKUP(A182,'ECN-ECO_DATA'!B:G,6,FALSE)=0/1/1900,"",VLOOKUP(A182,'ECN-ECO_DATA'!B:G,6,FALSE))),"")</f>
        <v/>
      </c>
      <c r="F182" s="9" t="str">
        <f>IFERROR((IF(VLOOKUP(A182,'ECN-ECO_DATA'!B:J,7,FALSE)=0/1/1900,"",VLOOKUP(A182,'ECN-ECO_DATA'!B:J,7,FALSE))),"")</f>
        <v/>
      </c>
      <c r="G182" s="9" t="str">
        <f>IFERROR((IF(VLOOKUP(A182,'ECN-ECO_DATA'!B:J,8,FALSE)=0/1/1900,"",VLOOKUP(A182,'ECN-ECO_DATA'!B:J,8,FALSE))),"")</f>
        <v/>
      </c>
      <c r="H182" s="9" t="str">
        <f>IFERROR((IF(VLOOKUP(A182,'ECN-ECO_DATA'!B:J,9,FALSE)=0/1/1900,"",VLOOKUP(A182,'ECN-ECO_DATA'!B:J,9,FALSE))),"")</f>
        <v/>
      </c>
      <c r="I182" s="10" t="str">
        <f>IFERROR((IF(VLOOKUP(A182,'ECN-ECO_DATA'!B:Q,13,FALSE)="","",VLOOKUP(A182,'ECN-ECO_DATA'!B:Q,13,FALSE))),"")</f>
        <v/>
      </c>
      <c r="J182" s="10" t="str">
        <f>IFERROR((IF(VLOOKUP(A182,'ECN-ECO_DATA'!B:Q,14,FALSE)="","",VLOOKUP(A182,'ECN-ECO_DATA'!B:Q,14,FALSE))),"")</f>
        <v/>
      </c>
      <c r="K182" s="10" t="str">
        <f>IFERROR((IF(VLOOKUP(A182,'ECN-ECO_DATA'!B:Q,15,FALSE)="","",VLOOKUP(A182,'ECN-ECO_DATA'!B:Q,15,FALSE))),"")</f>
        <v/>
      </c>
      <c r="L182" s="10" t="str">
        <f>IFERROR((IF(VLOOKUP(A182,'ECN-ECO_DATA'!B:Q,16,FALSE)="","",VLOOKUP(A182,'ECN-ECO_DATA'!B:Q,16,FALSE))),"")</f>
        <v/>
      </c>
      <c r="M182" s="9" t="str">
        <f>IFERROR((IF(VLOOKUP(A182,'ECN-ECO_DATA'!B:V,18,FALSE)=0/1/1900,"",VLOOKUP(A182,'ECN-ECO_DATA'!B:V,18,FALSE))),"")</f>
        <v/>
      </c>
      <c r="N182" s="9" t="str">
        <f>IFERROR((IF(VLOOKUP(A182,'ECN-ECO_DATA'!B:V,19,FALSE)=0/1/1900,"",VLOOKUP(A182,'ECN-ECO_DATA'!B:V,19,FALSE))),"")</f>
        <v/>
      </c>
      <c r="O182" s="9" t="str">
        <f>IFERROR((IF(VLOOKUP(A182,'ECN-ECO_DATA'!B:V,20,FALSE)=0/1/1900,"",VLOOKUP(A182,'ECN-ECO_DATA'!B:V,20,FALSE))),"")</f>
        <v/>
      </c>
      <c r="P182" s="9" t="str">
        <f>IFERROR((IF(VLOOKUP(A182,'ECN-ECO_DATA'!B:V,21,FALSE)=0/1/1900,"",VLOOKUP(A182,'ECN-ECO_DATA'!B:V,21,FALSE))),"")</f>
        <v/>
      </c>
      <c r="Q182" s="10" t="str">
        <f t="shared" ca="1" si="10"/>
        <v/>
      </c>
      <c r="R182" s="4" t="str">
        <f t="shared" si="11"/>
        <v/>
      </c>
      <c r="S182" s="4" t="str">
        <f t="shared" si="12"/>
        <v/>
      </c>
      <c r="T182" s="4" t="str">
        <f t="shared" si="13"/>
        <v/>
      </c>
      <c r="U182" s="10" t="str">
        <f t="shared" si="14"/>
        <v/>
      </c>
      <c r="V182" s="4"/>
    </row>
    <row r="183" spans="2:22" x14ac:dyDescent="0.25">
      <c r="B183" s="4" t="str">
        <f>IFERROR(VLOOKUP(A183,'ECN-ECO_DATA'!B:G,4,FALSE),"")</f>
        <v/>
      </c>
      <c r="C183" s="9" t="str">
        <f>IFERROR(VLOOKUP(A183,'ECN-ECO_DATA'!B:G,5,FALSE),"")</f>
        <v/>
      </c>
      <c r="D183" s="9" t="str">
        <f ca="1">IFERROR((IF(VLOOKUP(A183,'ECN-ECO_DATA'!B:G,6,FALSE)=0/1/1900,TODAY(),VLOOKUP(A183,'ECN-ECO_DATA'!B:G,6,FALSE))),"")</f>
        <v/>
      </c>
      <c r="E183" s="9" t="str">
        <f>IFERROR((IF(VLOOKUP(A183,'ECN-ECO_DATA'!B:G,6,FALSE)=0/1/1900,"",VLOOKUP(A183,'ECN-ECO_DATA'!B:G,6,FALSE))),"")</f>
        <v/>
      </c>
      <c r="F183" s="9" t="str">
        <f>IFERROR((IF(VLOOKUP(A183,'ECN-ECO_DATA'!B:J,7,FALSE)=0/1/1900,"",VLOOKUP(A183,'ECN-ECO_DATA'!B:J,7,FALSE))),"")</f>
        <v/>
      </c>
      <c r="G183" s="9" t="str">
        <f>IFERROR((IF(VLOOKUP(A183,'ECN-ECO_DATA'!B:J,8,FALSE)=0/1/1900,"",VLOOKUP(A183,'ECN-ECO_DATA'!B:J,8,FALSE))),"")</f>
        <v/>
      </c>
      <c r="H183" s="9" t="str">
        <f>IFERROR((IF(VLOOKUP(A183,'ECN-ECO_DATA'!B:J,9,FALSE)=0/1/1900,"",VLOOKUP(A183,'ECN-ECO_DATA'!B:J,9,FALSE))),"")</f>
        <v/>
      </c>
      <c r="I183" s="10" t="str">
        <f>IFERROR((IF(VLOOKUP(A183,'ECN-ECO_DATA'!B:Q,13,FALSE)="","",VLOOKUP(A183,'ECN-ECO_DATA'!B:Q,13,FALSE))),"")</f>
        <v/>
      </c>
      <c r="J183" s="10" t="str">
        <f>IFERROR((IF(VLOOKUP(A183,'ECN-ECO_DATA'!B:Q,14,FALSE)="","",VLOOKUP(A183,'ECN-ECO_DATA'!B:Q,14,FALSE))),"")</f>
        <v/>
      </c>
      <c r="K183" s="10" t="str">
        <f>IFERROR((IF(VLOOKUP(A183,'ECN-ECO_DATA'!B:Q,15,FALSE)="","",VLOOKUP(A183,'ECN-ECO_DATA'!B:Q,15,FALSE))),"")</f>
        <v/>
      </c>
      <c r="L183" s="10" t="str">
        <f>IFERROR((IF(VLOOKUP(A183,'ECN-ECO_DATA'!B:Q,16,FALSE)="","",VLOOKUP(A183,'ECN-ECO_DATA'!B:Q,16,FALSE))),"")</f>
        <v/>
      </c>
      <c r="M183" s="9" t="str">
        <f>IFERROR((IF(VLOOKUP(A183,'ECN-ECO_DATA'!B:V,18,FALSE)=0/1/1900,"",VLOOKUP(A183,'ECN-ECO_DATA'!B:V,18,FALSE))),"")</f>
        <v/>
      </c>
      <c r="N183" s="9" t="str">
        <f>IFERROR((IF(VLOOKUP(A183,'ECN-ECO_DATA'!B:V,19,FALSE)=0/1/1900,"",VLOOKUP(A183,'ECN-ECO_DATA'!B:V,19,FALSE))),"")</f>
        <v/>
      </c>
      <c r="O183" s="9" t="str">
        <f>IFERROR((IF(VLOOKUP(A183,'ECN-ECO_DATA'!B:V,20,FALSE)=0/1/1900,"",VLOOKUP(A183,'ECN-ECO_DATA'!B:V,20,FALSE))),"")</f>
        <v/>
      </c>
      <c r="P183" s="9" t="str">
        <f>IFERROR((IF(VLOOKUP(A183,'ECN-ECO_DATA'!B:V,21,FALSE)=0/1/1900,"",VLOOKUP(A183,'ECN-ECO_DATA'!B:V,21,FALSE))),"")</f>
        <v/>
      </c>
      <c r="Q183" s="10" t="str">
        <f t="shared" ca="1" si="10"/>
        <v/>
      </c>
      <c r="R183" s="4" t="str">
        <f t="shared" si="11"/>
        <v/>
      </c>
      <c r="S183" s="4" t="str">
        <f t="shared" si="12"/>
        <v/>
      </c>
      <c r="T183" s="4" t="str">
        <f t="shared" si="13"/>
        <v/>
      </c>
      <c r="U183" s="10" t="str">
        <f t="shared" si="14"/>
        <v/>
      </c>
      <c r="V183" s="4"/>
    </row>
    <row r="184" spans="2:22" x14ac:dyDescent="0.25">
      <c r="B184" s="4" t="str">
        <f>IFERROR(VLOOKUP(A184,'ECN-ECO_DATA'!B:G,4,FALSE),"")</f>
        <v/>
      </c>
      <c r="C184" s="9" t="str">
        <f>IFERROR(VLOOKUP(A184,'ECN-ECO_DATA'!B:G,5,FALSE),"")</f>
        <v/>
      </c>
      <c r="D184" s="9" t="str">
        <f ca="1">IFERROR((IF(VLOOKUP(A184,'ECN-ECO_DATA'!B:G,6,FALSE)=0/1/1900,TODAY(),VLOOKUP(A184,'ECN-ECO_DATA'!B:G,6,FALSE))),"")</f>
        <v/>
      </c>
      <c r="E184" s="9" t="str">
        <f>IFERROR((IF(VLOOKUP(A184,'ECN-ECO_DATA'!B:G,6,FALSE)=0/1/1900,"",VLOOKUP(A184,'ECN-ECO_DATA'!B:G,6,FALSE))),"")</f>
        <v/>
      </c>
      <c r="F184" s="9" t="str">
        <f>IFERROR((IF(VLOOKUP(A184,'ECN-ECO_DATA'!B:J,7,FALSE)=0/1/1900,"",VLOOKUP(A184,'ECN-ECO_DATA'!B:J,7,FALSE))),"")</f>
        <v/>
      </c>
      <c r="G184" s="9" t="str">
        <f>IFERROR((IF(VLOOKUP(A184,'ECN-ECO_DATA'!B:J,8,FALSE)=0/1/1900,"",VLOOKUP(A184,'ECN-ECO_DATA'!B:J,8,FALSE))),"")</f>
        <v/>
      </c>
      <c r="H184" s="9" t="str">
        <f>IFERROR((IF(VLOOKUP(A184,'ECN-ECO_DATA'!B:J,9,FALSE)=0/1/1900,"",VLOOKUP(A184,'ECN-ECO_DATA'!B:J,9,FALSE))),"")</f>
        <v/>
      </c>
      <c r="I184" s="10" t="str">
        <f>IFERROR((IF(VLOOKUP(A184,'ECN-ECO_DATA'!B:Q,13,FALSE)="","",VLOOKUP(A184,'ECN-ECO_DATA'!B:Q,13,FALSE))),"")</f>
        <v/>
      </c>
      <c r="J184" s="10" t="str">
        <f>IFERROR((IF(VLOOKUP(A184,'ECN-ECO_DATA'!B:Q,14,FALSE)="","",VLOOKUP(A184,'ECN-ECO_DATA'!B:Q,14,FALSE))),"")</f>
        <v/>
      </c>
      <c r="K184" s="10" t="str">
        <f>IFERROR((IF(VLOOKUP(A184,'ECN-ECO_DATA'!B:Q,15,FALSE)="","",VLOOKUP(A184,'ECN-ECO_DATA'!B:Q,15,FALSE))),"")</f>
        <v/>
      </c>
      <c r="L184" s="10" t="str">
        <f>IFERROR((IF(VLOOKUP(A184,'ECN-ECO_DATA'!B:Q,16,FALSE)="","",VLOOKUP(A184,'ECN-ECO_DATA'!B:Q,16,FALSE))),"")</f>
        <v/>
      </c>
      <c r="M184" s="9" t="str">
        <f>IFERROR((IF(VLOOKUP(A184,'ECN-ECO_DATA'!B:V,18,FALSE)=0/1/1900,"",VLOOKUP(A184,'ECN-ECO_DATA'!B:V,18,FALSE))),"")</f>
        <v/>
      </c>
      <c r="N184" s="9" t="str">
        <f>IFERROR((IF(VLOOKUP(A184,'ECN-ECO_DATA'!B:V,19,FALSE)=0/1/1900,"",VLOOKUP(A184,'ECN-ECO_DATA'!B:V,19,FALSE))),"")</f>
        <v/>
      </c>
      <c r="O184" s="9" t="str">
        <f>IFERROR((IF(VLOOKUP(A184,'ECN-ECO_DATA'!B:V,20,FALSE)=0/1/1900,"",VLOOKUP(A184,'ECN-ECO_DATA'!B:V,20,FALSE))),"")</f>
        <v/>
      </c>
      <c r="P184" s="9" t="str">
        <f>IFERROR((IF(VLOOKUP(A184,'ECN-ECO_DATA'!B:V,21,FALSE)=0/1/1900,"",VLOOKUP(A184,'ECN-ECO_DATA'!B:V,21,FALSE))),"")</f>
        <v/>
      </c>
      <c r="Q184" s="10" t="str">
        <f t="shared" ca="1" si="10"/>
        <v/>
      </c>
      <c r="R184" s="4" t="str">
        <f t="shared" si="11"/>
        <v/>
      </c>
      <c r="S184" s="4" t="str">
        <f t="shared" si="12"/>
        <v/>
      </c>
      <c r="T184" s="4" t="str">
        <f t="shared" si="13"/>
        <v/>
      </c>
      <c r="U184" s="10" t="str">
        <f t="shared" si="14"/>
        <v/>
      </c>
      <c r="V184" s="4"/>
    </row>
    <row r="185" spans="2:22" x14ac:dyDescent="0.25">
      <c r="B185" s="4" t="str">
        <f>IFERROR(VLOOKUP(A185,'ECN-ECO_DATA'!B:G,4,FALSE),"")</f>
        <v/>
      </c>
      <c r="C185" s="9" t="str">
        <f>IFERROR(VLOOKUP(A185,'ECN-ECO_DATA'!B:G,5,FALSE),"")</f>
        <v/>
      </c>
      <c r="D185" s="9" t="str">
        <f ca="1">IFERROR((IF(VLOOKUP(A185,'ECN-ECO_DATA'!B:G,6,FALSE)=0/1/1900,TODAY(),VLOOKUP(A185,'ECN-ECO_DATA'!B:G,6,FALSE))),"")</f>
        <v/>
      </c>
      <c r="E185" s="9" t="str">
        <f>IFERROR((IF(VLOOKUP(A185,'ECN-ECO_DATA'!B:G,6,FALSE)=0/1/1900,"",VLOOKUP(A185,'ECN-ECO_DATA'!B:G,6,FALSE))),"")</f>
        <v/>
      </c>
      <c r="F185" s="9" t="str">
        <f>IFERROR((IF(VLOOKUP(A185,'ECN-ECO_DATA'!B:J,7,FALSE)=0/1/1900,"",VLOOKUP(A185,'ECN-ECO_DATA'!B:J,7,FALSE))),"")</f>
        <v/>
      </c>
      <c r="G185" s="9" t="str">
        <f>IFERROR((IF(VLOOKUP(A185,'ECN-ECO_DATA'!B:J,8,FALSE)=0/1/1900,"",VLOOKUP(A185,'ECN-ECO_DATA'!B:J,8,FALSE))),"")</f>
        <v/>
      </c>
      <c r="H185" s="9" t="str">
        <f>IFERROR((IF(VLOOKUP(A185,'ECN-ECO_DATA'!B:J,9,FALSE)=0/1/1900,"",VLOOKUP(A185,'ECN-ECO_DATA'!B:J,9,FALSE))),"")</f>
        <v/>
      </c>
      <c r="I185" s="10" t="str">
        <f>IFERROR((IF(VLOOKUP(A185,'ECN-ECO_DATA'!B:Q,13,FALSE)="","",VLOOKUP(A185,'ECN-ECO_DATA'!B:Q,13,FALSE))),"")</f>
        <v/>
      </c>
      <c r="J185" s="10" t="str">
        <f>IFERROR((IF(VLOOKUP(A185,'ECN-ECO_DATA'!B:Q,14,FALSE)="","",VLOOKUP(A185,'ECN-ECO_DATA'!B:Q,14,FALSE))),"")</f>
        <v/>
      </c>
      <c r="K185" s="10" t="str">
        <f>IFERROR((IF(VLOOKUP(A185,'ECN-ECO_DATA'!B:Q,15,FALSE)="","",VLOOKUP(A185,'ECN-ECO_DATA'!B:Q,15,FALSE))),"")</f>
        <v/>
      </c>
      <c r="L185" s="10" t="str">
        <f>IFERROR((IF(VLOOKUP(A185,'ECN-ECO_DATA'!B:Q,16,FALSE)="","",VLOOKUP(A185,'ECN-ECO_DATA'!B:Q,16,FALSE))),"")</f>
        <v/>
      </c>
      <c r="M185" s="9" t="str">
        <f>IFERROR((IF(VLOOKUP(A185,'ECN-ECO_DATA'!B:V,18,FALSE)=0/1/1900,"",VLOOKUP(A185,'ECN-ECO_DATA'!B:V,18,FALSE))),"")</f>
        <v/>
      </c>
      <c r="N185" s="9" t="str">
        <f>IFERROR((IF(VLOOKUP(A185,'ECN-ECO_DATA'!B:V,19,FALSE)=0/1/1900,"",VLOOKUP(A185,'ECN-ECO_DATA'!B:V,19,FALSE))),"")</f>
        <v/>
      </c>
      <c r="O185" s="9" t="str">
        <f>IFERROR((IF(VLOOKUP(A185,'ECN-ECO_DATA'!B:V,20,FALSE)=0/1/1900,"",VLOOKUP(A185,'ECN-ECO_DATA'!B:V,20,FALSE))),"")</f>
        <v/>
      </c>
      <c r="P185" s="9" t="str">
        <f>IFERROR((IF(VLOOKUP(A185,'ECN-ECO_DATA'!B:V,21,FALSE)=0/1/1900,"",VLOOKUP(A185,'ECN-ECO_DATA'!B:V,21,FALSE))),"")</f>
        <v/>
      </c>
      <c r="Q185" s="10" t="str">
        <f t="shared" ca="1" si="10"/>
        <v/>
      </c>
      <c r="R185" s="4" t="str">
        <f t="shared" si="11"/>
        <v/>
      </c>
      <c r="S185" s="4" t="str">
        <f t="shared" si="12"/>
        <v/>
      </c>
      <c r="T185" s="4" t="str">
        <f t="shared" si="13"/>
        <v/>
      </c>
      <c r="U185" s="10" t="str">
        <f t="shared" si="14"/>
        <v/>
      </c>
      <c r="V185" s="4"/>
    </row>
    <row r="186" spans="2:22" x14ac:dyDescent="0.25">
      <c r="B186" s="4" t="str">
        <f>IFERROR(VLOOKUP(A186,'ECN-ECO_DATA'!B:G,4,FALSE),"")</f>
        <v/>
      </c>
      <c r="C186" s="9" t="str">
        <f>IFERROR(VLOOKUP(A186,'ECN-ECO_DATA'!B:G,5,FALSE),"")</f>
        <v/>
      </c>
      <c r="D186" s="9" t="str">
        <f ca="1">IFERROR((IF(VLOOKUP(A186,'ECN-ECO_DATA'!B:G,6,FALSE)=0/1/1900,TODAY(),VLOOKUP(A186,'ECN-ECO_DATA'!B:G,6,FALSE))),"")</f>
        <v/>
      </c>
      <c r="E186" s="9" t="str">
        <f>IFERROR((IF(VLOOKUP(A186,'ECN-ECO_DATA'!B:G,6,FALSE)=0/1/1900,"",VLOOKUP(A186,'ECN-ECO_DATA'!B:G,6,FALSE))),"")</f>
        <v/>
      </c>
      <c r="F186" s="9" t="str">
        <f>IFERROR((IF(VLOOKUP(A186,'ECN-ECO_DATA'!B:J,7,FALSE)=0/1/1900,"",VLOOKUP(A186,'ECN-ECO_DATA'!B:J,7,FALSE))),"")</f>
        <v/>
      </c>
      <c r="G186" s="9" t="str">
        <f>IFERROR((IF(VLOOKUP(A186,'ECN-ECO_DATA'!B:J,8,FALSE)=0/1/1900,"",VLOOKUP(A186,'ECN-ECO_DATA'!B:J,8,FALSE))),"")</f>
        <v/>
      </c>
      <c r="H186" s="9" t="str">
        <f>IFERROR((IF(VLOOKUP(A186,'ECN-ECO_DATA'!B:J,9,FALSE)=0/1/1900,"",VLOOKUP(A186,'ECN-ECO_DATA'!B:J,9,FALSE))),"")</f>
        <v/>
      </c>
      <c r="I186" s="10" t="str">
        <f>IFERROR((IF(VLOOKUP(A186,'ECN-ECO_DATA'!B:Q,13,FALSE)="","",VLOOKUP(A186,'ECN-ECO_DATA'!B:Q,13,FALSE))),"")</f>
        <v/>
      </c>
      <c r="J186" s="10" t="str">
        <f>IFERROR((IF(VLOOKUP(A186,'ECN-ECO_DATA'!B:Q,14,FALSE)="","",VLOOKUP(A186,'ECN-ECO_DATA'!B:Q,14,FALSE))),"")</f>
        <v/>
      </c>
      <c r="K186" s="10" t="str">
        <f>IFERROR((IF(VLOOKUP(A186,'ECN-ECO_DATA'!B:Q,15,FALSE)="","",VLOOKUP(A186,'ECN-ECO_DATA'!B:Q,15,FALSE))),"")</f>
        <v/>
      </c>
      <c r="L186" s="10" t="str">
        <f>IFERROR((IF(VLOOKUP(A186,'ECN-ECO_DATA'!B:Q,16,FALSE)="","",VLOOKUP(A186,'ECN-ECO_DATA'!B:Q,16,FALSE))),"")</f>
        <v/>
      </c>
      <c r="M186" s="9" t="str">
        <f>IFERROR((IF(VLOOKUP(A186,'ECN-ECO_DATA'!B:V,18,FALSE)=0/1/1900,"",VLOOKUP(A186,'ECN-ECO_DATA'!B:V,18,FALSE))),"")</f>
        <v/>
      </c>
      <c r="N186" s="9" t="str">
        <f>IFERROR((IF(VLOOKUP(A186,'ECN-ECO_DATA'!B:V,19,FALSE)=0/1/1900,"",VLOOKUP(A186,'ECN-ECO_DATA'!B:V,19,FALSE))),"")</f>
        <v/>
      </c>
      <c r="O186" s="9" t="str">
        <f>IFERROR((IF(VLOOKUP(A186,'ECN-ECO_DATA'!B:V,20,FALSE)=0/1/1900,"",VLOOKUP(A186,'ECN-ECO_DATA'!B:V,20,FALSE))),"")</f>
        <v/>
      </c>
      <c r="P186" s="9" t="str">
        <f>IFERROR((IF(VLOOKUP(A186,'ECN-ECO_DATA'!B:V,21,FALSE)=0/1/1900,"",VLOOKUP(A186,'ECN-ECO_DATA'!B:V,21,FALSE))),"")</f>
        <v/>
      </c>
      <c r="Q186" s="10" t="str">
        <f t="shared" ca="1" si="10"/>
        <v/>
      </c>
      <c r="R186" s="4" t="str">
        <f t="shared" si="11"/>
        <v/>
      </c>
      <c r="S186" s="4" t="str">
        <f t="shared" si="12"/>
        <v/>
      </c>
      <c r="T186" s="4" t="str">
        <f t="shared" si="13"/>
        <v/>
      </c>
      <c r="U186" s="10" t="str">
        <f t="shared" si="14"/>
        <v/>
      </c>
      <c r="V186" s="4"/>
    </row>
    <row r="187" spans="2:22" x14ac:dyDescent="0.25">
      <c r="B187" s="4" t="str">
        <f>IFERROR(VLOOKUP(A187,'ECN-ECO_DATA'!B:G,4,FALSE),"")</f>
        <v/>
      </c>
      <c r="C187" s="9" t="str">
        <f>IFERROR(VLOOKUP(A187,'ECN-ECO_DATA'!B:G,5,FALSE),"")</f>
        <v/>
      </c>
      <c r="D187" s="9" t="str">
        <f ca="1">IFERROR((IF(VLOOKUP(A187,'ECN-ECO_DATA'!B:G,6,FALSE)=0/1/1900,TODAY(),VLOOKUP(A187,'ECN-ECO_DATA'!B:G,6,FALSE))),"")</f>
        <v/>
      </c>
      <c r="E187" s="9" t="str">
        <f>IFERROR((IF(VLOOKUP(A187,'ECN-ECO_DATA'!B:G,6,FALSE)=0/1/1900,"",VLOOKUP(A187,'ECN-ECO_DATA'!B:G,6,FALSE))),"")</f>
        <v/>
      </c>
      <c r="F187" s="9" t="str">
        <f>IFERROR((IF(VLOOKUP(A187,'ECN-ECO_DATA'!B:J,7,FALSE)=0/1/1900,"",VLOOKUP(A187,'ECN-ECO_DATA'!B:J,7,FALSE))),"")</f>
        <v/>
      </c>
      <c r="G187" s="9" t="str">
        <f>IFERROR((IF(VLOOKUP(A187,'ECN-ECO_DATA'!B:J,8,FALSE)=0/1/1900,"",VLOOKUP(A187,'ECN-ECO_DATA'!B:J,8,FALSE))),"")</f>
        <v/>
      </c>
      <c r="H187" s="9" t="str">
        <f>IFERROR((IF(VLOOKUP(A187,'ECN-ECO_DATA'!B:J,9,FALSE)=0/1/1900,"",VLOOKUP(A187,'ECN-ECO_DATA'!B:J,9,FALSE))),"")</f>
        <v/>
      </c>
      <c r="I187" s="10" t="str">
        <f>IFERROR((IF(VLOOKUP(A187,'ECN-ECO_DATA'!B:Q,13,FALSE)="","",VLOOKUP(A187,'ECN-ECO_DATA'!B:Q,13,FALSE))),"")</f>
        <v/>
      </c>
      <c r="J187" s="10" t="str">
        <f>IFERROR((IF(VLOOKUP(A187,'ECN-ECO_DATA'!B:Q,14,FALSE)="","",VLOOKUP(A187,'ECN-ECO_DATA'!B:Q,14,FALSE))),"")</f>
        <v/>
      </c>
      <c r="K187" s="10" t="str">
        <f>IFERROR((IF(VLOOKUP(A187,'ECN-ECO_DATA'!B:Q,15,FALSE)="","",VLOOKUP(A187,'ECN-ECO_DATA'!B:Q,15,FALSE))),"")</f>
        <v/>
      </c>
      <c r="L187" s="10" t="str">
        <f>IFERROR((IF(VLOOKUP(A187,'ECN-ECO_DATA'!B:Q,16,FALSE)="","",VLOOKUP(A187,'ECN-ECO_DATA'!B:Q,16,FALSE))),"")</f>
        <v/>
      </c>
      <c r="M187" s="9" t="str">
        <f>IFERROR((IF(VLOOKUP(A187,'ECN-ECO_DATA'!B:V,18,FALSE)=0/1/1900,"",VLOOKUP(A187,'ECN-ECO_DATA'!B:V,18,FALSE))),"")</f>
        <v/>
      </c>
      <c r="N187" s="9" t="str">
        <f>IFERROR((IF(VLOOKUP(A187,'ECN-ECO_DATA'!B:V,19,FALSE)=0/1/1900,"",VLOOKUP(A187,'ECN-ECO_DATA'!B:V,19,FALSE))),"")</f>
        <v/>
      </c>
      <c r="O187" s="9" t="str">
        <f>IFERROR((IF(VLOOKUP(A187,'ECN-ECO_DATA'!B:V,20,FALSE)=0/1/1900,"",VLOOKUP(A187,'ECN-ECO_DATA'!B:V,20,FALSE))),"")</f>
        <v/>
      </c>
      <c r="P187" s="9" t="str">
        <f>IFERROR((IF(VLOOKUP(A187,'ECN-ECO_DATA'!B:V,21,FALSE)=0/1/1900,"",VLOOKUP(A187,'ECN-ECO_DATA'!B:V,21,FALSE))),"")</f>
        <v/>
      </c>
      <c r="Q187" s="10" t="str">
        <f t="shared" ca="1" si="10"/>
        <v/>
      </c>
      <c r="R187" s="4" t="str">
        <f t="shared" si="11"/>
        <v/>
      </c>
      <c r="S187" s="4" t="str">
        <f t="shared" si="12"/>
        <v/>
      </c>
      <c r="T187" s="4" t="str">
        <f t="shared" si="13"/>
        <v/>
      </c>
      <c r="U187" s="10" t="str">
        <f t="shared" si="14"/>
        <v/>
      </c>
      <c r="V187" s="4"/>
    </row>
    <row r="188" spans="2:22" x14ac:dyDescent="0.25">
      <c r="B188" s="4" t="str">
        <f>IFERROR(VLOOKUP(A188,'ECN-ECO_DATA'!B:G,4,FALSE),"")</f>
        <v/>
      </c>
      <c r="C188" s="9" t="str">
        <f>IFERROR(VLOOKUP(A188,'ECN-ECO_DATA'!B:G,5,FALSE),"")</f>
        <v/>
      </c>
      <c r="D188" s="9" t="str">
        <f ca="1">IFERROR((IF(VLOOKUP(A188,'ECN-ECO_DATA'!B:G,6,FALSE)=0/1/1900,TODAY(),VLOOKUP(A188,'ECN-ECO_DATA'!B:G,6,FALSE))),"")</f>
        <v/>
      </c>
      <c r="E188" s="9" t="str">
        <f>IFERROR((IF(VLOOKUP(A188,'ECN-ECO_DATA'!B:G,6,FALSE)=0/1/1900,"",VLOOKUP(A188,'ECN-ECO_DATA'!B:G,6,FALSE))),"")</f>
        <v/>
      </c>
      <c r="F188" s="9" t="str">
        <f>IFERROR((IF(VLOOKUP(A188,'ECN-ECO_DATA'!B:J,7,FALSE)=0/1/1900,"",VLOOKUP(A188,'ECN-ECO_DATA'!B:J,7,FALSE))),"")</f>
        <v/>
      </c>
      <c r="G188" s="9" t="str">
        <f>IFERROR((IF(VLOOKUP(A188,'ECN-ECO_DATA'!B:J,8,FALSE)=0/1/1900,"",VLOOKUP(A188,'ECN-ECO_DATA'!B:J,8,FALSE))),"")</f>
        <v/>
      </c>
      <c r="H188" s="9" t="str">
        <f>IFERROR((IF(VLOOKUP(A188,'ECN-ECO_DATA'!B:J,9,FALSE)=0/1/1900,"",VLOOKUP(A188,'ECN-ECO_DATA'!B:J,9,FALSE))),"")</f>
        <v/>
      </c>
      <c r="I188" s="10" t="str">
        <f>IFERROR((IF(VLOOKUP(A188,'ECN-ECO_DATA'!B:Q,13,FALSE)="","",VLOOKUP(A188,'ECN-ECO_DATA'!B:Q,13,FALSE))),"")</f>
        <v/>
      </c>
      <c r="J188" s="10" t="str">
        <f>IFERROR((IF(VLOOKUP(A188,'ECN-ECO_DATA'!B:Q,14,FALSE)="","",VLOOKUP(A188,'ECN-ECO_DATA'!B:Q,14,FALSE))),"")</f>
        <v/>
      </c>
      <c r="K188" s="10" t="str">
        <f>IFERROR((IF(VLOOKUP(A188,'ECN-ECO_DATA'!B:Q,15,FALSE)="","",VLOOKUP(A188,'ECN-ECO_DATA'!B:Q,15,FALSE))),"")</f>
        <v/>
      </c>
      <c r="L188" s="10" t="str">
        <f>IFERROR((IF(VLOOKUP(A188,'ECN-ECO_DATA'!B:Q,16,FALSE)="","",VLOOKUP(A188,'ECN-ECO_DATA'!B:Q,16,FALSE))),"")</f>
        <v/>
      </c>
      <c r="M188" s="9" t="str">
        <f>IFERROR((IF(VLOOKUP(A188,'ECN-ECO_DATA'!B:V,18,FALSE)=0/1/1900,"",VLOOKUP(A188,'ECN-ECO_DATA'!B:V,18,FALSE))),"")</f>
        <v/>
      </c>
      <c r="N188" s="9" t="str">
        <f>IFERROR((IF(VLOOKUP(A188,'ECN-ECO_DATA'!B:V,19,FALSE)=0/1/1900,"",VLOOKUP(A188,'ECN-ECO_DATA'!B:V,19,FALSE))),"")</f>
        <v/>
      </c>
      <c r="O188" s="9" t="str">
        <f>IFERROR((IF(VLOOKUP(A188,'ECN-ECO_DATA'!B:V,20,FALSE)=0/1/1900,"",VLOOKUP(A188,'ECN-ECO_DATA'!B:V,20,FALSE))),"")</f>
        <v/>
      </c>
      <c r="P188" s="9" t="str">
        <f>IFERROR((IF(VLOOKUP(A188,'ECN-ECO_DATA'!B:V,21,FALSE)=0/1/1900,"",VLOOKUP(A188,'ECN-ECO_DATA'!B:V,21,FALSE))),"")</f>
        <v/>
      </c>
      <c r="Q188" s="10" t="str">
        <f t="shared" ca="1" si="10"/>
        <v/>
      </c>
      <c r="R188" s="4" t="str">
        <f t="shared" si="11"/>
        <v/>
      </c>
      <c r="S188" s="4" t="str">
        <f t="shared" si="12"/>
        <v/>
      </c>
      <c r="T188" s="4" t="str">
        <f t="shared" si="13"/>
        <v/>
      </c>
      <c r="U188" s="10" t="str">
        <f t="shared" si="14"/>
        <v/>
      </c>
      <c r="V188" s="4"/>
    </row>
    <row r="189" spans="2:22" x14ac:dyDescent="0.25">
      <c r="B189" s="4" t="str">
        <f>IFERROR(VLOOKUP(A189,'ECN-ECO_DATA'!B:G,4,FALSE),"")</f>
        <v/>
      </c>
      <c r="C189" s="9" t="str">
        <f>IFERROR(VLOOKUP(A189,'ECN-ECO_DATA'!B:G,5,FALSE),"")</f>
        <v/>
      </c>
      <c r="D189" s="9" t="str">
        <f ca="1">IFERROR((IF(VLOOKUP(A189,'ECN-ECO_DATA'!B:G,6,FALSE)=0/1/1900,TODAY(),VLOOKUP(A189,'ECN-ECO_DATA'!B:G,6,FALSE))),"")</f>
        <v/>
      </c>
      <c r="E189" s="9" t="str">
        <f>IFERROR((IF(VLOOKUP(A189,'ECN-ECO_DATA'!B:G,6,FALSE)=0/1/1900,"",VLOOKUP(A189,'ECN-ECO_DATA'!B:G,6,FALSE))),"")</f>
        <v/>
      </c>
      <c r="F189" s="9" t="str">
        <f>IFERROR((IF(VLOOKUP(A189,'ECN-ECO_DATA'!B:J,7,FALSE)=0/1/1900,"",VLOOKUP(A189,'ECN-ECO_DATA'!B:J,7,FALSE))),"")</f>
        <v/>
      </c>
      <c r="G189" s="9" t="str">
        <f>IFERROR((IF(VLOOKUP(A189,'ECN-ECO_DATA'!B:J,8,FALSE)=0/1/1900,"",VLOOKUP(A189,'ECN-ECO_DATA'!B:J,8,FALSE))),"")</f>
        <v/>
      </c>
      <c r="H189" s="9" t="str">
        <f>IFERROR((IF(VLOOKUP(A189,'ECN-ECO_DATA'!B:J,9,FALSE)=0/1/1900,"",VLOOKUP(A189,'ECN-ECO_DATA'!B:J,9,FALSE))),"")</f>
        <v/>
      </c>
      <c r="I189" s="10" t="str">
        <f>IFERROR((IF(VLOOKUP(A189,'ECN-ECO_DATA'!B:Q,13,FALSE)="","",VLOOKUP(A189,'ECN-ECO_DATA'!B:Q,13,FALSE))),"")</f>
        <v/>
      </c>
      <c r="J189" s="10" t="str">
        <f>IFERROR((IF(VLOOKUP(A189,'ECN-ECO_DATA'!B:Q,14,FALSE)="","",VLOOKUP(A189,'ECN-ECO_DATA'!B:Q,14,FALSE))),"")</f>
        <v/>
      </c>
      <c r="K189" s="10" t="str">
        <f>IFERROR((IF(VLOOKUP(A189,'ECN-ECO_DATA'!B:Q,15,FALSE)="","",VLOOKUP(A189,'ECN-ECO_DATA'!B:Q,15,FALSE))),"")</f>
        <v/>
      </c>
      <c r="L189" s="10" t="str">
        <f>IFERROR((IF(VLOOKUP(A189,'ECN-ECO_DATA'!B:Q,16,FALSE)="","",VLOOKUP(A189,'ECN-ECO_DATA'!B:Q,16,FALSE))),"")</f>
        <v/>
      </c>
      <c r="M189" s="9" t="str">
        <f>IFERROR((IF(VLOOKUP(A189,'ECN-ECO_DATA'!B:V,18,FALSE)=0/1/1900,"",VLOOKUP(A189,'ECN-ECO_DATA'!B:V,18,FALSE))),"")</f>
        <v/>
      </c>
      <c r="N189" s="9" t="str">
        <f>IFERROR((IF(VLOOKUP(A189,'ECN-ECO_DATA'!B:V,19,FALSE)=0/1/1900,"",VLOOKUP(A189,'ECN-ECO_DATA'!B:V,19,FALSE))),"")</f>
        <v/>
      </c>
      <c r="O189" s="9" t="str">
        <f>IFERROR((IF(VLOOKUP(A189,'ECN-ECO_DATA'!B:V,20,FALSE)=0/1/1900,"",VLOOKUP(A189,'ECN-ECO_DATA'!B:V,20,FALSE))),"")</f>
        <v/>
      </c>
      <c r="P189" s="9" t="str">
        <f>IFERROR((IF(VLOOKUP(A189,'ECN-ECO_DATA'!B:V,21,FALSE)=0/1/1900,"",VLOOKUP(A189,'ECN-ECO_DATA'!B:V,21,FALSE))),"")</f>
        <v/>
      </c>
      <c r="Q189" s="10" t="str">
        <f t="shared" ca="1" si="10"/>
        <v/>
      </c>
      <c r="R189" s="4" t="str">
        <f t="shared" si="11"/>
        <v/>
      </c>
      <c r="S189" s="4" t="str">
        <f t="shared" si="12"/>
        <v/>
      </c>
      <c r="T189" s="4" t="str">
        <f t="shared" si="13"/>
        <v/>
      </c>
      <c r="U189" s="10" t="str">
        <f t="shared" si="14"/>
        <v/>
      </c>
      <c r="V189" s="4"/>
    </row>
    <row r="190" spans="2:22" x14ac:dyDescent="0.25">
      <c r="B190" s="4" t="str">
        <f>IFERROR(VLOOKUP(A190,'ECN-ECO_DATA'!B:G,4,FALSE),"")</f>
        <v/>
      </c>
      <c r="C190" s="9" t="str">
        <f>IFERROR(VLOOKUP(A190,'ECN-ECO_DATA'!B:G,5,FALSE),"")</f>
        <v/>
      </c>
      <c r="D190" s="9" t="str">
        <f ca="1">IFERROR((IF(VLOOKUP(A190,'ECN-ECO_DATA'!B:G,6,FALSE)=0/1/1900,TODAY(),VLOOKUP(A190,'ECN-ECO_DATA'!B:G,6,FALSE))),"")</f>
        <v/>
      </c>
      <c r="E190" s="9" t="str">
        <f>IFERROR((IF(VLOOKUP(A190,'ECN-ECO_DATA'!B:G,6,FALSE)=0/1/1900,"",VLOOKUP(A190,'ECN-ECO_DATA'!B:G,6,FALSE))),"")</f>
        <v/>
      </c>
      <c r="F190" s="9" t="str">
        <f>IFERROR((IF(VLOOKUP(A190,'ECN-ECO_DATA'!B:J,7,FALSE)=0/1/1900,"",VLOOKUP(A190,'ECN-ECO_DATA'!B:J,7,FALSE))),"")</f>
        <v/>
      </c>
      <c r="G190" s="9" t="str">
        <f>IFERROR((IF(VLOOKUP(A190,'ECN-ECO_DATA'!B:J,8,FALSE)=0/1/1900,"",VLOOKUP(A190,'ECN-ECO_DATA'!B:J,8,FALSE))),"")</f>
        <v/>
      </c>
      <c r="H190" s="9" t="str">
        <f>IFERROR((IF(VLOOKUP(A190,'ECN-ECO_DATA'!B:J,9,FALSE)=0/1/1900,"",VLOOKUP(A190,'ECN-ECO_DATA'!B:J,9,FALSE))),"")</f>
        <v/>
      </c>
      <c r="I190" s="10" t="str">
        <f>IFERROR((IF(VLOOKUP(A190,'ECN-ECO_DATA'!B:Q,13,FALSE)="","",VLOOKUP(A190,'ECN-ECO_DATA'!B:Q,13,FALSE))),"")</f>
        <v/>
      </c>
      <c r="J190" s="10" t="str">
        <f>IFERROR((IF(VLOOKUP(A190,'ECN-ECO_DATA'!B:Q,14,FALSE)="","",VLOOKUP(A190,'ECN-ECO_DATA'!B:Q,14,FALSE))),"")</f>
        <v/>
      </c>
      <c r="K190" s="10" t="str">
        <f>IFERROR((IF(VLOOKUP(A190,'ECN-ECO_DATA'!B:Q,15,FALSE)="","",VLOOKUP(A190,'ECN-ECO_DATA'!B:Q,15,FALSE))),"")</f>
        <v/>
      </c>
      <c r="L190" s="10" t="str">
        <f>IFERROR((IF(VLOOKUP(A190,'ECN-ECO_DATA'!B:Q,16,FALSE)="","",VLOOKUP(A190,'ECN-ECO_DATA'!B:Q,16,FALSE))),"")</f>
        <v/>
      </c>
      <c r="M190" s="9" t="str">
        <f>IFERROR((IF(VLOOKUP(A190,'ECN-ECO_DATA'!B:V,18,FALSE)=0/1/1900,"",VLOOKUP(A190,'ECN-ECO_DATA'!B:V,18,FALSE))),"")</f>
        <v/>
      </c>
      <c r="N190" s="9" t="str">
        <f>IFERROR((IF(VLOOKUP(A190,'ECN-ECO_DATA'!B:V,19,FALSE)=0/1/1900,"",VLOOKUP(A190,'ECN-ECO_DATA'!B:V,19,FALSE))),"")</f>
        <v/>
      </c>
      <c r="O190" s="9" t="str">
        <f>IFERROR((IF(VLOOKUP(A190,'ECN-ECO_DATA'!B:V,20,FALSE)=0/1/1900,"",VLOOKUP(A190,'ECN-ECO_DATA'!B:V,20,FALSE))),"")</f>
        <v/>
      </c>
      <c r="P190" s="9" t="str">
        <f>IFERROR((IF(VLOOKUP(A190,'ECN-ECO_DATA'!B:V,21,FALSE)=0/1/1900,"",VLOOKUP(A190,'ECN-ECO_DATA'!B:V,21,FALSE))),"")</f>
        <v/>
      </c>
      <c r="Q190" s="10" t="str">
        <f t="shared" ca="1" si="10"/>
        <v/>
      </c>
      <c r="R190" s="4" t="str">
        <f t="shared" si="11"/>
        <v/>
      </c>
      <c r="S190" s="4" t="str">
        <f t="shared" si="12"/>
        <v/>
      </c>
      <c r="T190" s="4" t="str">
        <f t="shared" si="13"/>
        <v/>
      </c>
      <c r="U190" s="10" t="str">
        <f t="shared" si="14"/>
        <v/>
      </c>
      <c r="V190" s="4"/>
    </row>
    <row r="191" spans="2:22" x14ac:dyDescent="0.25">
      <c r="B191" s="4" t="str">
        <f>IFERROR(VLOOKUP(A191,'ECN-ECO_DATA'!B:G,4,FALSE),"")</f>
        <v/>
      </c>
      <c r="C191" s="9" t="str">
        <f>IFERROR(VLOOKUP(A191,'ECN-ECO_DATA'!B:G,5,FALSE),"")</f>
        <v/>
      </c>
      <c r="D191" s="9" t="str">
        <f ca="1">IFERROR((IF(VLOOKUP(A191,'ECN-ECO_DATA'!B:G,6,FALSE)=0/1/1900,TODAY(),VLOOKUP(A191,'ECN-ECO_DATA'!B:G,6,FALSE))),"")</f>
        <v/>
      </c>
      <c r="E191" s="9" t="str">
        <f>IFERROR((IF(VLOOKUP(A191,'ECN-ECO_DATA'!B:G,6,FALSE)=0/1/1900,"",VLOOKUP(A191,'ECN-ECO_DATA'!B:G,6,FALSE))),"")</f>
        <v/>
      </c>
      <c r="F191" s="9" t="str">
        <f>IFERROR((IF(VLOOKUP(A191,'ECN-ECO_DATA'!B:J,7,FALSE)=0/1/1900,"",VLOOKUP(A191,'ECN-ECO_DATA'!B:J,7,FALSE))),"")</f>
        <v/>
      </c>
      <c r="G191" s="9" t="str">
        <f>IFERROR((IF(VLOOKUP(A191,'ECN-ECO_DATA'!B:J,8,FALSE)=0/1/1900,"",VLOOKUP(A191,'ECN-ECO_DATA'!B:J,8,FALSE))),"")</f>
        <v/>
      </c>
      <c r="H191" s="9" t="str">
        <f>IFERROR((IF(VLOOKUP(A191,'ECN-ECO_DATA'!B:J,9,FALSE)=0/1/1900,"",VLOOKUP(A191,'ECN-ECO_DATA'!B:J,9,FALSE))),"")</f>
        <v/>
      </c>
      <c r="I191" s="10" t="str">
        <f>IFERROR((IF(VLOOKUP(A191,'ECN-ECO_DATA'!B:Q,13,FALSE)="","",VLOOKUP(A191,'ECN-ECO_DATA'!B:Q,13,FALSE))),"")</f>
        <v/>
      </c>
      <c r="J191" s="10" t="str">
        <f>IFERROR((IF(VLOOKUP(A191,'ECN-ECO_DATA'!B:Q,14,FALSE)="","",VLOOKUP(A191,'ECN-ECO_DATA'!B:Q,14,FALSE))),"")</f>
        <v/>
      </c>
      <c r="K191" s="10" t="str">
        <f>IFERROR((IF(VLOOKUP(A191,'ECN-ECO_DATA'!B:Q,15,FALSE)="","",VLOOKUP(A191,'ECN-ECO_DATA'!B:Q,15,FALSE))),"")</f>
        <v/>
      </c>
      <c r="L191" s="10" t="str">
        <f>IFERROR((IF(VLOOKUP(A191,'ECN-ECO_DATA'!B:Q,16,FALSE)="","",VLOOKUP(A191,'ECN-ECO_DATA'!B:Q,16,FALSE))),"")</f>
        <v/>
      </c>
      <c r="M191" s="9" t="str">
        <f>IFERROR((IF(VLOOKUP(A191,'ECN-ECO_DATA'!B:V,18,FALSE)=0/1/1900,"",VLOOKUP(A191,'ECN-ECO_DATA'!B:V,18,FALSE))),"")</f>
        <v/>
      </c>
      <c r="N191" s="9" t="str">
        <f>IFERROR((IF(VLOOKUP(A191,'ECN-ECO_DATA'!B:V,19,FALSE)=0/1/1900,"",VLOOKUP(A191,'ECN-ECO_DATA'!B:V,19,FALSE))),"")</f>
        <v/>
      </c>
      <c r="O191" s="9" t="str">
        <f>IFERROR((IF(VLOOKUP(A191,'ECN-ECO_DATA'!B:V,20,FALSE)=0/1/1900,"",VLOOKUP(A191,'ECN-ECO_DATA'!B:V,20,FALSE))),"")</f>
        <v/>
      </c>
      <c r="P191" s="9" t="str">
        <f>IFERROR((IF(VLOOKUP(A191,'ECN-ECO_DATA'!B:V,21,FALSE)=0/1/1900,"",VLOOKUP(A191,'ECN-ECO_DATA'!B:V,21,FALSE))),"")</f>
        <v/>
      </c>
      <c r="Q191" s="10" t="str">
        <f t="shared" ca="1" si="10"/>
        <v/>
      </c>
      <c r="R191" s="4" t="str">
        <f t="shared" si="11"/>
        <v/>
      </c>
      <c r="S191" s="4" t="str">
        <f t="shared" si="12"/>
        <v/>
      </c>
      <c r="T191" s="4" t="str">
        <f t="shared" si="13"/>
        <v/>
      </c>
      <c r="U191" s="10" t="str">
        <f t="shared" si="14"/>
        <v/>
      </c>
      <c r="V191" s="4"/>
    </row>
    <row r="192" spans="2:22" x14ac:dyDescent="0.25">
      <c r="B192" s="4" t="str">
        <f>IFERROR(VLOOKUP(A192,'ECN-ECO_DATA'!B:G,4,FALSE),"")</f>
        <v/>
      </c>
      <c r="C192" s="9" t="str">
        <f>IFERROR(VLOOKUP(A192,'ECN-ECO_DATA'!B:G,5,FALSE),"")</f>
        <v/>
      </c>
      <c r="D192" s="9" t="str">
        <f ca="1">IFERROR((IF(VLOOKUP(A192,'ECN-ECO_DATA'!B:G,6,FALSE)=0/1/1900,TODAY(),VLOOKUP(A192,'ECN-ECO_DATA'!B:G,6,FALSE))),"")</f>
        <v/>
      </c>
      <c r="E192" s="9" t="str">
        <f>IFERROR((IF(VLOOKUP(A192,'ECN-ECO_DATA'!B:G,6,FALSE)=0/1/1900,"",VLOOKUP(A192,'ECN-ECO_DATA'!B:G,6,FALSE))),"")</f>
        <v/>
      </c>
      <c r="F192" s="9" t="str">
        <f>IFERROR((IF(VLOOKUP(A192,'ECN-ECO_DATA'!B:J,7,FALSE)=0/1/1900,"",VLOOKUP(A192,'ECN-ECO_DATA'!B:J,7,FALSE))),"")</f>
        <v/>
      </c>
      <c r="G192" s="9" t="str">
        <f>IFERROR((IF(VLOOKUP(A192,'ECN-ECO_DATA'!B:J,8,FALSE)=0/1/1900,"",VLOOKUP(A192,'ECN-ECO_DATA'!B:J,8,FALSE))),"")</f>
        <v/>
      </c>
      <c r="H192" s="9" t="str">
        <f>IFERROR((IF(VLOOKUP(A192,'ECN-ECO_DATA'!B:J,9,FALSE)=0/1/1900,"",VLOOKUP(A192,'ECN-ECO_DATA'!B:J,9,FALSE))),"")</f>
        <v/>
      </c>
      <c r="I192" s="10" t="str">
        <f>IFERROR((IF(VLOOKUP(A192,'ECN-ECO_DATA'!B:Q,13,FALSE)="","",VLOOKUP(A192,'ECN-ECO_DATA'!B:Q,13,FALSE))),"")</f>
        <v/>
      </c>
      <c r="J192" s="10" t="str">
        <f>IFERROR((IF(VLOOKUP(A192,'ECN-ECO_DATA'!B:Q,14,FALSE)="","",VLOOKUP(A192,'ECN-ECO_DATA'!B:Q,14,FALSE))),"")</f>
        <v/>
      </c>
      <c r="K192" s="10" t="str">
        <f>IFERROR((IF(VLOOKUP(A192,'ECN-ECO_DATA'!B:Q,15,FALSE)="","",VLOOKUP(A192,'ECN-ECO_DATA'!B:Q,15,FALSE))),"")</f>
        <v/>
      </c>
      <c r="L192" s="10" t="str">
        <f>IFERROR((IF(VLOOKUP(A192,'ECN-ECO_DATA'!B:Q,16,FALSE)="","",VLOOKUP(A192,'ECN-ECO_DATA'!B:Q,16,FALSE))),"")</f>
        <v/>
      </c>
      <c r="M192" s="9" t="str">
        <f>IFERROR((IF(VLOOKUP(A192,'ECN-ECO_DATA'!B:V,18,FALSE)=0/1/1900,"",VLOOKUP(A192,'ECN-ECO_DATA'!B:V,18,FALSE))),"")</f>
        <v/>
      </c>
      <c r="N192" s="9" t="str">
        <f>IFERROR((IF(VLOOKUP(A192,'ECN-ECO_DATA'!B:V,19,FALSE)=0/1/1900,"",VLOOKUP(A192,'ECN-ECO_DATA'!B:V,19,FALSE))),"")</f>
        <v/>
      </c>
      <c r="O192" s="9" t="str">
        <f>IFERROR((IF(VLOOKUP(A192,'ECN-ECO_DATA'!B:V,20,FALSE)=0/1/1900,"",VLOOKUP(A192,'ECN-ECO_DATA'!B:V,20,FALSE))),"")</f>
        <v/>
      </c>
      <c r="P192" s="9" t="str">
        <f>IFERROR((IF(VLOOKUP(A192,'ECN-ECO_DATA'!B:V,21,FALSE)=0/1/1900,"",VLOOKUP(A192,'ECN-ECO_DATA'!B:V,21,FALSE))),"")</f>
        <v/>
      </c>
      <c r="Q192" s="10" t="str">
        <f t="shared" ca="1" si="10"/>
        <v/>
      </c>
      <c r="R192" s="4" t="str">
        <f t="shared" si="11"/>
        <v/>
      </c>
      <c r="S192" s="4" t="str">
        <f t="shared" si="12"/>
        <v/>
      </c>
      <c r="T192" s="4" t="str">
        <f t="shared" si="13"/>
        <v/>
      </c>
      <c r="U192" s="10" t="str">
        <f t="shared" si="14"/>
        <v/>
      </c>
      <c r="V192" s="4"/>
    </row>
    <row r="193" spans="2:22" x14ac:dyDescent="0.25">
      <c r="B193" s="4" t="str">
        <f>IFERROR(VLOOKUP(A193,'ECN-ECO_DATA'!B:G,4,FALSE),"")</f>
        <v/>
      </c>
      <c r="C193" s="9" t="str">
        <f>IFERROR(VLOOKUP(A193,'ECN-ECO_DATA'!B:G,5,FALSE),"")</f>
        <v/>
      </c>
      <c r="D193" s="9" t="str">
        <f ca="1">IFERROR((IF(VLOOKUP(A193,'ECN-ECO_DATA'!B:G,6,FALSE)=0/1/1900,TODAY(),VLOOKUP(A193,'ECN-ECO_DATA'!B:G,6,FALSE))),"")</f>
        <v/>
      </c>
      <c r="E193" s="9" t="str">
        <f>IFERROR((IF(VLOOKUP(A193,'ECN-ECO_DATA'!B:G,6,FALSE)=0/1/1900,"",VLOOKUP(A193,'ECN-ECO_DATA'!B:G,6,FALSE))),"")</f>
        <v/>
      </c>
      <c r="F193" s="9" t="str">
        <f>IFERROR((IF(VLOOKUP(A193,'ECN-ECO_DATA'!B:J,7,FALSE)=0/1/1900,"",VLOOKUP(A193,'ECN-ECO_DATA'!B:J,7,FALSE))),"")</f>
        <v/>
      </c>
      <c r="G193" s="9" t="str">
        <f>IFERROR((IF(VLOOKUP(A193,'ECN-ECO_DATA'!B:J,8,FALSE)=0/1/1900,"",VLOOKUP(A193,'ECN-ECO_DATA'!B:J,8,FALSE))),"")</f>
        <v/>
      </c>
      <c r="H193" s="9" t="str">
        <f>IFERROR((IF(VLOOKUP(A193,'ECN-ECO_DATA'!B:J,9,FALSE)=0/1/1900,"",VLOOKUP(A193,'ECN-ECO_DATA'!B:J,9,FALSE))),"")</f>
        <v/>
      </c>
      <c r="I193" s="10" t="str">
        <f>IFERROR((IF(VLOOKUP(A193,'ECN-ECO_DATA'!B:Q,13,FALSE)="","",VLOOKUP(A193,'ECN-ECO_DATA'!B:Q,13,FALSE))),"")</f>
        <v/>
      </c>
      <c r="J193" s="10" t="str">
        <f>IFERROR((IF(VLOOKUP(A193,'ECN-ECO_DATA'!B:Q,14,FALSE)="","",VLOOKUP(A193,'ECN-ECO_DATA'!B:Q,14,FALSE))),"")</f>
        <v/>
      </c>
      <c r="K193" s="10" t="str">
        <f>IFERROR((IF(VLOOKUP(A193,'ECN-ECO_DATA'!B:Q,15,FALSE)="","",VLOOKUP(A193,'ECN-ECO_DATA'!B:Q,15,FALSE))),"")</f>
        <v/>
      </c>
      <c r="L193" s="10" t="str">
        <f>IFERROR((IF(VLOOKUP(A193,'ECN-ECO_DATA'!B:Q,16,FALSE)="","",VLOOKUP(A193,'ECN-ECO_DATA'!B:Q,16,FALSE))),"")</f>
        <v/>
      </c>
      <c r="M193" s="9" t="str">
        <f>IFERROR((IF(VLOOKUP(A193,'ECN-ECO_DATA'!B:V,18,FALSE)=0/1/1900,"",VLOOKUP(A193,'ECN-ECO_DATA'!B:V,18,FALSE))),"")</f>
        <v/>
      </c>
      <c r="N193" s="9" t="str">
        <f>IFERROR((IF(VLOOKUP(A193,'ECN-ECO_DATA'!B:V,19,FALSE)=0/1/1900,"",VLOOKUP(A193,'ECN-ECO_DATA'!B:V,19,FALSE))),"")</f>
        <v/>
      </c>
      <c r="O193" s="9" t="str">
        <f>IFERROR((IF(VLOOKUP(A193,'ECN-ECO_DATA'!B:V,20,FALSE)=0/1/1900,"",VLOOKUP(A193,'ECN-ECO_DATA'!B:V,20,FALSE))),"")</f>
        <v/>
      </c>
      <c r="P193" s="9" t="str">
        <f>IFERROR((IF(VLOOKUP(A193,'ECN-ECO_DATA'!B:V,21,FALSE)=0/1/1900,"",VLOOKUP(A193,'ECN-ECO_DATA'!B:V,21,FALSE))),"")</f>
        <v/>
      </c>
      <c r="Q193" s="10" t="str">
        <f t="shared" ca="1" si="10"/>
        <v/>
      </c>
      <c r="R193" s="4" t="str">
        <f t="shared" si="11"/>
        <v/>
      </c>
      <c r="S193" s="4" t="str">
        <f t="shared" si="12"/>
        <v/>
      </c>
      <c r="T193" s="4" t="str">
        <f t="shared" si="13"/>
        <v/>
      </c>
      <c r="U193" s="10" t="str">
        <f t="shared" si="14"/>
        <v/>
      </c>
      <c r="V193" s="4"/>
    </row>
    <row r="194" spans="2:22" x14ac:dyDescent="0.25">
      <c r="B194" s="4" t="str">
        <f>IFERROR(VLOOKUP(A194,'ECN-ECO_DATA'!B:G,4,FALSE),"")</f>
        <v/>
      </c>
      <c r="C194" s="9" t="str">
        <f>IFERROR(VLOOKUP(A194,'ECN-ECO_DATA'!B:G,5,FALSE),"")</f>
        <v/>
      </c>
      <c r="D194" s="9" t="str">
        <f ca="1">IFERROR((IF(VLOOKUP(A194,'ECN-ECO_DATA'!B:G,6,FALSE)=0/1/1900,TODAY(),VLOOKUP(A194,'ECN-ECO_DATA'!B:G,6,FALSE))),"")</f>
        <v/>
      </c>
      <c r="E194" s="9" t="str">
        <f>IFERROR((IF(VLOOKUP(A194,'ECN-ECO_DATA'!B:G,6,FALSE)=0/1/1900,"",VLOOKUP(A194,'ECN-ECO_DATA'!B:G,6,FALSE))),"")</f>
        <v/>
      </c>
      <c r="F194" s="9" t="str">
        <f>IFERROR((IF(VLOOKUP(A194,'ECN-ECO_DATA'!B:J,7,FALSE)=0/1/1900,"",VLOOKUP(A194,'ECN-ECO_DATA'!B:J,7,FALSE))),"")</f>
        <v/>
      </c>
      <c r="G194" s="9" t="str">
        <f>IFERROR((IF(VLOOKUP(A194,'ECN-ECO_DATA'!B:J,8,FALSE)=0/1/1900,"",VLOOKUP(A194,'ECN-ECO_DATA'!B:J,8,FALSE))),"")</f>
        <v/>
      </c>
      <c r="H194" s="9" t="str">
        <f>IFERROR((IF(VLOOKUP(A194,'ECN-ECO_DATA'!B:J,9,FALSE)=0/1/1900,"",VLOOKUP(A194,'ECN-ECO_DATA'!B:J,9,FALSE))),"")</f>
        <v/>
      </c>
      <c r="I194" s="10" t="str">
        <f>IFERROR((IF(VLOOKUP(A194,'ECN-ECO_DATA'!B:Q,13,FALSE)="","",VLOOKUP(A194,'ECN-ECO_DATA'!B:Q,13,FALSE))),"")</f>
        <v/>
      </c>
      <c r="J194" s="10" t="str">
        <f>IFERROR((IF(VLOOKUP(A194,'ECN-ECO_DATA'!B:Q,14,FALSE)="","",VLOOKUP(A194,'ECN-ECO_DATA'!B:Q,14,FALSE))),"")</f>
        <v/>
      </c>
      <c r="K194" s="10" t="str">
        <f>IFERROR((IF(VLOOKUP(A194,'ECN-ECO_DATA'!B:Q,15,FALSE)="","",VLOOKUP(A194,'ECN-ECO_DATA'!B:Q,15,FALSE))),"")</f>
        <v/>
      </c>
      <c r="L194" s="10" t="str">
        <f>IFERROR((IF(VLOOKUP(A194,'ECN-ECO_DATA'!B:Q,16,FALSE)="","",VLOOKUP(A194,'ECN-ECO_DATA'!B:Q,16,FALSE))),"")</f>
        <v/>
      </c>
      <c r="M194" s="9" t="str">
        <f>IFERROR((IF(VLOOKUP(A194,'ECN-ECO_DATA'!B:V,18,FALSE)=0/1/1900,"",VLOOKUP(A194,'ECN-ECO_DATA'!B:V,18,FALSE))),"")</f>
        <v/>
      </c>
      <c r="N194" s="9" t="str">
        <f>IFERROR((IF(VLOOKUP(A194,'ECN-ECO_DATA'!B:V,19,FALSE)=0/1/1900,"",VLOOKUP(A194,'ECN-ECO_DATA'!B:V,19,FALSE))),"")</f>
        <v/>
      </c>
      <c r="O194" s="9" t="str">
        <f>IFERROR((IF(VLOOKUP(A194,'ECN-ECO_DATA'!B:V,20,FALSE)=0/1/1900,"",VLOOKUP(A194,'ECN-ECO_DATA'!B:V,20,FALSE))),"")</f>
        <v/>
      </c>
      <c r="P194" s="9" t="str">
        <f>IFERROR((IF(VLOOKUP(A194,'ECN-ECO_DATA'!B:V,21,FALSE)=0/1/1900,"",VLOOKUP(A194,'ECN-ECO_DATA'!B:V,21,FALSE))),"")</f>
        <v/>
      </c>
      <c r="Q194" s="10" t="str">
        <f t="shared" ca="1" si="10"/>
        <v/>
      </c>
      <c r="R194" s="4" t="str">
        <f t="shared" si="11"/>
        <v/>
      </c>
      <c r="S194" s="4" t="str">
        <f t="shared" si="12"/>
        <v/>
      </c>
      <c r="T194" s="4" t="str">
        <f t="shared" si="13"/>
        <v/>
      </c>
      <c r="U194" s="10" t="str">
        <f t="shared" si="14"/>
        <v/>
      </c>
      <c r="V194" s="4"/>
    </row>
    <row r="195" spans="2:22" x14ac:dyDescent="0.25">
      <c r="B195" s="4" t="str">
        <f>IFERROR(VLOOKUP(A195,'ECN-ECO_DATA'!B:G,4,FALSE),"")</f>
        <v/>
      </c>
      <c r="C195" s="9" t="str">
        <f>IFERROR(VLOOKUP(A195,'ECN-ECO_DATA'!B:G,5,FALSE),"")</f>
        <v/>
      </c>
      <c r="D195" s="9" t="str">
        <f ca="1">IFERROR((IF(VLOOKUP(A195,'ECN-ECO_DATA'!B:G,6,FALSE)=0/1/1900,TODAY(),VLOOKUP(A195,'ECN-ECO_DATA'!B:G,6,FALSE))),"")</f>
        <v/>
      </c>
      <c r="E195" s="9" t="str">
        <f>IFERROR((IF(VLOOKUP(A195,'ECN-ECO_DATA'!B:G,6,FALSE)=0/1/1900,"",VLOOKUP(A195,'ECN-ECO_DATA'!B:G,6,FALSE))),"")</f>
        <v/>
      </c>
      <c r="F195" s="9" t="str">
        <f>IFERROR((IF(VLOOKUP(A195,'ECN-ECO_DATA'!B:J,7,FALSE)=0/1/1900,"",VLOOKUP(A195,'ECN-ECO_DATA'!B:J,7,FALSE))),"")</f>
        <v/>
      </c>
      <c r="G195" s="9" t="str">
        <f>IFERROR((IF(VLOOKUP(A195,'ECN-ECO_DATA'!B:J,8,FALSE)=0/1/1900,"",VLOOKUP(A195,'ECN-ECO_DATA'!B:J,8,FALSE))),"")</f>
        <v/>
      </c>
      <c r="H195" s="9" t="str">
        <f>IFERROR((IF(VLOOKUP(A195,'ECN-ECO_DATA'!B:J,9,FALSE)=0/1/1900,"",VLOOKUP(A195,'ECN-ECO_DATA'!B:J,9,FALSE))),"")</f>
        <v/>
      </c>
      <c r="I195" s="10" t="str">
        <f>IFERROR((IF(VLOOKUP(A195,'ECN-ECO_DATA'!B:Q,13,FALSE)="","",VLOOKUP(A195,'ECN-ECO_DATA'!B:Q,13,FALSE))),"")</f>
        <v/>
      </c>
      <c r="J195" s="10" t="str">
        <f>IFERROR((IF(VLOOKUP(A195,'ECN-ECO_DATA'!B:Q,14,FALSE)="","",VLOOKUP(A195,'ECN-ECO_DATA'!B:Q,14,FALSE))),"")</f>
        <v/>
      </c>
      <c r="K195" s="10" t="str">
        <f>IFERROR((IF(VLOOKUP(A195,'ECN-ECO_DATA'!B:Q,15,FALSE)="","",VLOOKUP(A195,'ECN-ECO_DATA'!B:Q,15,FALSE))),"")</f>
        <v/>
      </c>
      <c r="L195" s="10" t="str">
        <f>IFERROR((IF(VLOOKUP(A195,'ECN-ECO_DATA'!B:Q,16,FALSE)="","",VLOOKUP(A195,'ECN-ECO_DATA'!B:Q,16,FALSE))),"")</f>
        <v/>
      </c>
      <c r="M195" s="9" t="str">
        <f>IFERROR((IF(VLOOKUP(A195,'ECN-ECO_DATA'!B:V,18,FALSE)=0/1/1900,"",VLOOKUP(A195,'ECN-ECO_DATA'!B:V,18,FALSE))),"")</f>
        <v/>
      </c>
      <c r="N195" s="9" t="str">
        <f>IFERROR((IF(VLOOKUP(A195,'ECN-ECO_DATA'!B:V,19,FALSE)=0/1/1900,"",VLOOKUP(A195,'ECN-ECO_DATA'!B:V,19,FALSE))),"")</f>
        <v/>
      </c>
      <c r="O195" s="9" t="str">
        <f>IFERROR((IF(VLOOKUP(A195,'ECN-ECO_DATA'!B:V,20,FALSE)=0/1/1900,"",VLOOKUP(A195,'ECN-ECO_DATA'!B:V,20,FALSE))),"")</f>
        <v/>
      </c>
      <c r="P195" s="9" t="str">
        <f>IFERROR((IF(VLOOKUP(A195,'ECN-ECO_DATA'!B:V,21,FALSE)=0/1/1900,"",VLOOKUP(A195,'ECN-ECO_DATA'!B:V,21,FALSE))),"")</f>
        <v/>
      </c>
      <c r="Q195" s="10" t="str">
        <f t="shared" ref="Q195:Q258" ca="1" si="15">IFERROR(D195-C195,"")</f>
        <v/>
      </c>
      <c r="R195" s="4" t="str">
        <f t="shared" ref="R195:R258" si="16">IFERROR(H195-E195,"")</f>
        <v/>
      </c>
      <c r="S195" s="4" t="str">
        <f t="shared" ref="S195:S258" si="17">IFERROR(N195-H195,"")</f>
        <v/>
      </c>
      <c r="T195" s="4" t="str">
        <f t="shared" ref="T195:T258" si="18">IFERROR(O195-N195,"")</f>
        <v/>
      </c>
      <c r="U195" s="10" t="str">
        <f t="shared" ref="U195:U258" si="19">IF(O195="","",IF(SUM(Q195:T195)=0,"",SUM(Q195:T195)))</f>
        <v/>
      </c>
      <c r="V195" s="4"/>
    </row>
    <row r="196" spans="2:22" x14ac:dyDescent="0.25">
      <c r="B196" s="4" t="str">
        <f>IFERROR(VLOOKUP(A196,'ECN-ECO_DATA'!B:G,4,FALSE),"")</f>
        <v/>
      </c>
      <c r="C196" s="9" t="str">
        <f>IFERROR(VLOOKUP(A196,'ECN-ECO_DATA'!B:G,5,FALSE),"")</f>
        <v/>
      </c>
      <c r="D196" s="9" t="str">
        <f ca="1">IFERROR((IF(VLOOKUP(A196,'ECN-ECO_DATA'!B:G,6,FALSE)=0/1/1900,TODAY(),VLOOKUP(A196,'ECN-ECO_DATA'!B:G,6,FALSE))),"")</f>
        <v/>
      </c>
      <c r="E196" s="9" t="str">
        <f>IFERROR((IF(VLOOKUP(A196,'ECN-ECO_DATA'!B:G,6,FALSE)=0/1/1900,"",VLOOKUP(A196,'ECN-ECO_DATA'!B:G,6,FALSE))),"")</f>
        <v/>
      </c>
      <c r="F196" s="9" t="str">
        <f>IFERROR((IF(VLOOKUP(A196,'ECN-ECO_DATA'!B:J,7,FALSE)=0/1/1900,"",VLOOKUP(A196,'ECN-ECO_DATA'!B:J,7,FALSE))),"")</f>
        <v/>
      </c>
      <c r="G196" s="9" t="str">
        <f>IFERROR((IF(VLOOKUP(A196,'ECN-ECO_DATA'!B:J,8,FALSE)=0/1/1900,"",VLOOKUP(A196,'ECN-ECO_DATA'!B:J,8,FALSE))),"")</f>
        <v/>
      </c>
      <c r="H196" s="9" t="str">
        <f>IFERROR((IF(VLOOKUP(A196,'ECN-ECO_DATA'!B:J,9,FALSE)=0/1/1900,"",VLOOKUP(A196,'ECN-ECO_DATA'!B:J,9,FALSE))),"")</f>
        <v/>
      </c>
      <c r="I196" s="10" t="str">
        <f>IFERROR((IF(VLOOKUP(A196,'ECN-ECO_DATA'!B:Q,13,FALSE)="","",VLOOKUP(A196,'ECN-ECO_DATA'!B:Q,13,FALSE))),"")</f>
        <v/>
      </c>
      <c r="J196" s="10" t="str">
        <f>IFERROR((IF(VLOOKUP(A196,'ECN-ECO_DATA'!B:Q,14,FALSE)="","",VLOOKUP(A196,'ECN-ECO_DATA'!B:Q,14,FALSE))),"")</f>
        <v/>
      </c>
      <c r="K196" s="10" t="str">
        <f>IFERROR((IF(VLOOKUP(A196,'ECN-ECO_DATA'!B:Q,15,FALSE)="","",VLOOKUP(A196,'ECN-ECO_DATA'!B:Q,15,FALSE))),"")</f>
        <v/>
      </c>
      <c r="L196" s="10" t="str">
        <f>IFERROR((IF(VLOOKUP(A196,'ECN-ECO_DATA'!B:Q,16,FALSE)="","",VLOOKUP(A196,'ECN-ECO_DATA'!B:Q,16,FALSE))),"")</f>
        <v/>
      </c>
      <c r="M196" s="9" t="str">
        <f>IFERROR((IF(VLOOKUP(A196,'ECN-ECO_DATA'!B:V,18,FALSE)=0/1/1900,"",VLOOKUP(A196,'ECN-ECO_DATA'!B:V,18,FALSE))),"")</f>
        <v/>
      </c>
      <c r="N196" s="9" t="str">
        <f>IFERROR((IF(VLOOKUP(A196,'ECN-ECO_DATA'!B:V,19,FALSE)=0/1/1900,"",VLOOKUP(A196,'ECN-ECO_DATA'!B:V,19,FALSE))),"")</f>
        <v/>
      </c>
      <c r="O196" s="9" t="str">
        <f>IFERROR((IF(VLOOKUP(A196,'ECN-ECO_DATA'!B:V,20,FALSE)=0/1/1900,"",VLOOKUP(A196,'ECN-ECO_DATA'!B:V,20,FALSE))),"")</f>
        <v/>
      </c>
      <c r="P196" s="9" t="str">
        <f>IFERROR((IF(VLOOKUP(A196,'ECN-ECO_DATA'!B:V,21,FALSE)=0/1/1900,"",VLOOKUP(A196,'ECN-ECO_DATA'!B:V,21,FALSE))),"")</f>
        <v/>
      </c>
      <c r="Q196" s="10" t="str">
        <f t="shared" ca="1" si="15"/>
        <v/>
      </c>
      <c r="R196" s="4" t="str">
        <f t="shared" si="16"/>
        <v/>
      </c>
      <c r="S196" s="4" t="str">
        <f t="shared" si="17"/>
        <v/>
      </c>
      <c r="T196" s="4" t="str">
        <f t="shared" si="18"/>
        <v/>
      </c>
      <c r="U196" s="10" t="str">
        <f t="shared" si="19"/>
        <v/>
      </c>
      <c r="V196" s="4"/>
    </row>
    <row r="197" spans="2:22" x14ac:dyDescent="0.25">
      <c r="B197" s="4" t="str">
        <f>IFERROR(VLOOKUP(A197,'ECN-ECO_DATA'!B:G,4,FALSE),"")</f>
        <v/>
      </c>
      <c r="C197" s="9" t="str">
        <f>IFERROR(VLOOKUP(A197,'ECN-ECO_DATA'!B:G,5,FALSE),"")</f>
        <v/>
      </c>
      <c r="D197" s="9" t="str">
        <f ca="1">IFERROR((IF(VLOOKUP(A197,'ECN-ECO_DATA'!B:G,6,FALSE)=0/1/1900,TODAY(),VLOOKUP(A197,'ECN-ECO_DATA'!B:G,6,FALSE))),"")</f>
        <v/>
      </c>
      <c r="E197" s="9" t="str">
        <f>IFERROR((IF(VLOOKUP(A197,'ECN-ECO_DATA'!B:G,6,FALSE)=0/1/1900,"",VLOOKUP(A197,'ECN-ECO_DATA'!B:G,6,FALSE))),"")</f>
        <v/>
      </c>
      <c r="F197" s="9" t="str">
        <f>IFERROR((IF(VLOOKUP(A197,'ECN-ECO_DATA'!B:J,7,FALSE)=0/1/1900,"",VLOOKUP(A197,'ECN-ECO_DATA'!B:J,7,FALSE))),"")</f>
        <v/>
      </c>
      <c r="G197" s="9" t="str">
        <f>IFERROR((IF(VLOOKUP(A197,'ECN-ECO_DATA'!B:J,8,FALSE)=0/1/1900,"",VLOOKUP(A197,'ECN-ECO_DATA'!B:J,8,FALSE))),"")</f>
        <v/>
      </c>
      <c r="H197" s="9" t="str">
        <f>IFERROR((IF(VLOOKUP(A197,'ECN-ECO_DATA'!B:J,9,FALSE)=0/1/1900,"",VLOOKUP(A197,'ECN-ECO_DATA'!B:J,9,FALSE))),"")</f>
        <v/>
      </c>
      <c r="I197" s="10" t="str">
        <f>IFERROR((IF(VLOOKUP(A197,'ECN-ECO_DATA'!B:Q,13,FALSE)="","",VLOOKUP(A197,'ECN-ECO_DATA'!B:Q,13,FALSE))),"")</f>
        <v/>
      </c>
      <c r="J197" s="10" t="str">
        <f>IFERROR((IF(VLOOKUP(A197,'ECN-ECO_DATA'!B:Q,14,FALSE)="","",VLOOKUP(A197,'ECN-ECO_DATA'!B:Q,14,FALSE))),"")</f>
        <v/>
      </c>
      <c r="K197" s="10" t="str">
        <f>IFERROR((IF(VLOOKUP(A197,'ECN-ECO_DATA'!B:Q,15,FALSE)="","",VLOOKUP(A197,'ECN-ECO_DATA'!B:Q,15,FALSE))),"")</f>
        <v/>
      </c>
      <c r="L197" s="10" t="str">
        <f>IFERROR((IF(VLOOKUP(A197,'ECN-ECO_DATA'!B:Q,16,FALSE)="","",VLOOKUP(A197,'ECN-ECO_DATA'!B:Q,16,FALSE))),"")</f>
        <v/>
      </c>
      <c r="M197" s="9" t="str">
        <f>IFERROR((IF(VLOOKUP(A197,'ECN-ECO_DATA'!B:V,18,FALSE)=0/1/1900,"",VLOOKUP(A197,'ECN-ECO_DATA'!B:V,18,FALSE))),"")</f>
        <v/>
      </c>
      <c r="N197" s="9" t="str">
        <f>IFERROR((IF(VLOOKUP(A197,'ECN-ECO_DATA'!B:V,19,FALSE)=0/1/1900,"",VLOOKUP(A197,'ECN-ECO_DATA'!B:V,19,FALSE))),"")</f>
        <v/>
      </c>
      <c r="O197" s="9" t="str">
        <f>IFERROR((IF(VLOOKUP(A197,'ECN-ECO_DATA'!B:V,20,FALSE)=0/1/1900,"",VLOOKUP(A197,'ECN-ECO_DATA'!B:V,20,FALSE))),"")</f>
        <v/>
      </c>
      <c r="P197" s="9" t="str">
        <f>IFERROR((IF(VLOOKUP(A197,'ECN-ECO_DATA'!B:V,21,FALSE)=0/1/1900,"",VLOOKUP(A197,'ECN-ECO_DATA'!B:V,21,FALSE))),"")</f>
        <v/>
      </c>
      <c r="Q197" s="10" t="str">
        <f t="shared" ca="1" si="15"/>
        <v/>
      </c>
      <c r="R197" s="4" t="str">
        <f t="shared" si="16"/>
        <v/>
      </c>
      <c r="S197" s="4" t="str">
        <f t="shared" si="17"/>
        <v/>
      </c>
      <c r="T197" s="4" t="str">
        <f t="shared" si="18"/>
        <v/>
      </c>
      <c r="U197" s="10" t="str">
        <f t="shared" si="19"/>
        <v/>
      </c>
      <c r="V197" s="4"/>
    </row>
    <row r="198" spans="2:22" x14ac:dyDescent="0.25">
      <c r="B198" s="4" t="str">
        <f>IFERROR(VLOOKUP(A198,'ECN-ECO_DATA'!B:G,4,FALSE),"")</f>
        <v/>
      </c>
      <c r="C198" s="9" t="str">
        <f>IFERROR(VLOOKUP(A198,'ECN-ECO_DATA'!B:G,5,FALSE),"")</f>
        <v/>
      </c>
      <c r="D198" s="9" t="str">
        <f ca="1">IFERROR((IF(VLOOKUP(A198,'ECN-ECO_DATA'!B:G,6,FALSE)=0/1/1900,TODAY(),VLOOKUP(A198,'ECN-ECO_DATA'!B:G,6,FALSE))),"")</f>
        <v/>
      </c>
      <c r="E198" s="9" t="str">
        <f>IFERROR((IF(VLOOKUP(A198,'ECN-ECO_DATA'!B:G,6,FALSE)=0/1/1900,"",VLOOKUP(A198,'ECN-ECO_DATA'!B:G,6,FALSE))),"")</f>
        <v/>
      </c>
      <c r="F198" s="9" t="str">
        <f>IFERROR((IF(VLOOKUP(A198,'ECN-ECO_DATA'!B:J,7,FALSE)=0/1/1900,"",VLOOKUP(A198,'ECN-ECO_DATA'!B:J,7,FALSE))),"")</f>
        <v/>
      </c>
      <c r="G198" s="9" t="str">
        <f>IFERROR((IF(VLOOKUP(A198,'ECN-ECO_DATA'!B:J,8,FALSE)=0/1/1900,"",VLOOKUP(A198,'ECN-ECO_DATA'!B:J,8,FALSE))),"")</f>
        <v/>
      </c>
      <c r="H198" s="9" t="str">
        <f>IFERROR((IF(VLOOKUP(A198,'ECN-ECO_DATA'!B:J,9,FALSE)=0/1/1900,"",VLOOKUP(A198,'ECN-ECO_DATA'!B:J,9,FALSE))),"")</f>
        <v/>
      </c>
      <c r="I198" s="10" t="str">
        <f>IFERROR((IF(VLOOKUP(A198,'ECN-ECO_DATA'!B:Q,13,FALSE)="","",VLOOKUP(A198,'ECN-ECO_DATA'!B:Q,13,FALSE))),"")</f>
        <v/>
      </c>
      <c r="J198" s="10" t="str">
        <f>IFERROR((IF(VLOOKUP(A198,'ECN-ECO_DATA'!B:Q,14,FALSE)="","",VLOOKUP(A198,'ECN-ECO_DATA'!B:Q,14,FALSE))),"")</f>
        <v/>
      </c>
      <c r="K198" s="10" t="str">
        <f>IFERROR((IF(VLOOKUP(A198,'ECN-ECO_DATA'!B:Q,15,FALSE)="","",VLOOKUP(A198,'ECN-ECO_DATA'!B:Q,15,FALSE))),"")</f>
        <v/>
      </c>
      <c r="L198" s="10" t="str">
        <f>IFERROR((IF(VLOOKUP(A198,'ECN-ECO_DATA'!B:Q,16,FALSE)="","",VLOOKUP(A198,'ECN-ECO_DATA'!B:Q,16,FALSE))),"")</f>
        <v/>
      </c>
      <c r="M198" s="9" t="str">
        <f>IFERROR((IF(VLOOKUP(A198,'ECN-ECO_DATA'!B:V,18,FALSE)=0/1/1900,"",VLOOKUP(A198,'ECN-ECO_DATA'!B:V,18,FALSE))),"")</f>
        <v/>
      </c>
      <c r="N198" s="9" t="str">
        <f>IFERROR((IF(VLOOKUP(A198,'ECN-ECO_DATA'!B:V,19,FALSE)=0/1/1900,"",VLOOKUP(A198,'ECN-ECO_DATA'!B:V,19,FALSE))),"")</f>
        <v/>
      </c>
      <c r="O198" s="9" t="str">
        <f>IFERROR((IF(VLOOKUP(A198,'ECN-ECO_DATA'!B:V,20,FALSE)=0/1/1900,"",VLOOKUP(A198,'ECN-ECO_DATA'!B:V,20,FALSE))),"")</f>
        <v/>
      </c>
      <c r="P198" s="9" t="str">
        <f>IFERROR((IF(VLOOKUP(A198,'ECN-ECO_DATA'!B:V,21,FALSE)=0/1/1900,"",VLOOKUP(A198,'ECN-ECO_DATA'!B:V,21,FALSE))),"")</f>
        <v/>
      </c>
      <c r="Q198" s="10" t="str">
        <f t="shared" ca="1" si="15"/>
        <v/>
      </c>
      <c r="R198" s="4" t="str">
        <f t="shared" si="16"/>
        <v/>
      </c>
      <c r="S198" s="4" t="str">
        <f t="shared" si="17"/>
        <v/>
      </c>
      <c r="T198" s="4" t="str">
        <f t="shared" si="18"/>
        <v/>
      </c>
      <c r="U198" s="10" t="str">
        <f t="shared" si="19"/>
        <v/>
      </c>
      <c r="V198" s="4"/>
    </row>
    <row r="199" spans="2:22" x14ac:dyDescent="0.25">
      <c r="B199" s="4" t="str">
        <f>IFERROR(VLOOKUP(A199,'ECN-ECO_DATA'!B:G,4,FALSE),"")</f>
        <v/>
      </c>
      <c r="C199" s="9" t="str">
        <f>IFERROR(VLOOKUP(A199,'ECN-ECO_DATA'!B:G,5,FALSE),"")</f>
        <v/>
      </c>
      <c r="D199" s="9" t="str">
        <f ca="1">IFERROR((IF(VLOOKUP(A199,'ECN-ECO_DATA'!B:G,6,FALSE)=0/1/1900,TODAY(),VLOOKUP(A199,'ECN-ECO_DATA'!B:G,6,FALSE))),"")</f>
        <v/>
      </c>
      <c r="E199" s="9" t="str">
        <f>IFERROR((IF(VLOOKUP(A199,'ECN-ECO_DATA'!B:G,6,FALSE)=0/1/1900,"",VLOOKUP(A199,'ECN-ECO_DATA'!B:G,6,FALSE))),"")</f>
        <v/>
      </c>
      <c r="F199" s="9" t="str">
        <f>IFERROR((IF(VLOOKUP(A199,'ECN-ECO_DATA'!B:J,7,FALSE)=0/1/1900,"",VLOOKUP(A199,'ECN-ECO_DATA'!B:J,7,FALSE))),"")</f>
        <v/>
      </c>
      <c r="G199" s="9" t="str">
        <f>IFERROR((IF(VLOOKUP(A199,'ECN-ECO_DATA'!B:J,8,FALSE)=0/1/1900,"",VLOOKUP(A199,'ECN-ECO_DATA'!B:J,8,FALSE))),"")</f>
        <v/>
      </c>
      <c r="H199" s="9" t="str">
        <f>IFERROR((IF(VLOOKUP(A199,'ECN-ECO_DATA'!B:J,9,FALSE)=0/1/1900,"",VLOOKUP(A199,'ECN-ECO_DATA'!B:J,9,FALSE))),"")</f>
        <v/>
      </c>
      <c r="I199" s="10" t="str">
        <f>IFERROR((IF(VLOOKUP(A199,'ECN-ECO_DATA'!B:Q,13,FALSE)="","",VLOOKUP(A199,'ECN-ECO_DATA'!B:Q,13,FALSE))),"")</f>
        <v/>
      </c>
      <c r="J199" s="10" t="str">
        <f>IFERROR((IF(VLOOKUP(A199,'ECN-ECO_DATA'!B:Q,14,FALSE)="","",VLOOKUP(A199,'ECN-ECO_DATA'!B:Q,14,FALSE))),"")</f>
        <v/>
      </c>
      <c r="K199" s="10" t="str">
        <f>IFERROR((IF(VLOOKUP(A199,'ECN-ECO_DATA'!B:Q,15,FALSE)="","",VLOOKUP(A199,'ECN-ECO_DATA'!B:Q,15,FALSE))),"")</f>
        <v/>
      </c>
      <c r="L199" s="10" t="str">
        <f>IFERROR((IF(VLOOKUP(A199,'ECN-ECO_DATA'!B:Q,16,FALSE)="","",VLOOKUP(A199,'ECN-ECO_DATA'!B:Q,16,FALSE))),"")</f>
        <v/>
      </c>
      <c r="M199" s="9" t="str">
        <f>IFERROR((IF(VLOOKUP(A199,'ECN-ECO_DATA'!B:V,18,FALSE)=0/1/1900,"",VLOOKUP(A199,'ECN-ECO_DATA'!B:V,18,FALSE))),"")</f>
        <v/>
      </c>
      <c r="N199" s="9" t="str">
        <f>IFERROR((IF(VLOOKUP(A199,'ECN-ECO_DATA'!B:V,19,FALSE)=0/1/1900,"",VLOOKUP(A199,'ECN-ECO_DATA'!B:V,19,FALSE))),"")</f>
        <v/>
      </c>
      <c r="O199" s="9" t="str">
        <f>IFERROR((IF(VLOOKUP(A199,'ECN-ECO_DATA'!B:V,20,FALSE)=0/1/1900,"",VLOOKUP(A199,'ECN-ECO_DATA'!B:V,20,FALSE))),"")</f>
        <v/>
      </c>
      <c r="P199" s="9" t="str">
        <f>IFERROR((IF(VLOOKUP(A199,'ECN-ECO_DATA'!B:V,21,FALSE)=0/1/1900,"",VLOOKUP(A199,'ECN-ECO_DATA'!B:V,21,FALSE))),"")</f>
        <v/>
      </c>
      <c r="Q199" s="10" t="str">
        <f t="shared" ca="1" si="15"/>
        <v/>
      </c>
      <c r="R199" s="4" t="str">
        <f t="shared" si="16"/>
        <v/>
      </c>
      <c r="S199" s="4" t="str">
        <f t="shared" si="17"/>
        <v/>
      </c>
      <c r="T199" s="4" t="str">
        <f t="shared" si="18"/>
        <v/>
      </c>
      <c r="U199" s="10" t="str">
        <f t="shared" si="19"/>
        <v/>
      </c>
      <c r="V199" s="4"/>
    </row>
    <row r="200" spans="2:22" x14ac:dyDescent="0.25">
      <c r="B200" s="4" t="str">
        <f>IFERROR(VLOOKUP(A200,'ECN-ECO_DATA'!B:G,4,FALSE),"")</f>
        <v/>
      </c>
      <c r="C200" s="9" t="str">
        <f>IFERROR(VLOOKUP(A200,'ECN-ECO_DATA'!B:G,5,FALSE),"")</f>
        <v/>
      </c>
      <c r="D200" s="9" t="str">
        <f ca="1">IFERROR((IF(VLOOKUP(A200,'ECN-ECO_DATA'!B:G,6,FALSE)=0/1/1900,TODAY(),VLOOKUP(A200,'ECN-ECO_DATA'!B:G,6,FALSE))),"")</f>
        <v/>
      </c>
      <c r="E200" s="9" t="str">
        <f>IFERROR((IF(VLOOKUP(A200,'ECN-ECO_DATA'!B:G,6,FALSE)=0/1/1900,"",VLOOKUP(A200,'ECN-ECO_DATA'!B:G,6,FALSE))),"")</f>
        <v/>
      </c>
      <c r="F200" s="9" t="str">
        <f>IFERROR((IF(VLOOKUP(A200,'ECN-ECO_DATA'!B:J,7,FALSE)=0/1/1900,"",VLOOKUP(A200,'ECN-ECO_DATA'!B:J,7,FALSE))),"")</f>
        <v/>
      </c>
      <c r="G200" s="9" t="str">
        <f>IFERROR((IF(VLOOKUP(A200,'ECN-ECO_DATA'!B:J,8,FALSE)=0/1/1900,"",VLOOKUP(A200,'ECN-ECO_DATA'!B:J,8,FALSE))),"")</f>
        <v/>
      </c>
      <c r="H200" s="9" t="str">
        <f>IFERROR((IF(VLOOKUP(A200,'ECN-ECO_DATA'!B:J,9,FALSE)=0/1/1900,"",VLOOKUP(A200,'ECN-ECO_DATA'!B:J,9,FALSE))),"")</f>
        <v/>
      </c>
      <c r="I200" s="10" t="str">
        <f>IFERROR((IF(VLOOKUP(A200,'ECN-ECO_DATA'!B:Q,13,FALSE)="","",VLOOKUP(A200,'ECN-ECO_DATA'!B:Q,13,FALSE))),"")</f>
        <v/>
      </c>
      <c r="J200" s="10" t="str">
        <f>IFERROR((IF(VLOOKUP(A200,'ECN-ECO_DATA'!B:Q,14,FALSE)="","",VLOOKUP(A200,'ECN-ECO_DATA'!B:Q,14,FALSE))),"")</f>
        <v/>
      </c>
      <c r="K200" s="10" t="str">
        <f>IFERROR((IF(VLOOKUP(A200,'ECN-ECO_DATA'!B:Q,15,FALSE)="","",VLOOKUP(A200,'ECN-ECO_DATA'!B:Q,15,FALSE))),"")</f>
        <v/>
      </c>
      <c r="L200" s="10" t="str">
        <f>IFERROR((IF(VLOOKUP(A200,'ECN-ECO_DATA'!B:Q,16,FALSE)="","",VLOOKUP(A200,'ECN-ECO_DATA'!B:Q,16,FALSE))),"")</f>
        <v/>
      </c>
      <c r="M200" s="9" t="str">
        <f>IFERROR((IF(VLOOKUP(A200,'ECN-ECO_DATA'!B:V,18,FALSE)=0/1/1900,"",VLOOKUP(A200,'ECN-ECO_DATA'!B:V,18,FALSE))),"")</f>
        <v/>
      </c>
      <c r="N200" s="9" t="str">
        <f>IFERROR((IF(VLOOKUP(A200,'ECN-ECO_DATA'!B:V,19,FALSE)=0/1/1900,"",VLOOKUP(A200,'ECN-ECO_DATA'!B:V,19,FALSE))),"")</f>
        <v/>
      </c>
      <c r="O200" s="9" t="str">
        <f>IFERROR((IF(VLOOKUP(A200,'ECN-ECO_DATA'!B:V,20,FALSE)=0/1/1900,"",VLOOKUP(A200,'ECN-ECO_DATA'!B:V,20,FALSE))),"")</f>
        <v/>
      </c>
      <c r="P200" s="9" t="str">
        <f>IFERROR((IF(VLOOKUP(A200,'ECN-ECO_DATA'!B:V,21,FALSE)=0/1/1900,"",VLOOKUP(A200,'ECN-ECO_DATA'!B:V,21,FALSE))),"")</f>
        <v/>
      </c>
      <c r="Q200" s="10" t="str">
        <f t="shared" ca="1" si="15"/>
        <v/>
      </c>
      <c r="R200" s="4" t="str">
        <f t="shared" si="16"/>
        <v/>
      </c>
      <c r="S200" s="4" t="str">
        <f t="shared" si="17"/>
        <v/>
      </c>
      <c r="T200" s="4" t="str">
        <f t="shared" si="18"/>
        <v/>
      </c>
      <c r="U200" s="10" t="str">
        <f t="shared" si="19"/>
        <v/>
      </c>
      <c r="V200" s="4"/>
    </row>
    <row r="201" spans="2:22" x14ac:dyDescent="0.25">
      <c r="B201" s="4" t="str">
        <f>IFERROR(VLOOKUP(A201,'ECN-ECO_DATA'!B:G,4,FALSE),"")</f>
        <v/>
      </c>
      <c r="C201" s="9" t="str">
        <f>IFERROR(VLOOKUP(A201,'ECN-ECO_DATA'!B:G,5,FALSE),"")</f>
        <v/>
      </c>
      <c r="D201" s="9" t="str">
        <f ca="1">IFERROR((IF(VLOOKUP(A201,'ECN-ECO_DATA'!B:G,6,FALSE)=0/1/1900,TODAY(),VLOOKUP(A201,'ECN-ECO_DATA'!B:G,6,FALSE))),"")</f>
        <v/>
      </c>
      <c r="E201" s="9" t="str">
        <f>IFERROR((IF(VLOOKUP(A201,'ECN-ECO_DATA'!B:G,6,FALSE)=0/1/1900,"",VLOOKUP(A201,'ECN-ECO_DATA'!B:G,6,FALSE))),"")</f>
        <v/>
      </c>
      <c r="F201" s="9" t="str">
        <f>IFERROR((IF(VLOOKUP(A201,'ECN-ECO_DATA'!B:J,7,FALSE)=0/1/1900,"",VLOOKUP(A201,'ECN-ECO_DATA'!B:J,7,FALSE))),"")</f>
        <v/>
      </c>
      <c r="G201" s="9" t="str">
        <f>IFERROR((IF(VLOOKUP(A201,'ECN-ECO_DATA'!B:J,8,FALSE)=0/1/1900,"",VLOOKUP(A201,'ECN-ECO_DATA'!B:J,8,FALSE))),"")</f>
        <v/>
      </c>
      <c r="H201" s="9" t="str">
        <f>IFERROR((IF(VLOOKUP(A201,'ECN-ECO_DATA'!B:J,9,FALSE)=0/1/1900,"",VLOOKUP(A201,'ECN-ECO_DATA'!B:J,9,FALSE))),"")</f>
        <v/>
      </c>
      <c r="I201" s="10" t="str">
        <f>IFERROR((IF(VLOOKUP(A201,'ECN-ECO_DATA'!B:Q,13,FALSE)="","",VLOOKUP(A201,'ECN-ECO_DATA'!B:Q,13,FALSE))),"")</f>
        <v/>
      </c>
      <c r="J201" s="10" t="str">
        <f>IFERROR((IF(VLOOKUP(A201,'ECN-ECO_DATA'!B:Q,14,FALSE)="","",VLOOKUP(A201,'ECN-ECO_DATA'!B:Q,14,FALSE))),"")</f>
        <v/>
      </c>
      <c r="K201" s="10" t="str">
        <f>IFERROR((IF(VLOOKUP(A201,'ECN-ECO_DATA'!B:Q,15,FALSE)="","",VLOOKUP(A201,'ECN-ECO_DATA'!B:Q,15,FALSE))),"")</f>
        <v/>
      </c>
      <c r="L201" s="10" t="str">
        <f>IFERROR((IF(VLOOKUP(A201,'ECN-ECO_DATA'!B:Q,16,FALSE)="","",VLOOKUP(A201,'ECN-ECO_DATA'!B:Q,16,FALSE))),"")</f>
        <v/>
      </c>
      <c r="M201" s="9" t="str">
        <f>IFERROR((IF(VLOOKUP(A201,'ECN-ECO_DATA'!B:V,18,FALSE)=0/1/1900,"",VLOOKUP(A201,'ECN-ECO_DATA'!B:V,18,FALSE))),"")</f>
        <v/>
      </c>
      <c r="N201" s="9" t="str">
        <f>IFERROR((IF(VLOOKUP(A201,'ECN-ECO_DATA'!B:V,19,FALSE)=0/1/1900,"",VLOOKUP(A201,'ECN-ECO_DATA'!B:V,19,FALSE))),"")</f>
        <v/>
      </c>
      <c r="O201" s="9" t="str">
        <f>IFERROR((IF(VLOOKUP(A201,'ECN-ECO_DATA'!B:V,20,FALSE)=0/1/1900,"",VLOOKUP(A201,'ECN-ECO_DATA'!B:V,20,FALSE))),"")</f>
        <v/>
      </c>
      <c r="P201" s="9" t="str">
        <f>IFERROR((IF(VLOOKUP(A201,'ECN-ECO_DATA'!B:V,21,FALSE)=0/1/1900,"",VLOOKUP(A201,'ECN-ECO_DATA'!B:V,21,FALSE))),"")</f>
        <v/>
      </c>
      <c r="Q201" s="10" t="str">
        <f t="shared" ca="1" si="15"/>
        <v/>
      </c>
      <c r="R201" s="4" t="str">
        <f t="shared" si="16"/>
        <v/>
      </c>
      <c r="S201" s="4" t="str">
        <f t="shared" si="17"/>
        <v/>
      </c>
      <c r="T201" s="4" t="str">
        <f t="shared" si="18"/>
        <v/>
      </c>
      <c r="U201" s="10" t="str">
        <f t="shared" si="19"/>
        <v/>
      </c>
      <c r="V201" s="4"/>
    </row>
    <row r="202" spans="2:22" x14ac:dyDescent="0.25">
      <c r="B202" s="4" t="str">
        <f>IFERROR(VLOOKUP(A202,'ECN-ECO_DATA'!B:G,4,FALSE),"")</f>
        <v/>
      </c>
      <c r="C202" s="9" t="str">
        <f>IFERROR(VLOOKUP(A202,'ECN-ECO_DATA'!B:G,5,FALSE),"")</f>
        <v/>
      </c>
      <c r="D202" s="9" t="str">
        <f ca="1">IFERROR((IF(VLOOKUP(A202,'ECN-ECO_DATA'!B:G,6,FALSE)=0/1/1900,TODAY(),VLOOKUP(A202,'ECN-ECO_DATA'!B:G,6,FALSE))),"")</f>
        <v/>
      </c>
      <c r="E202" s="9" t="str">
        <f>IFERROR((IF(VLOOKUP(A202,'ECN-ECO_DATA'!B:G,6,FALSE)=0/1/1900,"",VLOOKUP(A202,'ECN-ECO_DATA'!B:G,6,FALSE))),"")</f>
        <v/>
      </c>
      <c r="F202" s="9" t="str">
        <f>IFERROR((IF(VLOOKUP(A202,'ECN-ECO_DATA'!B:J,7,FALSE)=0/1/1900,"",VLOOKUP(A202,'ECN-ECO_DATA'!B:J,7,FALSE))),"")</f>
        <v/>
      </c>
      <c r="G202" s="9" t="str">
        <f>IFERROR((IF(VLOOKUP(A202,'ECN-ECO_DATA'!B:J,8,FALSE)=0/1/1900,"",VLOOKUP(A202,'ECN-ECO_DATA'!B:J,8,FALSE))),"")</f>
        <v/>
      </c>
      <c r="H202" s="9" t="str">
        <f>IFERROR((IF(VLOOKUP(A202,'ECN-ECO_DATA'!B:J,9,FALSE)=0/1/1900,"",VLOOKUP(A202,'ECN-ECO_DATA'!B:J,9,FALSE))),"")</f>
        <v/>
      </c>
      <c r="I202" s="10" t="str">
        <f>IFERROR((IF(VLOOKUP(A202,'ECN-ECO_DATA'!B:Q,13,FALSE)="","",VLOOKUP(A202,'ECN-ECO_DATA'!B:Q,13,FALSE))),"")</f>
        <v/>
      </c>
      <c r="J202" s="10" t="str">
        <f>IFERROR((IF(VLOOKUP(A202,'ECN-ECO_DATA'!B:Q,14,FALSE)="","",VLOOKUP(A202,'ECN-ECO_DATA'!B:Q,14,FALSE))),"")</f>
        <v/>
      </c>
      <c r="K202" s="10" t="str">
        <f>IFERROR((IF(VLOOKUP(A202,'ECN-ECO_DATA'!B:Q,15,FALSE)="","",VLOOKUP(A202,'ECN-ECO_DATA'!B:Q,15,FALSE))),"")</f>
        <v/>
      </c>
      <c r="L202" s="10" t="str">
        <f>IFERROR((IF(VLOOKUP(A202,'ECN-ECO_DATA'!B:Q,16,FALSE)="","",VLOOKUP(A202,'ECN-ECO_DATA'!B:Q,16,FALSE))),"")</f>
        <v/>
      </c>
      <c r="M202" s="9" t="str">
        <f>IFERROR((IF(VLOOKUP(A202,'ECN-ECO_DATA'!B:V,18,FALSE)=0/1/1900,"",VLOOKUP(A202,'ECN-ECO_DATA'!B:V,18,FALSE))),"")</f>
        <v/>
      </c>
      <c r="N202" s="9" t="str">
        <f>IFERROR((IF(VLOOKUP(A202,'ECN-ECO_DATA'!B:V,19,FALSE)=0/1/1900,"",VLOOKUP(A202,'ECN-ECO_DATA'!B:V,19,FALSE))),"")</f>
        <v/>
      </c>
      <c r="O202" s="9" t="str">
        <f>IFERROR((IF(VLOOKUP(A202,'ECN-ECO_DATA'!B:V,20,FALSE)=0/1/1900,"",VLOOKUP(A202,'ECN-ECO_DATA'!B:V,20,FALSE))),"")</f>
        <v/>
      </c>
      <c r="P202" s="9" t="str">
        <f>IFERROR((IF(VLOOKUP(A202,'ECN-ECO_DATA'!B:V,21,FALSE)=0/1/1900,"",VLOOKUP(A202,'ECN-ECO_DATA'!B:V,21,FALSE))),"")</f>
        <v/>
      </c>
      <c r="Q202" s="10" t="str">
        <f t="shared" ca="1" si="15"/>
        <v/>
      </c>
      <c r="R202" s="4" t="str">
        <f t="shared" si="16"/>
        <v/>
      </c>
      <c r="S202" s="4" t="str">
        <f t="shared" si="17"/>
        <v/>
      </c>
      <c r="T202" s="4" t="str">
        <f t="shared" si="18"/>
        <v/>
      </c>
      <c r="U202" s="10" t="str">
        <f t="shared" si="19"/>
        <v/>
      </c>
      <c r="V202" s="4"/>
    </row>
    <row r="203" spans="2:22" x14ac:dyDescent="0.25">
      <c r="B203" s="4" t="str">
        <f>IFERROR(VLOOKUP(A203,'ECN-ECO_DATA'!B:G,4,FALSE),"")</f>
        <v/>
      </c>
      <c r="C203" s="9" t="str">
        <f>IFERROR(VLOOKUP(A203,'ECN-ECO_DATA'!B:G,5,FALSE),"")</f>
        <v/>
      </c>
      <c r="D203" s="9" t="str">
        <f ca="1">IFERROR((IF(VLOOKUP(A203,'ECN-ECO_DATA'!B:G,6,FALSE)=0/1/1900,TODAY(),VLOOKUP(A203,'ECN-ECO_DATA'!B:G,6,FALSE))),"")</f>
        <v/>
      </c>
      <c r="E203" s="9" t="str">
        <f>IFERROR((IF(VLOOKUP(A203,'ECN-ECO_DATA'!B:G,6,FALSE)=0/1/1900,"",VLOOKUP(A203,'ECN-ECO_DATA'!B:G,6,FALSE))),"")</f>
        <v/>
      </c>
      <c r="F203" s="9" t="str">
        <f>IFERROR((IF(VLOOKUP(A203,'ECN-ECO_DATA'!B:J,7,FALSE)=0/1/1900,"",VLOOKUP(A203,'ECN-ECO_DATA'!B:J,7,FALSE))),"")</f>
        <v/>
      </c>
      <c r="G203" s="9" t="str">
        <f>IFERROR((IF(VLOOKUP(A203,'ECN-ECO_DATA'!B:J,8,FALSE)=0/1/1900,"",VLOOKUP(A203,'ECN-ECO_DATA'!B:J,8,FALSE))),"")</f>
        <v/>
      </c>
      <c r="H203" s="9" t="str">
        <f>IFERROR((IF(VLOOKUP(A203,'ECN-ECO_DATA'!B:J,9,FALSE)=0/1/1900,"",VLOOKUP(A203,'ECN-ECO_DATA'!B:J,9,FALSE))),"")</f>
        <v/>
      </c>
      <c r="I203" s="10" t="str">
        <f>IFERROR((IF(VLOOKUP(A203,'ECN-ECO_DATA'!B:Q,13,FALSE)="","",VLOOKUP(A203,'ECN-ECO_DATA'!B:Q,13,FALSE))),"")</f>
        <v/>
      </c>
      <c r="J203" s="10" t="str">
        <f>IFERROR((IF(VLOOKUP(A203,'ECN-ECO_DATA'!B:Q,14,FALSE)="","",VLOOKUP(A203,'ECN-ECO_DATA'!B:Q,14,FALSE))),"")</f>
        <v/>
      </c>
      <c r="K203" s="10" t="str">
        <f>IFERROR((IF(VLOOKUP(A203,'ECN-ECO_DATA'!B:Q,15,FALSE)="","",VLOOKUP(A203,'ECN-ECO_DATA'!B:Q,15,FALSE))),"")</f>
        <v/>
      </c>
      <c r="L203" s="10" t="str">
        <f>IFERROR((IF(VLOOKUP(A203,'ECN-ECO_DATA'!B:Q,16,FALSE)="","",VLOOKUP(A203,'ECN-ECO_DATA'!B:Q,16,FALSE))),"")</f>
        <v/>
      </c>
      <c r="M203" s="9" t="str">
        <f>IFERROR((IF(VLOOKUP(A203,'ECN-ECO_DATA'!B:V,18,FALSE)=0/1/1900,"",VLOOKUP(A203,'ECN-ECO_DATA'!B:V,18,FALSE))),"")</f>
        <v/>
      </c>
      <c r="N203" s="9" t="str">
        <f>IFERROR((IF(VLOOKUP(A203,'ECN-ECO_DATA'!B:V,19,FALSE)=0/1/1900,"",VLOOKUP(A203,'ECN-ECO_DATA'!B:V,19,FALSE))),"")</f>
        <v/>
      </c>
      <c r="O203" s="9" t="str">
        <f>IFERROR((IF(VLOOKUP(A203,'ECN-ECO_DATA'!B:V,20,FALSE)=0/1/1900,"",VLOOKUP(A203,'ECN-ECO_DATA'!B:V,20,FALSE))),"")</f>
        <v/>
      </c>
      <c r="P203" s="9" t="str">
        <f>IFERROR((IF(VLOOKUP(A203,'ECN-ECO_DATA'!B:V,21,FALSE)=0/1/1900,"",VLOOKUP(A203,'ECN-ECO_DATA'!B:V,21,FALSE))),"")</f>
        <v/>
      </c>
      <c r="Q203" s="10" t="str">
        <f t="shared" ca="1" si="15"/>
        <v/>
      </c>
      <c r="R203" s="4" t="str">
        <f t="shared" si="16"/>
        <v/>
      </c>
      <c r="S203" s="4" t="str">
        <f t="shared" si="17"/>
        <v/>
      </c>
      <c r="T203" s="4" t="str">
        <f t="shared" si="18"/>
        <v/>
      </c>
      <c r="U203" s="10" t="str">
        <f t="shared" si="19"/>
        <v/>
      </c>
      <c r="V203" s="4"/>
    </row>
    <row r="204" spans="2:22" x14ac:dyDescent="0.25">
      <c r="B204" s="4" t="str">
        <f>IFERROR(VLOOKUP(A204,'ECN-ECO_DATA'!B:G,4,FALSE),"")</f>
        <v/>
      </c>
      <c r="C204" s="9" t="str">
        <f>IFERROR(VLOOKUP(A204,'ECN-ECO_DATA'!B:G,5,FALSE),"")</f>
        <v/>
      </c>
      <c r="D204" s="9" t="str">
        <f ca="1">IFERROR((IF(VLOOKUP(A204,'ECN-ECO_DATA'!B:G,6,FALSE)=0/1/1900,TODAY(),VLOOKUP(A204,'ECN-ECO_DATA'!B:G,6,FALSE))),"")</f>
        <v/>
      </c>
      <c r="E204" s="9" t="str">
        <f>IFERROR((IF(VLOOKUP(A204,'ECN-ECO_DATA'!B:G,6,FALSE)=0/1/1900,"",VLOOKUP(A204,'ECN-ECO_DATA'!B:G,6,FALSE))),"")</f>
        <v/>
      </c>
      <c r="F204" s="9" t="str">
        <f>IFERROR((IF(VLOOKUP(A204,'ECN-ECO_DATA'!B:J,7,FALSE)=0/1/1900,"",VLOOKUP(A204,'ECN-ECO_DATA'!B:J,7,FALSE))),"")</f>
        <v/>
      </c>
      <c r="G204" s="9" t="str">
        <f>IFERROR((IF(VLOOKUP(A204,'ECN-ECO_DATA'!B:J,8,FALSE)=0/1/1900,"",VLOOKUP(A204,'ECN-ECO_DATA'!B:J,8,FALSE))),"")</f>
        <v/>
      </c>
      <c r="H204" s="9" t="str">
        <f>IFERROR((IF(VLOOKUP(A204,'ECN-ECO_DATA'!B:J,9,FALSE)=0/1/1900,"",VLOOKUP(A204,'ECN-ECO_DATA'!B:J,9,FALSE))),"")</f>
        <v/>
      </c>
      <c r="I204" s="10" t="str">
        <f>IFERROR((IF(VLOOKUP(A204,'ECN-ECO_DATA'!B:Q,13,FALSE)="","",VLOOKUP(A204,'ECN-ECO_DATA'!B:Q,13,FALSE))),"")</f>
        <v/>
      </c>
      <c r="J204" s="10" t="str">
        <f>IFERROR((IF(VLOOKUP(A204,'ECN-ECO_DATA'!B:Q,14,FALSE)="","",VLOOKUP(A204,'ECN-ECO_DATA'!B:Q,14,FALSE))),"")</f>
        <v/>
      </c>
      <c r="K204" s="10" t="str">
        <f>IFERROR((IF(VLOOKUP(A204,'ECN-ECO_DATA'!B:Q,15,FALSE)="","",VLOOKUP(A204,'ECN-ECO_DATA'!B:Q,15,FALSE))),"")</f>
        <v/>
      </c>
      <c r="L204" s="10" t="str">
        <f>IFERROR((IF(VLOOKUP(A204,'ECN-ECO_DATA'!B:Q,16,FALSE)="","",VLOOKUP(A204,'ECN-ECO_DATA'!B:Q,16,FALSE))),"")</f>
        <v/>
      </c>
      <c r="M204" s="9" t="str">
        <f>IFERROR((IF(VLOOKUP(A204,'ECN-ECO_DATA'!B:V,18,FALSE)=0/1/1900,"",VLOOKUP(A204,'ECN-ECO_DATA'!B:V,18,FALSE))),"")</f>
        <v/>
      </c>
      <c r="N204" s="9" t="str">
        <f>IFERROR((IF(VLOOKUP(A204,'ECN-ECO_DATA'!B:V,19,FALSE)=0/1/1900,"",VLOOKUP(A204,'ECN-ECO_DATA'!B:V,19,FALSE))),"")</f>
        <v/>
      </c>
      <c r="O204" s="9" t="str">
        <f>IFERROR((IF(VLOOKUP(A204,'ECN-ECO_DATA'!B:V,20,FALSE)=0/1/1900,"",VLOOKUP(A204,'ECN-ECO_DATA'!B:V,20,FALSE))),"")</f>
        <v/>
      </c>
      <c r="P204" s="9" t="str">
        <f>IFERROR((IF(VLOOKUP(A204,'ECN-ECO_DATA'!B:V,21,FALSE)=0/1/1900,"",VLOOKUP(A204,'ECN-ECO_DATA'!B:V,21,FALSE))),"")</f>
        <v/>
      </c>
      <c r="Q204" s="10" t="str">
        <f t="shared" ca="1" si="15"/>
        <v/>
      </c>
      <c r="R204" s="4" t="str">
        <f t="shared" si="16"/>
        <v/>
      </c>
      <c r="S204" s="4" t="str">
        <f t="shared" si="17"/>
        <v/>
      </c>
      <c r="T204" s="4" t="str">
        <f t="shared" si="18"/>
        <v/>
      </c>
      <c r="U204" s="10" t="str">
        <f t="shared" si="19"/>
        <v/>
      </c>
      <c r="V204" s="4"/>
    </row>
    <row r="205" spans="2:22" x14ac:dyDescent="0.25">
      <c r="B205" s="4" t="str">
        <f>IFERROR(VLOOKUP(A205,'ECN-ECO_DATA'!B:G,4,FALSE),"")</f>
        <v/>
      </c>
      <c r="C205" s="9" t="str">
        <f>IFERROR(VLOOKUP(A205,'ECN-ECO_DATA'!B:G,5,FALSE),"")</f>
        <v/>
      </c>
      <c r="D205" s="9" t="str">
        <f ca="1">IFERROR((IF(VLOOKUP(A205,'ECN-ECO_DATA'!B:G,6,FALSE)=0/1/1900,TODAY(),VLOOKUP(A205,'ECN-ECO_DATA'!B:G,6,FALSE))),"")</f>
        <v/>
      </c>
      <c r="E205" s="9" t="str">
        <f>IFERROR((IF(VLOOKUP(A205,'ECN-ECO_DATA'!B:G,6,FALSE)=0/1/1900,"",VLOOKUP(A205,'ECN-ECO_DATA'!B:G,6,FALSE))),"")</f>
        <v/>
      </c>
      <c r="F205" s="9" t="str">
        <f>IFERROR((IF(VLOOKUP(A205,'ECN-ECO_DATA'!B:J,7,FALSE)=0/1/1900,"",VLOOKUP(A205,'ECN-ECO_DATA'!B:J,7,FALSE))),"")</f>
        <v/>
      </c>
      <c r="G205" s="9" t="str">
        <f>IFERROR((IF(VLOOKUP(A205,'ECN-ECO_DATA'!B:J,8,FALSE)=0/1/1900,"",VLOOKUP(A205,'ECN-ECO_DATA'!B:J,8,FALSE))),"")</f>
        <v/>
      </c>
      <c r="H205" s="9" t="str">
        <f>IFERROR((IF(VLOOKUP(A205,'ECN-ECO_DATA'!B:J,9,FALSE)=0/1/1900,"",VLOOKUP(A205,'ECN-ECO_DATA'!B:J,9,FALSE))),"")</f>
        <v/>
      </c>
      <c r="I205" s="10" t="str">
        <f>IFERROR((IF(VLOOKUP(A205,'ECN-ECO_DATA'!B:Q,13,FALSE)="","",VLOOKUP(A205,'ECN-ECO_DATA'!B:Q,13,FALSE))),"")</f>
        <v/>
      </c>
      <c r="J205" s="10" t="str">
        <f>IFERROR((IF(VLOOKUP(A205,'ECN-ECO_DATA'!B:Q,14,FALSE)="","",VLOOKUP(A205,'ECN-ECO_DATA'!B:Q,14,FALSE))),"")</f>
        <v/>
      </c>
      <c r="K205" s="10" t="str">
        <f>IFERROR((IF(VLOOKUP(A205,'ECN-ECO_DATA'!B:Q,15,FALSE)="","",VLOOKUP(A205,'ECN-ECO_DATA'!B:Q,15,FALSE))),"")</f>
        <v/>
      </c>
      <c r="L205" s="10" t="str">
        <f>IFERROR((IF(VLOOKUP(A205,'ECN-ECO_DATA'!B:Q,16,FALSE)="","",VLOOKUP(A205,'ECN-ECO_DATA'!B:Q,16,FALSE))),"")</f>
        <v/>
      </c>
      <c r="M205" s="9" t="str">
        <f>IFERROR((IF(VLOOKUP(A205,'ECN-ECO_DATA'!B:V,18,FALSE)=0/1/1900,"",VLOOKUP(A205,'ECN-ECO_DATA'!B:V,18,FALSE))),"")</f>
        <v/>
      </c>
      <c r="N205" s="9" t="str">
        <f>IFERROR((IF(VLOOKUP(A205,'ECN-ECO_DATA'!B:V,19,FALSE)=0/1/1900,"",VLOOKUP(A205,'ECN-ECO_DATA'!B:V,19,FALSE))),"")</f>
        <v/>
      </c>
      <c r="O205" s="9" t="str">
        <f>IFERROR((IF(VLOOKUP(A205,'ECN-ECO_DATA'!B:V,20,FALSE)=0/1/1900,"",VLOOKUP(A205,'ECN-ECO_DATA'!B:V,20,FALSE))),"")</f>
        <v/>
      </c>
      <c r="P205" s="9" t="str">
        <f>IFERROR((IF(VLOOKUP(A205,'ECN-ECO_DATA'!B:V,21,FALSE)=0/1/1900,"",VLOOKUP(A205,'ECN-ECO_DATA'!B:V,21,FALSE))),"")</f>
        <v/>
      </c>
      <c r="Q205" s="10" t="str">
        <f t="shared" ca="1" si="15"/>
        <v/>
      </c>
      <c r="R205" s="4" t="str">
        <f t="shared" si="16"/>
        <v/>
      </c>
      <c r="S205" s="4" t="str">
        <f t="shared" si="17"/>
        <v/>
      </c>
      <c r="T205" s="4" t="str">
        <f t="shared" si="18"/>
        <v/>
      </c>
      <c r="U205" s="10" t="str">
        <f t="shared" si="19"/>
        <v/>
      </c>
      <c r="V205" s="4"/>
    </row>
    <row r="206" spans="2:22" x14ac:dyDescent="0.25">
      <c r="B206" s="4" t="str">
        <f>IFERROR(VLOOKUP(A206,'ECN-ECO_DATA'!B:G,4,FALSE),"")</f>
        <v/>
      </c>
      <c r="C206" s="9" t="str">
        <f>IFERROR(VLOOKUP(A206,'ECN-ECO_DATA'!B:G,5,FALSE),"")</f>
        <v/>
      </c>
      <c r="D206" s="9" t="str">
        <f ca="1">IFERROR((IF(VLOOKUP(A206,'ECN-ECO_DATA'!B:G,6,FALSE)=0/1/1900,TODAY(),VLOOKUP(A206,'ECN-ECO_DATA'!B:G,6,FALSE))),"")</f>
        <v/>
      </c>
      <c r="E206" s="9" t="str">
        <f>IFERROR((IF(VLOOKUP(A206,'ECN-ECO_DATA'!B:G,6,FALSE)=0/1/1900,"",VLOOKUP(A206,'ECN-ECO_DATA'!B:G,6,FALSE))),"")</f>
        <v/>
      </c>
      <c r="F206" s="9" t="str">
        <f>IFERROR((IF(VLOOKUP(A206,'ECN-ECO_DATA'!B:J,7,FALSE)=0/1/1900,"",VLOOKUP(A206,'ECN-ECO_DATA'!B:J,7,FALSE))),"")</f>
        <v/>
      </c>
      <c r="G206" s="9" t="str">
        <f>IFERROR((IF(VLOOKUP(A206,'ECN-ECO_DATA'!B:J,8,FALSE)=0/1/1900,"",VLOOKUP(A206,'ECN-ECO_DATA'!B:J,8,FALSE))),"")</f>
        <v/>
      </c>
      <c r="H206" s="9" t="str">
        <f>IFERROR((IF(VLOOKUP(A206,'ECN-ECO_DATA'!B:J,9,FALSE)=0/1/1900,"",VLOOKUP(A206,'ECN-ECO_DATA'!B:J,9,FALSE))),"")</f>
        <v/>
      </c>
      <c r="I206" s="10" t="str">
        <f>IFERROR((IF(VLOOKUP(A206,'ECN-ECO_DATA'!B:Q,13,FALSE)="","",VLOOKUP(A206,'ECN-ECO_DATA'!B:Q,13,FALSE))),"")</f>
        <v/>
      </c>
      <c r="J206" s="10" t="str">
        <f>IFERROR((IF(VLOOKUP(A206,'ECN-ECO_DATA'!B:Q,14,FALSE)="","",VLOOKUP(A206,'ECN-ECO_DATA'!B:Q,14,FALSE))),"")</f>
        <v/>
      </c>
      <c r="K206" s="10" t="str">
        <f>IFERROR((IF(VLOOKUP(A206,'ECN-ECO_DATA'!B:Q,15,FALSE)="","",VLOOKUP(A206,'ECN-ECO_DATA'!B:Q,15,FALSE))),"")</f>
        <v/>
      </c>
      <c r="L206" s="10" t="str">
        <f>IFERROR((IF(VLOOKUP(A206,'ECN-ECO_DATA'!B:Q,16,FALSE)="","",VLOOKUP(A206,'ECN-ECO_DATA'!B:Q,16,FALSE))),"")</f>
        <v/>
      </c>
      <c r="M206" s="9" t="str">
        <f>IFERROR((IF(VLOOKUP(A206,'ECN-ECO_DATA'!B:V,18,FALSE)=0/1/1900,"",VLOOKUP(A206,'ECN-ECO_DATA'!B:V,18,FALSE))),"")</f>
        <v/>
      </c>
      <c r="N206" s="9" t="str">
        <f>IFERROR((IF(VLOOKUP(A206,'ECN-ECO_DATA'!B:V,19,FALSE)=0/1/1900,"",VLOOKUP(A206,'ECN-ECO_DATA'!B:V,19,FALSE))),"")</f>
        <v/>
      </c>
      <c r="O206" s="9" t="str">
        <f>IFERROR((IF(VLOOKUP(A206,'ECN-ECO_DATA'!B:V,20,FALSE)=0/1/1900,"",VLOOKUP(A206,'ECN-ECO_DATA'!B:V,20,FALSE))),"")</f>
        <v/>
      </c>
      <c r="P206" s="9" t="str">
        <f>IFERROR((IF(VLOOKUP(A206,'ECN-ECO_DATA'!B:V,21,FALSE)=0/1/1900,"",VLOOKUP(A206,'ECN-ECO_DATA'!B:V,21,FALSE))),"")</f>
        <v/>
      </c>
      <c r="Q206" s="10" t="str">
        <f t="shared" ca="1" si="15"/>
        <v/>
      </c>
      <c r="R206" s="4" t="str">
        <f t="shared" si="16"/>
        <v/>
      </c>
      <c r="S206" s="4" t="str">
        <f t="shared" si="17"/>
        <v/>
      </c>
      <c r="T206" s="4" t="str">
        <f t="shared" si="18"/>
        <v/>
      </c>
      <c r="U206" s="10" t="str">
        <f t="shared" si="19"/>
        <v/>
      </c>
      <c r="V206" s="4"/>
    </row>
    <row r="207" spans="2:22" x14ac:dyDescent="0.25">
      <c r="B207" s="4" t="str">
        <f>IFERROR(VLOOKUP(A207,'ECN-ECO_DATA'!B:G,4,FALSE),"")</f>
        <v/>
      </c>
      <c r="C207" s="9" t="str">
        <f>IFERROR(VLOOKUP(A207,'ECN-ECO_DATA'!B:G,5,FALSE),"")</f>
        <v/>
      </c>
      <c r="D207" s="9" t="str">
        <f ca="1">IFERROR((IF(VLOOKUP(A207,'ECN-ECO_DATA'!B:G,6,FALSE)=0/1/1900,TODAY(),VLOOKUP(A207,'ECN-ECO_DATA'!B:G,6,FALSE))),"")</f>
        <v/>
      </c>
      <c r="E207" s="9" t="str">
        <f>IFERROR((IF(VLOOKUP(A207,'ECN-ECO_DATA'!B:G,6,FALSE)=0/1/1900,"",VLOOKUP(A207,'ECN-ECO_DATA'!B:G,6,FALSE))),"")</f>
        <v/>
      </c>
      <c r="F207" s="9" t="str">
        <f>IFERROR((IF(VLOOKUP(A207,'ECN-ECO_DATA'!B:J,7,FALSE)=0/1/1900,"",VLOOKUP(A207,'ECN-ECO_DATA'!B:J,7,FALSE))),"")</f>
        <v/>
      </c>
      <c r="G207" s="9" t="str">
        <f>IFERROR((IF(VLOOKUP(A207,'ECN-ECO_DATA'!B:J,8,FALSE)=0/1/1900,"",VLOOKUP(A207,'ECN-ECO_DATA'!B:J,8,FALSE))),"")</f>
        <v/>
      </c>
      <c r="H207" s="9" t="str">
        <f>IFERROR((IF(VLOOKUP(A207,'ECN-ECO_DATA'!B:J,9,FALSE)=0/1/1900,"",VLOOKUP(A207,'ECN-ECO_DATA'!B:J,9,FALSE))),"")</f>
        <v/>
      </c>
      <c r="I207" s="10" t="str">
        <f>IFERROR((IF(VLOOKUP(A207,'ECN-ECO_DATA'!B:Q,13,FALSE)="","",VLOOKUP(A207,'ECN-ECO_DATA'!B:Q,13,FALSE))),"")</f>
        <v/>
      </c>
      <c r="J207" s="10" t="str">
        <f>IFERROR((IF(VLOOKUP(A207,'ECN-ECO_DATA'!B:Q,14,FALSE)="","",VLOOKUP(A207,'ECN-ECO_DATA'!B:Q,14,FALSE))),"")</f>
        <v/>
      </c>
      <c r="K207" s="10" t="str">
        <f>IFERROR((IF(VLOOKUP(A207,'ECN-ECO_DATA'!B:Q,15,FALSE)="","",VLOOKUP(A207,'ECN-ECO_DATA'!B:Q,15,FALSE))),"")</f>
        <v/>
      </c>
      <c r="L207" s="10" t="str">
        <f>IFERROR((IF(VLOOKUP(A207,'ECN-ECO_DATA'!B:Q,16,FALSE)="","",VLOOKUP(A207,'ECN-ECO_DATA'!B:Q,16,FALSE))),"")</f>
        <v/>
      </c>
      <c r="M207" s="9" t="str">
        <f>IFERROR((IF(VLOOKUP(A207,'ECN-ECO_DATA'!B:V,18,FALSE)=0/1/1900,"",VLOOKUP(A207,'ECN-ECO_DATA'!B:V,18,FALSE))),"")</f>
        <v/>
      </c>
      <c r="N207" s="9" t="str">
        <f>IFERROR((IF(VLOOKUP(A207,'ECN-ECO_DATA'!B:V,19,FALSE)=0/1/1900,"",VLOOKUP(A207,'ECN-ECO_DATA'!B:V,19,FALSE))),"")</f>
        <v/>
      </c>
      <c r="O207" s="9" t="str">
        <f>IFERROR((IF(VLOOKUP(A207,'ECN-ECO_DATA'!B:V,20,FALSE)=0/1/1900,"",VLOOKUP(A207,'ECN-ECO_DATA'!B:V,20,FALSE))),"")</f>
        <v/>
      </c>
      <c r="P207" s="9" t="str">
        <f>IFERROR((IF(VLOOKUP(A207,'ECN-ECO_DATA'!B:V,21,FALSE)=0/1/1900,"",VLOOKUP(A207,'ECN-ECO_DATA'!B:V,21,FALSE))),"")</f>
        <v/>
      </c>
      <c r="Q207" s="10" t="str">
        <f t="shared" ca="1" si="15"/>
        <v/>
      </c>
      <c r="R207" s="4" t="str">
        <f t="shared" si="16"/>
        <v/>
      </c>
      <c r="S207" s="4" t="str">
        <f t="shared" si="17"/>
        <v/>
      </c>
      <c r="T207" s="4" t="str">
        <f t="shared" si="18"/>
        <v/>
      </c>
      <c r="U207" s="10" t="str">
        <f t="shared" si="19"/>
        <v/>
      </c>
      <c r="V207" s="4"/>
    </row>
    <row r="208" spans="2:22" x14ac:dyDescent="0.25">
      <c r="B208" s="4" t="str">
        <f>IFERROR(VLOOKUP(A208,'ECN-ECO_DATA'!B:G,4,FALSE),"")</f>
        <v/>
      </c>
      <c r="C208" s="9" t="str">
        <f>IFERROR(VLOOKUP(A208,'ECN-ECO_DATA'!B:G,5,FALSE),"")</f>
        <v/>
      </c>
      <c r="D208" s="9" t="str">
        <f ca="1">IFERROR((IF(VLOOKUP(A208,'ECN-ECO_DATA'!B:G,6,FALSE)=0/1/1900,TODAY(),VLOOKUP(A208,'ECN-ECO_DATA'!B:G,6,FALSE))),"")</f>
        <v/>
      </c>
      <c r="E208" s="9" t="str">
        <f>IFERROR((IF(VLOOKUP(A208,'ECN-ECO_DATA'!B:G,6,FALSE)=0/1/1900,"",VLOOKUP(A208,'ECN-ECO_DATA'!B:G,6,FALSE))),"")</f>
        <v/>
      </c>
      <c r="F208" s="9" t="str">
        <f>IFERROR((IF(VLOOKUP(A208,'ECN-ECO_DATA'!B:J,7,FALSE)=0/1/1900,"",VLOOKUP(A208,'ECN-ECO_DATA'!B:J,7,FALSE))),"")</f>
        <v/>
      </c>
      <c r="G208" s="9" t="str">
        <f>IFERROR((IF(VLOOKUP(A208,'ECN-ECO_DATA'!B:J,8,FALSE)=0/1/1900,"",VLOOKUP(A208,'ECN-ECO_DATA'!B:J,8,FALSE))),"")</f>
        <v/>
      </c>
      <c r="H208" s="9" t="str">
        <f>IFERROR((IF(VLOOKUP(A208,'ECN-ECO_DATA'!B:J,9,FALSE)=0/1/1900,"",VLOOKUP(A208,'ECN-ECO_DATA'!B:J,9,FALSE))),"")</f>
        <v/>
      </c>
      <c r="I208" s="10" t="str">
        <f>IFERROR((IF(VLOOKUP(A208,'ECN-ECO_DATA'!B:Q,13,FALSE)="","",VLOOKUP(A208,'ECN-ECO_DATA'!B:Q,13,FALSE))),"")</f>
        <v/>
      </c>
      <c r="J208" s="10" t="str">
        <f>IFERROR((IF(VLOOKUP(A208,'ECN-ECO_DATA'!B:Q,14,FALSE)="","",VLOOKUP(A208,'ECN-ECO_DATA'!B:Q,14,FALSE))),"")</f>
        <v/>
      </c>
      <c r="K208" s="10" t="str">
        <f>IFERROR((IF(VLOOKUP(A208,'ECN-ECO_DATA'!B:Q,15,FALSE)="","",VLOOKUP(A208,'ECN-ECO_DATA'!B:Q,15,FALSE))),"")</f>
        <v/>
      </c>
      <c r="L208" s="10" t="str">
        <f>IFERROR((IF(VLOOKUP(A208,'ECN-ECO_DATA'!B:Q,16,FALSE)="","",VLOOKUP(A208,'ECN-ECO_DATA'!B:Q,16,FALSE))),"")</f>
        <v/>
      </c>
      <c r="M208" s="9" t="str">
        <f>IFERROR((IF(VLOOKUP(A208,'ECN-ECO_DATA'!B:V,18,FALSE)=0/1/1900,"",VLOOKUP(A208,'ECN-ECO_DATA'!B:V,18,FALSE))),"")</f>
        <v/>
      </c>
      <c r="N208" s="9" t="str">
        <f>IFERROR((IF(VLOOKUP(A208,'ECN-ECO_DATA'!B:V,19,FALSE)=0/1/1900,"",VLOOKUP(A208,'ECN-ECO_DATA'!B:V,19,FALSE))),"")</f>
        <v/>
      </c>
      <c r="O208" s="9" t="str">
        <f>IFERROR((IF(VLOOKUP(A208,'ECN-ECO_DATA'!B:V,20,FALSE)=0/1/1900,"",VLOOKUP(A208,'ECN-ECO_DATA'!B:V,20,FALSE))),"")</f>
        <v/>
      </c>
      <c r="P208" s="9" t="str">
        <f>IFERROR((IF(VLOOKUP(A208,'ECN-ECO_DATA'!B:V,21,FALSE)=0/1/1900,"",VLOOKUP(A208,'ECN-ECO_DATA'!B:V,21,FALSE))),"")</f>
        <v/>
      </c>
      <c r="Q208" s="10" t="str">
        <f t="shared" ca="1" si="15"/>
        <v/>
      </c>
      <c r="R208" s="4" t="str">
        <f t="shared" si="16"/>
        <v/>
      </c>
      <c r="S208" s="4" t="str">
        <f t="shared" si="17"/>
        <v/>
      </c>
      <c r="T208" s="4" t="str">
        <f t="shared" si="18"/>
        <v/>
      </c>
      <c r="U208" s="10" t="str">
        <f t="shared" si="19"/>
        <v/>
      </c>
      <c r="V208" s="4"/>
    </row>
    <row r="209" spans="2:22" x14ac:dyDescent="0.25">
      <c r="B209" s="4" t="str">
        <f>IFERROR(VLOOKUP(A209,'ECN-ECO_DATA'!B:G,4,FALSE),"")</f>
        <v/>
      </c>
      <c r="C209" s="9" t="str">
        <f>IFERROR(VLOOKUP(A209,'ECN-ECO_DATA'!B:G,5,FALSE),"")</f>
        <v/>
      </c>
      <c r="D209" s="9" t="str">
        <f ca="1">IFERROR((IF(VLOOKUP(A209,'ECN-ECO_DATA'!B:G,6,FALSE)=0/1/1900,TODAY(),VLOOKUP(A209,'ECN-ECO_DATA'!B:G,6,FALSE))),"")</f>
        <v/>
      </c>
      <c r="E209" s="9" t="str">
        <f>IFERROR((IF(VLOOKUP(A209,'ECN-ECO_DATA'!B:G,6,FALSE)=0/1/1900,"",VLOOKUP(A209,'ECN-ECO_DATA'!B:G,6,FALSE))),"")</f>
        <v/>
      </c>
      <c r="F209" s="9" t="str">
        <f>IFERROR((IF(VLOOKUP(A209,'ECN-ECO_DATA'!B:J,7,FALSE)=0/1/1900,"",VLOOKUP(A209,'ECN-ECO_DATA'!B:J,7,FALSE))),"")</f>
        <v/>
      </c>
      <c r="G209" s="9" t="str">
        <f>IFERROR((IF(VLOOKUP(A209,'ECN-ECO_DATA'!B:J,8,FALSE)=0/1/1900,"",VLOOKUP(A209,'ECN-ECO_DATA'!B:J,8,FALSE))),"")</f>
        <v/>
      </c>
      <c r="H209" s="9" t="str">
        <f>IFERROR((IF(VLOOKUP(A209,'ECN-ECO_DATA'!B:J,9,FALSE)=0/1/1900,"",VLOOKUP(A209,'ECN-ECO_DATA'!B:J,9,FALSE))),"")</f>
        <v/>
      </c>
      <c r="I209" s="10" t="str">
        <f>IFERROR((IF(VLOOKUP(A209,'ECN-ECO_DATA'!B:Q,13,FALSE)="","",VLOOKUP(A209,'ECN-ECO_DATA'!B:Q,13,FALSE))),"")</f>
        <v/>
      </c>
      <c r="J209" s="10" t="str">
        <f>IFERROR((IF(VLOOKUP(A209,'ECN-ECO_DATA'!B:Q,14,FALSE)="","",VLOOKUP(A209,'ECN-ECO_DATA'!B:Q,14,FALSE))),"")</f>
        <v/>
      </c>
      <c r="K209" s="10" t="str">
        <f>IFERROR((IF(VLOOKUP(A209,'ECN-ECO_DATA'!B:Q,15,FALSE)="","",VLOOKUP(A209,'ECN-ECO_DATA'!B:Q,15,FALSE))),"")</f>
        <v/>
      </c>
      <c r="L209" s="10" t="str">
        <f>IFERROR((IF(VLOOKUP(A209,'ECN-ECO_DATA'!B:Q,16,FALSE)="","",VLOOKUP(A209,'ECN-ECO_DATA'!B:Q,16,FALSE))),"")</f>
        <v/>
      </c>
      <c r="M209" s="9" t="str">
        <f>IFERROR((IF(VLOOKUP(A209,'ECN-ECO_DATA'!B:V,18,FALSE)=0/1/1900,"",VLOOKUP(A209,'ECN-ECO_DATA'!B:V,18,FALSE))),"")</f>
        <v/>
      </c>
      <c r="N209" s="9" t="str">
        <f>IFERROR((IF(VLOOKUP(A209,'ECN-ECO_DATA'!B:V,19,FALSE)=0/1/1900,"",VLOOKUP(A209,'ECN-ECO_DATA'!B:V,19,FALSE))),"")</f>
        <v/>
      </c>
      <c r="O209" s="9" t="str">
        <f>IFERROR((IF(VLOOKUP(A209,'ECN-ECO_DATA'!B:V,20,FALSE)=0/1/1900,"",VLOOKUP(A209,'ECN-ECO_DATA'!B:V,20,FALSE))),"")</f>
        <v/>
      </c>
      <c r="P209" s="9" t="str">
        <f>IFERROR((IF(VLOOKUP(A209,'ECN-ECO_DATA'!B:V,21,FALSE)=0/1/1900,"",VLOOKUP(A209,'ECN-ECO_DATA'!B:V,21,FALSE))),"")</f>
        <v/>
      </c>
      <c r="Q209" s="10" t="str">
        <f t="shared" ca="1" si="15"/>
        <v/>
      </c>
      <c r="R209" s="4" t="str">
        <f t="shared" si="16"/>
        <v/>
      </c>
      <c r="S209" s="4" t="str">
        <f t="shared" si="17"/>
        <v/>
      </c>
      <c r="T209" s="4" t="str">
        <f t="shared" si="18"/>
        <v/>
      </c>
      <c r="U209" s="10" t="str">
        <f t="shared" si="19"/>
        <v/>
      </c>
      <c r="V209" s="4"/>
    </row>
    <row r="210" spans="2:22" x14ac:dyDescent="0.25">
      <c r="B210" s="4" t="str">
        <f>IFERROR(VLOOKUP(A210,'ECN-ECO_DATA'!B:G,4,FALSE),"")</f>
        <v/>
      </c>
      <c r="C210" s="9" t="str">
        <f>IFERROR(VLOOKUP(A210,'ECN-ECO_DATA'!B:G,5,FALSE),"")</f>
        <v/>
      </c>
      <c r="D210" s="9" t="str">
        <f ca="1">IFERROR((IF(VLOOKUP(A210,'ECN-ECO_DATA'!B:G,6,FALSE)=0/1/1900,TODAY(),VLOOKUP(A210,'ECN-ECO_DATA'!B:G,6,FALSE))),"")</f>
        <v/>
      </c>
      <c r="E210" s="9" t="str">
        <f>IFERROR((IF(VLOOKUP(A210,'ECN-ECO_DATA'!B:G,6,FALSE)=0/1/1900,"",VLOOKUP(A210,'ECN-ECO_DATA'!B:G,6,FALSE))),"")</f>
        <v/>
      </c>
      <c r="F210" s="9" t="str">
        <f>IFERROR((IF(VLOOKUP(A210,'ECN-ECO_DATA'!B:J,7,FALSE)=0/1/1900,"",VLOOKUP(A210,'ECN-ECO_DATA'!B:J,7,FALSE))),"")</f>
        <v/>
      </c>
      <c r="G210" s="9" t="str">
        <f>IFERROR((IF(VLOOKUP(A210,'ECN-ECO_DATA'!B:J,8,FALSE)=0/1/1900,"",VLOOKUP(A210,'ECN-ECO_DATA'!B:J,8,FALSE))),"")</f>
        <v/>
      </c>
      <c r="H210" s="9" t="str">
        <f>IFERROR((IF(VLOOKUP(A210,'ECN-ECO_DATA'!B:J,9,FALSE)=0/1/1900,"",VLOOKUP(A210,'ECN-ECO_DATA'!B:J,9,FALSE))),"")</f>
        <v/>
      </c>
      <c r="I210" s="10" t="str">
        <f>IFERROR((IF(VLOOKUP(A210,'ECN-ECO_DATA'!B:Q,13,FALSE)="","",VLOOKUP(A210,'ECN-ECO_DATA'!B:Q,13,FALSE))),"")</f>
        <v/>
      </c>
      <c r="J210" s="10" t="str">
        <f>IFERROR((IF(VLOOKUP(A210,'ECN-ECO_DATA'!B:Q,14,FALSE)="","",VLOOKUP(A210,'ECN-ECO_DATA'!B:Q,14,FALSE))),"")</f>
        <v/>
      </c>
      <c r="K210" s="10" t="str">
        <f>IFERROR((IF(VLOOKUP(A210,'ECN-ECO_DATA'!B:Q,15,FALSE)="","",VLOOKUP(A210,'ECN-ECO_DATA'!B:Q,15,FALSE))),"")</f>
        <v/>
      </c>
      <c r="L210" s="10" t="str">
        <f>IFERROR((IF(VLOOKUP(A210,'ECN-ECO_DATA'!B:Q,16,FALSE)="","",VLOOKUP(A210,'ECN-ECO_DATA'!B:Q,16,FALSE))),"")</f>
        <v/>
      </c>
      <c r="M210" s="9" t="str">
        <f>IFERROR((IF(VLOOKUP(A210,'ECN-ECO_DATA'!B:V,18,FALSE)=0/1/1900,"",VLOOKUP(A210,'ECN-ECO_DATA'!B:V,18,FALSE))),"")</f>
        <v/>
      </c>
      <c r="N210" s="9" t="str">
        <f>IFERROR((IF(VLOOKUP(A210,'ECN-ECO_DATA'!B:V,19,FALSE)=0/1/1900,"",VLOOKUP(A210,'ECN-ECO_DATA'!B:V,19,FALSE))),"")</f>
        <v/>
      </c>
      <c r="O210" s="9" t="str">
        <f>IFERROR((IF(VLOOKUP(A210,'ECN-ECO_DATA'!B:V,20,FALSE)=0/1/1900,"",VLOOKUP(A210,'ECN-ECO_DATA'!B:V,20,FALSE))),"")</f>
        <v/>
      </c>
      <c r="P210" s="9" t="str">
        <f>IFERROR((IF(VLOOKUP(A210,'ECN-ECO_DATA'!B:V,21,FALSE)=0/1/1900,"",VLOOKUP(A210,'ECN-ECO_DATA'!B:V,21,FALSE))),"")</f>
        <v/>
      </c>
      <c r="Q210" s="10" t="str">
        <f t="shared" ca="1" si="15"/>
        <v/>
      </c>
      <c r="R210" s="4" t="str">
        <f t="shared" si="16"/>
        <v/>
      </c>
      <c r="S210" s="4" t="str">
        <f t="shared" si="17"/>
        <v/>
      </c>
      <c r="T210" s="4" t="str">
        <f t="shared" si="18"/>
        <v/>
      </c>
      <c r="U210" s="10" t="str">
        <f t="shared" si="19"/>
        <v/>
      </c>
      <c r="V210" s="4"/>
    </row>
    <row r="211" spans="2:22" x14ac:dyDescent="0.25">
      <c r="B211" s="4" t="str">
        <f>IFERROR(VLOOKUP(A211,'ECN-ECO_DATA'!B:G,4,FALSE),"")</f>
        <v/>
      </c>
      <c r="C211" s="9" t="str">
        <f>IFERROR(VLOOKUP(A211,'ECN-ECO_DATA'!B:G,5,FALSE),"")</f>
        <v/>
      </c>
      <c r="D211" s="9" t="str">
        <f ca="1">IFERROR((IF(VLOOKUP(A211,'ECN-ECO_DATA'!B:G,6,FALSE)=0/1/1900,TODAY(),VLOOKUP(A211,'ECN-ECO_DATA'!B:G,6,FALSE))),"")</f>
        <v/>
      </c>
      <c r="E211" s="9" t="str">
        <f>IFERROR((IF(VLOOKUP(A211,'ECN-ECO_DATA'!B:G,6,FALSE)=0/1/1900,"",VLOOKUP(A211,'ECN-ECO_DATA'!B:G,6,FALSE))),"")</f>
        <v/>
      </c>
      <c r="F211" s="9" t="str">
        <f>IFERROR((IF(VLOOKUP(A211,'ECN-ECO_DATA'!B:J,7,FALSE)=0/1/1900,"",VLOOKUP(A211,'ECN-ECO_DATA'!B:J,7,FALSE))),"")</f>
        <v/>
      </c>
      <c r="G211" s="9" t="str">
        <f>IFERROR((IF(VLOOKUP(A211,'ECN-ECO_DATA'!B:J,8,FALSE)=0/1/1900,"",VLOOKUP(A211,'ECN-ECO_DATA'!B:J,8,FALSE))),"")</f>
        <v/>
      </c>
      <c r="H211" s="9" t="str">
        <f>IFERROR((IF(VLOOKUP(A211,'ECN-ECO_DATA'!B:J,9,FALSE)=0/1/1900,"",VLOOKUP(A211,'ECN-ECO_DATA'!B:J,9,FALSE))),"")</f>
        <v/>
      </c>
      <c r="I211" s="10" t="str">
        <f>IFERROR((IF(VLOOKUP(A211,'ECN-ECO_DATA'!B:Q,13,FALSE)="","",VLOOKUP(A211,'ECN-ECO_DATA'!B:Q,13,FALSE))),"")</f>
        <v/>
      </c>
      <c r="J211" s="10" t="str">
        <f>IFERROR((IF(VLOOKUP(A211,'ECN-ECO_DATA'!B:Q,14,FALSE)="","",VLOOKUP(A211,'ECN-ECO_DATA'!B:Q,14,FALSE))),"")</f>
        <v/>
      </c>
      <c r="K211" s="10" t="str">
        <f>IFERROR((IF(VLOOKUP(A211,'ECN-ECO_DATA'!B:Q,15,FALSE)="","",VLOOKUP(A211,'ECN-ECO_DATA'!B:Q,15,FALSE))),"")</f>
        <v/>
      </c>
      <c r="L211" s="10" t="str">
        <f>IFERROR((IF(VLOOKUP(A211,'ECN-ECO_DATA'!B:Q,16,FALSE)="","",VLOOKUP(A211,'ECN-ECO_DATA'!B:Q,16,FALSE))),"")</f>
        <v/>
      </c>
      <c r="M211" s="9" t="str">
        <f>IFERROR((IF(VLOOKUP(A211,'ECN-ECO_DATA'!B:V,18,FALSE)=0/1/1900,"",VLOOKUP(A211,'ECN-ECO_DATA'!B:V,18,FALSE))),"")</f>
        <v/>
      </c>
      <c r="N211" s="9" t="str">
        <f>IFERROR((IF(VLOOKUP(A211,'ECN-ECO_DATA'!B:V,19,FALSE)=0/1/1900,"",VLOOKUP(A211,'ECN-ECO_DATA'!B:V,19,FALSE))),"")</f>
        <v/>
      </c>
      <c r="O211" s="9" t="str">
        <f>IFERROR((IF(VLOOKUP(A211,'ECN-ECO_DATA'!B:V,20,FALSE)=0/1/1900,"",VLOOKUP(A211,'ECN-ECO_DATA'!B:V,20,FALSE))),"")</f>
        <v/>
      </c>
      <c r="P211" s="9" t="str">
        <f>IFERROR((IF(VLOOKUP(A211,'ECN-ECO_DATA'!B:V,21,FALSE)=0/1/1900,"",VLOOKUP(A211,'ECN-ECO_DATA'!B:V,21,FALSE))),"")</f>
        <v/>
      </c>
      <c r="Q211" s="10" t="str">
        <f t="shared" ca="1" si="15"/>
        <v/>
      </c>
      <c r="R211" s="4" t="str">
        <f t="shared" si="16"/>
        <v/>
      </c>
      <c r="S211" s="4" t="str">
        <f t="shared" si="17"/>
        <v/>
      </c>
      <c r="T211" s="4" t="str">
        <f t="shared" si="18"/>
        <v/>
      </c>
      <c r="U211" s="10" t="str">
        <f t="shared" si="19"/>
        <v/>
      </c>
      <c r="V211" s="4"/>
    </row>
    <row r="212" spans="2:22" x14ac:dyDescent="0.25">
      <c r="B212" s="4" t="str">
        <f>IFERROR(VLOOKUP(A212,'ECN-ECO_DATA'!B:G,4,FALSE),"")</f>
        <v/>
      </c>
      <c r="C212" s="9" t="str">
        <f>IFERROR(VLOOKUP(A212,'ECN-ECO_DATA'!B:G,5,FALSE),"")</f>
        <v/>
      </c>
      <c r="D212" s="9" t="str">
        <f ca="1">IFERROR((IF(VLOOKUP(A212,'ECN-ECO_DATA'!B:G,6,FALSE)=0/1/1900,TODAY(),VLOOKUP(A212,'ECN-ECO_DATA'!B:G,6,FALSE))),"")</f>
        <v/>
      </c>
      <c r="E212" s="9" t="str">
        <f>IFERROR((IF(VLOOKUP(A212,'ECN-ECO_DATA'!B:G,6,FALSE)=0/1/1900,"",VLOOKUP(A212,'ECN-ECO_DATA'!B:G,6,FALSE))),"")</f>
        <v/>
      </c>
      <c r="F212" s="9" t="str">
        <f>IFERROR((IF(VLOOKUP(A212,'ECN-ECO_DATA'!B:J,7,FALSE)=0/1/1900,"",VLOOKUP(A212,'ECN-ECO_DATA'!B:J,7,FALSE))),"")</f>
        <v/>
      </c>
      <c r="G212" s="9" t="str">
        <f>IFERROR((IF(VLOOKUP(A212,'ECN-ECO_DATA'!B:J,8,FALSE)=0/1/1900,"",VLOOKUP(A212,'ECN-ECO_DATA'!B:J,8,FALSE))),"")</f>
        <v/>
      </c>
      <c r="H212" s="9" t="str">
        <f>IFERROR((IF(VLOOKUP(A212,'ECN-ECO_DATA'!B:J,9,FALSE)=0/1/1900,"",VLOOKUP(A212,'ECN-ECO_DATA'!B:J,9,FALSE))),"")</f>
        <v/>
      </c>
      <c r="I212" s="10" t="str">
        <f>IFERROR((IF(VLOOKUP(A212,'ECN-ECO_DATA'!B:Q,13,FALSE)="","",VLOOKUP(A212,'ECN-ECO_DATA'!B:Q,13,FALSE))),"")</f>
        <v/>
      </c>
      <c r="J212" s="10" t="str">
        <f>IFERROR((IF(VLOOKUP(A212,'ECN-ECO_DATA'!B:Q,14,FALSE)="","",VLOOKUP(A212,'ECN-ECO_DATA'!B:Q,14,FALSE))),"")</f>
        <v/>
      </c>
      <c r="K212" s="10" t="str">
        <f>IFERROR((IF(VLOOKUP(A212,'ECN-ECO_DATA'!B:Q,15,FALSE)="","",VLOOKUP(A212,'ECN-ECO_DATA'!B:Q,15,FALSE))),"")</f>
        <v/>
      </c>
      <c r="L212" s="10" t="str">
        <f>IFERROR((IF(VLOOKUP(A212,'ECN-ECO_DATA'!B:Q,16,FALSE)="","",VLOOKUP(A212,'ECN-ECO_DATA'!B:Q,16,FALSE))),"")</f>
        <v/>
      </c>
      <c r="M212" s="9" t="str">
        <f>IFERROR((IF(VLOOKUP(A212,'ECN-ECO_DATA'!B:V,18,FALSE)=0/1/1900,"",VLOOKUP(A212,'ECN-ECO_DATA'!B:V,18,FALSE))),"")</f>
        <v/>
      </c>
      <c r="N212" s="9" t="str">
        <f>IFERROR((IF(VLOOKUP(A212,'ECN-ECO_DATA'!B:V,19,FALSE)=0/1/1900,"",VLOOKUP(A212,'ECN-ECO_DATA'!B:V,19,FALSE))),"")</f>
        <v/>
      </c>
      <c r="O212" s="9" t="str">
        <f>IFERROR((IF(VLOOKUP(A212,'ECN-ECO_DATA'!B:V,20,FALSE)=0/1/1900,"",VLOOKUP(A212,'ECN-ECO_DATA'!B:V,20,FALSE))),"")</f>
        <v/>
      </c>
      <c r="P212" s="9" t="str">
        <f>IFERROR((IF(VLOOKUP(A212,'ECN-ECO_DATA'!B:V,21,FALSE)=0/1/1900,"",VLOOKUP(A212,'ECN-ECO_DATA'!B:V,21,FALSE))),"")</f>
        <v/>
      </c>
      <c r="Q212" s="10" t="str">
        <f t="shared" ca="1" si="15"/>
        <v/>
      </c>
      <c r="R212" s="4" t="str">
        <f t="shared" si="16"/>
        <v/>
      </c>
      <c r="S212" s="4" t="str">
        <f t="shared" si="17"/>
        <v/>
      </c>
      <c r="T212" s="4" t="str">
        <f t="shared" si="18"/>
        <v/>
      </c>
      <c r="U212" s="10" t="str">
        <f t="shared" si="19"/>
        <v/>
      </c>
      <c r="V212" s="4"/>
    </row>
    <row r="213" spans="2:22" x14ac:dyDescent="0.25">
      <c r="B213" s="4" t="str">
        <f>IFERROR(VLOOKUP(A213,'ECN-ECO_DATA'!B:G,4,FALSE),"")</f>
        <v/>
      </c>
      <c r="C213" s="9" t="str">
        <f>IFERROR(VLOOKUP(A213,'ECN-ECO_DATA'!B:G,5,FALSE),"")</f>
        <v/>
      </c>
      <c r="D213" s="9" t="str">
        <f ca="1">IFERROR((IF(VLOOKUP(A213,'ECN-ECO_DATA'!B:G,6,FALSE)=0/1/1900,TODAY(),VLOOKUP(A213,'ECN-ECO_DATA'!B:G,6,FALSE))),"")</f>
        <v/>
      </c>
      <c r="E213" s="9" t="str">
        <f>IFERROR((IF(VLOOKUP(A213,'ECN-ECO_DATA'!B:G,6,FALSE)=0/1/1900,"",VLOOKUP(A213,'ECN-ECO_DATA'!B:G,6,FALSE))),"")</f>
        <v/>
      </c>
      <c r="F213" s="9" t="str">
        <f>IFERROR((IF(VLOOKUP(A213,'ECN-ECO_DATA'!B:J,7,FALSE)=0/1/1900,"",VLOOKUP(A213,'ECN-ECO_DATA'!B:J,7,FALSE))),"")</f>
        <v/>
      </c>
      <c r="G213" s="9" t="str">
        <f>IFERROR((IF(VLOOKUP(A213,'ECN-ECO_DATA'!B:J,8,FALSE)=0/1/1900,"",VLOOKUP(A213,'ECN-ECO_DATA'!B:J,8,FALSE))),"")</f>
        <v/>
      </c>
      <c r="H213" s="9" t="str">
        <f>IFERROR((IF(VLOOKUP(A213,'ECN-ECO_DATA'!B:J,9,FALSE)=0/1/1900,"",VLOOKUP(A213,'ECN-ECO_DATA'!B:J,9,FALSE))),"")</f>
        <v/>
      </c>
      <c r="I213" s="10" t="str">
        <f>IFERROR((IF(VLOOKUP(A213,'ECN-ECO_DATA'!B:Q,13,FALSE)="","",VLOOKUP(A213,'ECN-ECO_DATA'!B:Q,13,FALSE))),"")</f>
        <v/>
      </c>
      <c r="J213" s="10" t="str">
        <f>IFERROR((IF(VLOOKUP(A213,'ECN-ECO_DATA'!B:Q,14,FALSE)="","",VLOOKUP(A213,'ECN-ECO_DATA'!B:Q,14,FALSE))),"")</f>
        <v/>
      </c>
      <c r="K213" s="10" t="str">
        <f>IFERROR((IF(VLOOKUP(A213,'ECN-ECO_DATA'!B:Q,15,FALSE)="","",VLOOKUP(A213,'ECN-ECO_DATA'!B:Q,15,FALSE))),"")</f>
        <v/>
      </c>
      <c r="L213" s="10" t="str">
        <f>IFERROR((IF(VLOOKUP(A213,'ECN-ECO_DATA'!B:Q,16,FALSE)="","",VLOOKUP(A213,'ECN-ECO_DATA'!B:Q,16,FALSE))),"")</f>
        <v/>
      </c>
      <c r="M213" s="9" t="str">
        <f>IFERROR((IF(VLOOKUP(A213,'ECN-ECO_DATA'!B:V,18,FALSE)=0/1/1900,"",VLOOKUP(A213,'ECN-ECO_DATA'!B:V,18,FALSE))),"")</f>
        <v/>
      </c>
      <c r="N213" s="9" t="str">
        <f>IFERROR((IF(VLOOKUP(A213,'ECN-ECO_DATA'!B:V,19,FALSE)=0/1/1900,"",VLOOKUP(A213,'ECN-ECO_DATA'!B:V,19,FALSE))),"")</f>
        <v/>
      </c>
      <c r="O213" s="9" t="str">
        <f>IFERROR((IF(VLOOKUP(A213,'ECN-ECO_DATA'!B:V,20,FALSE)=0/1/1900,"",VLOOKUP(A213,'ECN-ECO_DATA'!B:V,20,FALSE))),"")</f>
        <v/>
      </c>
      <c r="P213" s="9" t="str">
        <f>IFERROR((IF(VLOOKUP(A213,'ECN-ECO_DATA'!B:V,21,FALSE)=0/1/1900,"",VLOOKUP(A213,'ECN-ECO_DATA'!B:V,21,FALSE))),"")</f>
        <v/>
      </c>
      <c r="Q213" s="10" t="str">
        <f t="shared" ca="1" si="15"/>
        <v/>
      </c>
      <c r="R213" s="4" t="str">
        <f t="shared" si="16"/>
        <v/>
      </c>
      <c r="S213" s="4" t="str">
        <f t="shared" si="17"/>
        <v/>
      </c>
      <c r="T213" s="4" t="str">
        <f t="shared" si="18"/>
        <v/>
      </c>
      <c r="U213" s="10" t="str">
        <f t="shared" si="19"/>
        <v/>
      </c>
      <c r="V213" s="4"/>
    </row>
    <row r="214" spans="2:22" x14ac:dyDescent="0.25">
      <c r="B214" s="4" t="str">
        <f>IFERROR(VLOOKUP(A214,'ECN-ECO_DATA'!B:G,4,FALSE),"")</f>
        <v/>
      </c>
      <c r="C214" s="9" t="str">
        <f>IFERROR(VLOOKUP(A214,'ECN-ECO_DATA'!B:G,5,FALSE),"")</f>
        <v/>
      </c>
      <c r="D214" s="9" t="str">
        <f ca="1">IFERROR((IF(VLOOKUP(A214,'ECN-ECO_DATA'!B:G,6,FALSE)=0/1/1900,TODAY(),VLOOKUP(A214,'ECN-ECO_DATA'!B:G,6,FALSE))),"")</f>
        <v/>
      </c>
      <c r="E214" s="9" t="str">
        <f>IFERROR((IF(VLOOKUP(A214,'ECN-ECO_DATA'!B:G,6,FALSE)=0/1/1900,"",VLOOKUP(A214,'ECN-ECO_DATA'!B:G,6,FALSE))),"")</f>
        <v/>
      </c>
      <c r="F214" s="9" t="str">
        <f>IFERROR((IF(VLOOKUP(A214,'ECN-ECO_DATA'!B:J,7,FALSE)=0/1/1900,"",VLOOKUP(A214,'ECN-ECO_DATA'!B:J,7,FALSE))),"")</f>
        <v/>
      </c>
      <c r="G214" s="9" t="str">
        <f>IFERROR((IF(VLOOKUP(A214,'ECN-ECO_DATA'!B:J,8,FALSE)=0/1/1900,"",VLOOKUP(A214,'ECN-ECO_DATA'!B:J,8,FALSE))),"")</f>
        <v/>
      </c>
      <c r="H214" s="9" t="str">
        <f>IFERROR((IF(VLOOKUP(A214,'ECN-ECO_DATA'!B:J,9,FALSE)=0/1/1900,"",VLOOKUP(A214,'ECN-ECO_DATA'!B:J,9,FALSE))),"")</f>
        <v/>
      </c>
      <c r="I214" s="10" t="str">
        <f>IFERROR((IF(VLOOKUP(A214,'ECN-ECO_DATA'!B:Q,13,FALSE)="","",VLOOKUP(A214,'ECN-ECO_DATA'!B:Q,13,FALSE))),"")</f>
        <v/>
      </c>
      <c r="J214" s="10" t="str">
        <f>IFERROR((IF(VLOOKUP(A214,'ECN-ECO_DATA'!B:Q,14,FALSE)="","",VLOOKUP(A214,'ECN-ECO_DATA'!B:Q,14,FALSE))),"")</f>
        <v/>
      </c>
      <c r="K214" s="10" t="str">
        <f>IFERROR((IF(VLOOKUP(A214,'ECN-ECO_DATA'!B:Q,15,FALSE)="","",VLOOKUP(A214,'ECN-ECO_DATA'!B:Q,15,FALSE))),"")</f>
        <v/>
      </c>
      <c r="L214" s="10" t="str">
        <f>IFERROR((IF(VLOOKUP(A214,'ECN-ECO_DATA'!B:Q,16,FALSE)="","",VLOOKUP(A214,'ECN-ECO_DATA'!B:Q,16,FALSE))),"")</f>
        <v/>
      </c>
      <c r="M214" s="9" t="str">
        <f>IFERROR((IF(VLOOKUP(A214,'ECN-ECO_DATA'!B:V,18,FALSE)=0/1/1900,"",VLOOKUP(A214,'ECN-ECO_DATA'!B:V,18,FALSE))),"")</f>
        <v/>
      </c>
      <c r="N214" s="9" t="str">
        <f>IFERROR((IF(VLOOKUP(A214,'ECN-ECO_DATA'!B:V,19,FALSE)=0/1/1900,"",VLOOKUP(A214,'ECN-ECO_DATA'!B:V,19,FALSE))),"")</f>
        <v/>
      </c>
      <c r="O214" s="9" t="str">
        <f>IFERROR((IF(VLOOKUP(A214,'ECN-ECO_DATA'!B:V,20,FALSE)=0/1/1900,"",VLOOKUP(A214,'ECN-ECO_DATA'!B:V,20,FALSE))),"")</f>
        <v/>
      </c>
      <c r="P214" s="9" t="str">
        <f>IFERROR((IF(VLOOKUP(A214,'ECN-ECO_DATA'!B:V,21,FALSE)=0/1/1900,"",VLOOKUP(A214,'ECN-ECO_DATA'!B:V,21,FALSE))),"")</f>
        <v/>
      </c>
      <c r="Q214" s="10" t="str">
        <f t="shared" ca="1" si="15"/>
        <v/>
      </c>
      <c r="R214" s="4" t="str">
        <f t="shared" si="16"/>
        <v/>
      </c>
      <c r="S214" s="4" t="str">
        <f t="shared" si="17"/>
        <v/>
      </c>
      <c r="T214" s="4" t="str">
        <f t="shared" si="18"/>
        <v/>
      </c>
      <c r="U214" s="10" t="str">
        <f t="shared" si="19"/>
        <v/>
      </c>
      <c r="V214" s="4"/>
    </row>
    <row r="215" spans="2:22" x14ac:dyDescent="0.25">
      <c r="B215" s="4" t="str">
        <f>IFERROR(VLOOKUP(A215,'ECN-ECO_DATA'!B:G,4,FALSE),"")</f>
        <v/>
      </c>
      <c r="C215" s="9" t="str">
        <f>IFERROR(VLOOKUP(A215,'ECN-ECO_DATA'!B:G,5,FALSE),"")</f>
        <v/>
      </c>
      <c r="D215" s="9" t="str">
        <f ca="1">IFERROR((IF(VLOOKUP(A215,'ECN-ECO_DATA'!B:G,6,FALSE)=0/1/1900,TODAY(),VLOOKUP(A215,'ECN-ECO_DATA'!B:G,6,FALSE))),"")</f>
        <v/>
      </c>
      <c r="E215" s="9" t="str">
        <f>IFERROR((IF(VLOOKUP(A215,'ECN-ECO_DATA'!B:G,6,FALSE)=0/1/1900,"",VLOOKUP(A215,'ECN-ECO_DATA'!B:G,6,FALSE))),"")</f>
        <v/>
      </c>
      <c r="F215" s="9" t="str">
        <f>IFERROR((IF(VLOOKUP(A215,'ECN-ECO_DATA'!B:J,7,FALSE)=0/1/1900,"",VLOOKUP(A215,'ECN-ECO_DATA'!B:J,7,FALSE))),"")</f>
        <v/>
      </c>
      <c r="G215" s="9" t="str">
        <f>IFERROR((IF(VLOOKUP(A215,'ECN-ECO_DATA'!B:J,8,FALSE)=0/1/1900,"",VLOOKUP(A215,'ECN-ECO_DATA'!B:J,8,FALSE))),"")</f>
        <v/>
      </c>
      <c r="H215" s="9" t="str">
        <f>IFERROR((IF(VLOOKUP(A215,'ECN-ECO_DATA'!B:J,9,FALSE)=0/1/1900,"",VLOOKUP(A215,'ECN-ECO_DATA'!B:J,9,FALSE))),"")</f>
        <v/>
      </c>
      <c r="I215" s="10" t="str">
        <f>IFERROR((IF(VLOOKUP(A215,'ECN-ECO_DATA'!B:Q,13,FALSE)="","",VLOOKUP(A215,'ECN-ECO_DATA'!B:Q,13,FALSE))),"")</f>
        <v/>
      </c>
      <c r="J215" s="10" t="str">
        <f>IFERROR((IF(VLOOKUP(A215,'ECN-ECO_DATA'!B:Q,14,FALSE)="","",VLOOKUP(A215,'ECN-ECO_DATA'!B:Q,14,FALSE))),"")</f>
        <v/>
      </c>
      <c r="K215" s="10" t="str">
        <f>IFERROR((IF(VLOOKUP(A215,'ECN-ECO_DATA'!B:Q,15,FALSE)="","",VLOOKUP(A215,'ECN-ECO_DATA'!B:Q,15,FALSE))),"")</f>
        <v/>
      </c>
      <c r="L215" s="10" t="str">
        <f>IFERROR((IF(VLOOKUP(A215,'ECN-ECO_DATA'!B:Q,16,FALSE)="","",VLOOKUP(A215,'ECN-ECO_DATA'!B:Q,16,FALSE))),"")</f>
        <v/>
      </c>
      <c r="M215" s="9" t="str">
        <f>IFERROR((IF(VLOOKUP(A215,'ECN-ECO_DATA'!B:V,18,FALSE)=0/1/1900,"",VLOOKUP(A215,'ECN-ECO_DATA'!B:V,18,FALSE))),"")</f>
        <v/>
      </c>
      <c r="N215" s="9" t="str">
        <f>IFERROR((IF(VLOOKUP(A215,'ECN-ECO_DATA'!B:V,19,FALSE)=0/1/1900,"",VLOOKUP(A215,'ECN-ECO_DATA'!B:V,19,FALSE))),"")</f>
        <v/>
      </c>
      <c r="O215" s="9" t="str">
        <f>IFERROR((IF(VLOOKUP(A215,'ECN-ECO_DATA'!B:V,20,FALSE)=0/1/1900,"",VLOOKUP(A215,'ECN-ECO_DATA'!B:V,20,FALSE))),"")</f>
        <v/>
      </c>
      <c r="P215" s="9" t="str">
        <f>IFERROR((IF(VLOOKUP(A215,'ECN-ECO_DATA'!B:V,21,FALSE)=0/1/1900,"",VLOOKUP(A215,'ECN-ECO_DATA'!B:V,21,FALSE))),"")</f>
        <v/>
      </c>
      <c r="Q215" s="10" t="str">
        <f t="shared" ca="1" si="15"/>
        <v/>
      </c>
      <c r="R215" s="4" t="str">
        <f t="shared" si="16"/>
        <v/>
      </c>
      <c r="S215" s="4" t="str">
        <f t="shared" si="17"/>
        <v/>
      </c>
      <c r="T215" s="4" t="str">
        <f t="shared" si="18"/>
        <v/>
      </c>
      <c r="U215" s="10" t="str">
        <f t="shared" si="19"/>
        <v/>
      </c>
      <c r="V215" s="4"/>
    </row>
    <row r="216" spans="2:22" x14ac:dyDescent="0.25">
      <c r="B216" s="4" t="str">
        <f>IFERROR(VLOOKUP(A216,'ECN-ECO_DATA'!B:G,4,FALSE),"")</f>
        <v/>
      </c>
      <c r="C216" s="9" t="str">
        <f>IFERROR(VLOOKUP(A216,'ECN-ECO_DATA'!B:G,5,FALSE),"")</f>
        <v/>
      </c>
      <c r="D216" s="9" t="str">
        <f ca="1">IFERROR((IF(VLOOKUP(A216,'ECN-ECO_DATA'!B:G,6,FALSE)=0/1/1900,TODAY(),VLOOKUP(A216,'ECN-ECO_DATA'!B:G,6,FALSE))),"")</f>
        <v/>
      </c>
      <c r="E216" s="9" t="str">
        <f>IFERROR((IF(VLOOKUP(A216,'ECN-ECO_DATA'!B:G,6,FALSE)=0/1/1900,"",VLOOKUP(A216,'ECN-ECO_DATA'!B:G,6,FALSE))),"")</f>
        <v/>
      </c>
      <c r="F216" s="9" t="str">
        <f>IFERROR((IF(VLOOKUP(A216,'ECN-ECO_DATA'!B:J,7,FALSE)=0/1/1900,"",VLOOKUP(A216,'ECN-ECO_DATA'!B:J,7,FALSE))),"")</f>
        <v/>
      </c>
      <c r="G216" s="9" t="str">
        <f>IFERROR((IF(VLOOKUP(A216,'ECN-ECO_DATA'!B:J,8,FALSE)=0/1/1900,"",VLOOKUP(A216,'ECN-ECO_DATA'!B:J,8,FALSE))),"")</f>
        <v/>
      </c>
      <c r="H216" s="9" t="str">
        <f>IFERROR((IF(VLOOKUP(A216,'ECN-ECO_DATA'!B:J,9,FALSE)=0/1/1900,"",VLOOKUP(A216,'ECN-ECO_DATA'!B:J,9,FALSE))),"")</f>
        <v/>
      </c>
      <c r="I216" s="10" t="str">
        <f>IFERROR((IF(VLOOKUP(A216,'ECN-ECO_DATA'!B:Q,13,FALSE)="","",VLOOKUP(A216,'ECN-ECO_DATA'!B:Q,13,FALSE))),"")</f>
        <v/>
      </c>
      <c r="J216" s="10" t="str">
        <f>IFERROR((IF(VLOOKUP(A216,'ECN-ECO_DATA'!B:Q,14,FALSE)="","",VLOOKUP(A216,'ECN-ECO_DATA'!B:Q,14,FALSE))),"")</f>
        <v/>
      </c>
      <c r="K216" s="10" t="str">
        <f>IFERROR((IF(VLOOKUP(A216,'ECN-ECO_DATA'!B:Q,15,FALSE)="","",VLOOKUP(A216,'ECN-ECO_DATA'!B:Q,15,FALSE))),"")</f>
        <v/>
      </c>
      <c r="L216" s="10" t="str">
        <f>IFERROR((IF(VLOOKUP(A216,'ECN-ECO_DATA'!B:Q,16,FALSE)="","",VLOOKUP(A216,'ECN-ECO_DATA'!B:Q,16,FALSE))),"")</f>
        <v/>
      </c>
      <c r="M216" s="9" t="str">
        <f>IFERROR((IF(VLOOKUP(A216,'ECN-ECO_DATA'!B:V,18,FALSE)=0/1/1900,"",VLOOKUP(A216,'ECN-ECO_DATA'!B:V,18,FALSE))),"")</f>
        <v/>
      </c>
      <c r="N216" s="9" t="str">
        <f>IFERROR((IF(VLOOKUP(A216,'ECN-ECO_DATA'!B:V,19,FALSE)=0/1/1900,"",VLOOKUP(A216,'ECN-ECO_DATA'!B:V,19,FALSE))),"")</f>
        <v/>
      </c>
      <c r="O216" s="9" t="str">
        <f>IFERROR((IF(VLOOKUP(A216,'ECN-ECO_DATA'!B:V,20,FALSE)=0/1/1900,"",VLOOKUP(A216,'ECN-ECO_DATA'!B:V,20,FALSE))),"")</f>
        <v/>
      </c>
      <c r="P216" s="9" t="str">
        <f>IFERROR((IF(VLOOKUP(A216,'ECN-ECO_DATA'!B:V,21,FALSE)=0/1/1900,"",VLOOKUP(A216,'ECN-ECO_DATA'!B:V,21,FALSE))),"")</f>
        <v/>
      </c>
      <c r="Q216" s="10" t="str">
        <f t="shared" ca="1" si="15"/>
        <v/>
      </c>
      <c r="R216" s="4" t="str">
        <f t="shared" si="16"/>
        <v/>
      </c>
      <c r="S216" s="4" t="str">
        <f t="shared" si="17"/>
        <v/>
      </c>
      <c r="T216" s="4" t="str">
        <f t="shared" si="18"/>
        <v/>
      </c>
      <c r="U216" s="10" t="str">
        <f t="shared" si="19"/>
        <v/>
      </c>
      <c r="V216" s="4"/>
    </row>
    <row r="217" spans="2:22" x14ac:dyDescent="0.25">
      <c r="B217" s="4" t="str">
        <f>IFERROR(VLOOKUP(A217,'ECN-ECO_DATA'!B:G,4,FALSE),"")</f>
        <v/>
      </c>
      <c r="C217" s="9" t="str">
        <f>IFERROR(VLOOKUP(A217,'ECN-ECO_DATA'!B:G,5,FALSE),"")</f>
        <v/>
      </c>
      <c r="D217" s="9" t="str">
        <f ca="1">IFERROR((IF(VLOOKUP(A217,'ECN-ECO_DATA'!B:G,6,FALSE)=0/1/1900,TODAY(),VLOOKUP(A217,'ECN-ECO_DATA'!B:G,6,FALSE))),"")</f>
        <v/>
      </c>
      <c r="E217" s="9" t="str">
        <f>IFERROR((IF(VLOOKUP(A217,'ECN-ECO_DATA'!B:G,6,FALSE)=0/1/1900,"",VLOOKUP(A217,'ECN-ECO_DATA'!B:G,6,FALSE))),"")</f>
        <v/>
      </c>
      <c r="F217" s="9" t="str">
        <f>IFERROR((IF(VLOOKUP(A217,'ECN-ECO_DATA'!B:J,7,FALSE)=0/1/1900,"",VLOOKUP(A217,'ECN-ECO_DATA'!B:J,7,FALSE))),"")</f>
        <v/>
      </c>
      <c r="G217" s="9" t="str">
        <f>IFERROR((IF(VLOOKUP(A217,'ECN-ECO_DATA'!B:J,8,FALSE)=0/1/1900,"",VLOOKUP(A217,'ECN-ECO_DATA'!B:J,8,FALSE))),"")</f>
        <v/>
      </c>
      <c r="H217" s="9" t="str">
        <f>IFERROR((IF(VLOOKUP(A217,'ECN-ECO_DATA'!B:J,9,FALSE)=0/1/1900,"",VLOOKUP(A217,'ECN-ECO_DATA'!B:J,9,FALSE))),"")</f>
        <v/>
      </c>
      <c r="I217" s="10" t="str">
        <f>IFERROR((IF(VLOOKUP(A217,'ECN-ECO_DATA'!B:Q,13,FALSE)="","",VLOOKUP(A217,'ECN-ECO_DATA'!B:Q,13,FALSE))),"")</f>
        <v/>
      </c>
      <c r="J217" s="10" t="str">
        <f>IFERROR((IF(VLOOKUP(A217,'ECN-ECO_DATA'!B:Q,14,FALSE)="","",VLOOKUP(A217,'ECN-ECO_DATA'!B:Q,14,FALSE))),"")</f>
        <v/>
      </c>
      <c r="K217" s="10" t="str">
        <f>IFERROR((IF(VLOOKUP(A217,'ECN-ECO_DATA'!B:Q,15,FALSE)="","",VLOOKUP(A217,'ECN-ECO_DATA'!B:Q,15,FALSE))),"")</f>
        <v/>
      </c>
      <c r="L217" s="10" t="str">
        <f>IFERROR((IF(VLOOKUP(A217,'ECN-ECO_DATA'!B:Q,16,FALSE)="","",VLOOKUP(A217,'ECN-ECO_DATA'!B:Q,16,FALSE))),"")</f>
        <v/>
      </c>
      <c r="M217" s="9" t="str">
        <f>IFERROR((IF(VLOOKUP(A217,'ECN-ECO_DATA'!B:V,18,FALSE)=0/1/1900,"",VLOOKUP(A217,'ECN-ECO_DATA'!B:V,18,FALSE))),"")</f>
        <v/>
      </c>
      <c r="N217" s="9" t="str">
        <f>IFERROR((IF(VLOOKUP(A217,'ECN-ECO_DATA'!B:V,19,FALSE)=0/1/1900,"",VLOOKUP(A217,'ECN-ECO_DATA'!B:V,19,FALSE))),"")</f>
        <v/>
      </c>
      <c r="O217" s="9" t="str">
        <f>IFERROR((IF(VLOOKUP(A217,'ECN-ECO_DATA'!B:V,20,FALSE)=0/1/1900,"",VLOOKUP(A217,'ECN-ECO_DATA'!B:V,20,FALSE))),"")</f>
        <v/>
      </c>
      <c r="P217" s="9" t="str">
        <f>IFERROR((IF(VLOOKUP(A217,'ECN-ECO_DATA'!B:V,21,FALSE)=0/1/1900,"",VLOOKUP(A217,'ECN-ECO_DATA'!B:V,21,FALSE))),"")</f>
        <v/>
      </c>
      <c r="Q217" s="10" t="str">
        <f t="shared" ca="1" si="15"/>
        <v/>
      </c>
      <c r="R217" s="4" t="str">
        <f t="shared" si="16"/>
        <v/>
      </c>
      <c r="S217" s="4" t="str">
        <f t="shared" si="17"/>
        <v/>
      </c>
      <c r="T217" s="4" t="str">
        <f t="shared" si="18"/>
        <v/>
      </c>
      <c r="U217" s="10" t="str">
        <f t="shared" si="19"/>
        <v/>
      </c>
      <c r="V217" s="4"/>
    </row>
    <row r="218" spans="2:22" x14ac:dyDescent="0.25">
      <c r="B218" s="4" t="str">
        <f>IFERROR(VLOOKUP(A218,'ECN-ECO_DATA'!B:G,4,FALSE),"")</f>
        <v/>
      </c>
      <c r="C218" s="9" t="str">
        <f>IFERROR(VLOOKUP(A218,'ECN-ECO_DATA'!B:G,5,FALSE),"")</f>
        <v/>
      </c>
      <c r="D218" s="9" t="str">
        <f ca="1">IFERROR((IF(VLOOKUP(A218,'ECN-ECO_DATA'!B:G,6,FALSE)=0/1/1900,TODAY(),VLOOKUP(A218,'ECN-ECO_DATA'!B:G,6,FALSE))),"")</f>
        <v/>
      </c>
      <c r="E218" s="9" t="str">
        <f>IFERROR((IF(VLOOKUP(A218,'ECN-ECO_DATA'!B:G,6,FALSE)=0/1/1900,"",VLOOKUP(A218,'ECN-ECO_DATA'!B:G,6,FALSE))),"")</f>
        <v/>
      </c>
      <c r="F218" s="9" t="str">
        <f>IFERROR((IF(VLOOKUP(A218,'ECN-ECO_DATA'!B:J,7,FALSE)=0/1/1900,"",VLOOKUP(A218,'ECN-ECO_DATA'!B:J,7,FALSE))),"")</f>
        <v/>
      </c>
      <c r="G218" s="9" t="str">
        <f>IFERROR((IF(VLOOKUP(A218,'ECN-ECO_DATA'!B:J,8,FALSE)=0/1/1900,"",VLOOKUP(A218,'ECN-ECO_DATA'!B:J,8,FALSE))),"")</f>
        <v/>
      </c>
      <c r="H218" s="9" t="str">
        <f>IFERROR((IF(VLOOKUP(A218,'ECN-ECO_DATA'!B:J,9,FALSE)=0/1/1900,"",VLOOKUP(A218,'ECN-ECO_DATA'!B:J,9,FALSE))),"")</f>
        <v/>
      </c>
      <c r="I218" s="10" t="str">
        <f>IFERROR((IF(VLOOKUP(A218,'ECN-ECO_DATA'!B:Q,13,FALSE)="","",VLOOKUP(A218,'ECN-ECO_DATA'!B:Q,13,FALSE))),"")</f>
        <v/>
      </c>
      <c r="J218" s="10" t="str">
        <f>IFERROR((IF(VLOOKUP(A218,'ECN-ECO_DATA'!B:Q,14,FALSE)="","",VLOOKUP(A218,'ECN-ECO_DATA'!B:Q,14,FALSE))),"")</f>
        <v/>
      </c>
      <c r="K218" s="10" t="str">
        <f>IFERROR((IF(VLOOKUP(A218,'ECN-ECO_DATA'!B:Q,15,FALSE)="","",VLOOKUP(A218,'ECN-ECO_DATA'!B:Q,15,FALSE))),"")</f>
        <v/>
      </c>
      <c r="L218" s="10" t="str">
        <f>IFERROR((IF(VLOOKUP(A218,'ECN-ECO_DATA'!B:Q,16,FALSE)="","",VLOOKUP(A218,'ECN-ECO_DATA'!B:Q,16,FALSE))),"")</f>
        <v/>
      </c>
      <c r="M218" s="9" t="str">
        <f>IFERROR((IF(VLOOKUP(A218,'ECN-ECO_DATA'!B:V,18,FALSE)=0/1/1900,"",VLOOKUP(A218,'ECN-ECO_DATA'!B:V,18,FALSE))),"")</f>
        <v/>
      </c>
      <c r="N218" s="9" t="str">
        <f>IFERROR((IF(VLOOKUP(A218,'ECN-ECO_DATA'!B:V,19,FALSE)=0/1/1900,"",VLOOKUP(A218,'ECN-ECO_DATA'!B:V,19,FALSE))),"")</f>
        <v/>
      </c>
      <c r="O218" s="9" t="str">
        <f>IFERROR((IF(VLOOKUP(A218,'ECN-ECO_DATA'!B:V,20,FALSE)=0/1/1900,"",VLOOKUP(A218,'ECN-ECO_DATA'!B:V,20,FALSE))),"")</f>
        <v/>
      </c>
      <c r="P218" s="9" t="str">
        <f>IFERROR((IF(VLOOKUP(A218,'ECN-ECO_DATA'!B:V,21,FALSE)=0/1/1900,"",VLOOKUP(A218,'ECN-ECO_DATA'!B:V,21,FALSE))),"")</f>
        <v/>
      </c>
      <c r="Q218" s="10" t="str">
        <f t="shared" ca="1" si="15"/>
        <v/>
      </c>
      <c r="R218" s="4" t="str">
        <f t="shared" si="16"/>
        <v/>
      </c>
      <c r="S218" s="4" t="str">
        <f t="shared" si="17"/>
        <v/>
      </c>
      <c r="T218" s="4" t="str">
        <f t="shared" si="18"/>
        <v/>
      </c>
      <c r="U218" s="10" t="str">
        <f t="shared" si="19"/>
        <v/>
      </c>
      <c r="V218" s="4"/>
    </row>
    <row r="219" spans="2:22" x14ac:dyDescent="0.25">
      <c r="B219" s="4" t="str">
        <f>IFERROR(VLOOKUP(A219,'ECN-ECO_DATA'!B:G,4,FALSE),"")</f>
        <v/>
      </c>
      <c r="C219" s="9" t="str">
        <f>IFERROR(VLOOKUP(A219,'ECN-ECO_DATA'!B:G,5,FALSE),"")</f>
        <v/>
      </c>
      <c r="D219" s="9" t="str">
        <f ca="1">IFERROR((IF(VLOOKUP(A219,'ECN-ECO_DATA'!B:G,6,FALSE)=0/1/1900,TODAY(),VLOOKUP(A219,'ECN-ECO_DATA'!B:G,6,FALSE))),"")</f>
        <v/>
      </c>
      <c r="E219" s="9" t="str">
        <f>IFERROR((IF(VLOOKUP(A219,'ECN-ECO_DATA'!B:G,6,FALSE)=0/1/1900,"",VLOOKUP(A219,'ECN-ECO_DATA'!B:G,6,FALSE))),"")</f>
        <v/>
      </c>
      <c r="F219" s="9" t="str">
        <f>IFERROR((IF(VLOOKUP(A219,'ECN-ECO_DATA'!B:J,7,FALSE)=0/1/1900,"",VLOOKUP(A219,'ECN-ECO_DATA'!B:J,7,FALSE))),"")</f>
        <v/>
      </c>
      <c r="G219" s="9" t="str">
        <f>IFERROR((IF(VLOOKUP(A219,'ECN-ECO_DATA'!B:J,8,FALSE)=0/1/1900,"",VLOOKUP(A219,'ECN-ECO_DATA'!B:J,8,FALSE))),"")</f>
        <v/>
      </c>
      <c r="H219" s="9" t="str">
        <f>IFERROR((IF(VLOOKUP(A219,'ECN-ECO_DATA'!B:J,9,FALSE)=0/1/1900,"",VLOOKUP(A219,'ECN-ECO_DATA'!B:J,9,FALSE))),"")</f>
        <v/>
      </c>
      <c r="I219" s="10" t="str">
        <f>IFERROR((IF(VLOOKUP(A219,'ECN-ECO_DATA'!B:Q,13,FALSE)="","",VLOOKUP(A219,'ECN-ECO_DATA'!B:Q,13,FALSE))),"")</f>
        <v/>
      </c>
      <c r="J219" s="10" t="str">
        <f>IFERROR((IF(VLOOKUP(A219,'ECN-ECO_DATA'!B:Q,14,FALSE)="","",VLOOKUP(A219,'ECN-ECO_DATA'!B:Q,14,FALSE))),"")</f>
        <v/>
      </c>
      <c r="K219" s="10" t="str">
        <f>IFERROR((IF(VLOOKUP(A219,'ECN-ECO_DATA'!B:Q,15,FALSE)="","",VLOOKUP(A219,'ECN-ECO_DATA'!B:Q,15,FALSE))),"")</f>
        <v/>
      </c>
      <c r="L219" s="10" t="str">
        <f>IFERROR((IF(VLOOKUP(A219,'ECN-ECO_DATA'!B:Q,16,FALSE)="","",VLOOKUP(A219,'ECN-ECO_DATA'!B:Q,16,FALSE))),"")</f>
        <v/>
      </c>
      <c r="M219" s="9" t="str">
        <f>IFERROR((IF(VLOOKUP(A219,'ECN-ECO_DATA'!B:V,18,FALSE)=0/1/1900,"",VLOOKUP(A219,'ECN-ECO_DATA'!B:V,18,FALSE))),"")</f>
        <v/>
      </c>
      <c r="N219" s="9" t="str">
        <f>IFERROR((IF(VLOOKUP(A219,'ECN-ECO_DATA'!B:V,19,FALSE)=0/1/1900,"",VLOOKUP(A219,'ECN-ECO_DATA'!B:V,19,FALSE))),"")</f>
        <v/>
      </c>
      <c r="O219" s="9" t="str">
        <f>IFERROR((IF(VLOOKUP(A219,'ECN-ECO_DATA'!B:V,20,FALSE)=0/1/1900,"",VLOOKUP(A219,'ECN-ECO_DATA'!B:V,20,FALSE))),"")</f>
        <v/>
      </c>
      <c r="P219" s="9" t="str">
        <f>IFERROR((IF(VLOOKUP(A219,'ECN-ECO_DATA'!B:V,21,FALSE)=0/1/1900,"",VLOOKUP(A219,'ECN-ECO_DATA'!B:V,21,FALSE))),"")</f>
        <v/>
      </c>
      <c r="Q219" s="10" t="str">
        <f t="shared" ca="1" si="15"/>
        <v/>
      </c>
      <c r="R219" s="4" t="str">
        <f t="shared" si="16"/>
        <v/>
      </c>
      <c r="S219" s="4" t="str">
        <f t="shared" si="17"/>
        <v/>
      </c>
      <c r="T219" s="4" t="str">
        <f t="shared" si="18"/>
        <v/>
      </c>
      <c r="U219" s="10" t="str">
        <f t="shared" si="19"/>
        <v/>
      </c>
      <c r="V219" s="4"/>
    </row>
    <row r="220" spans="2:22" x14ac:dyDescent="0.25">
      <c r="B220" s="4" t="str">
        <f>IFERROR(VLOOKUP(A220,'ECN-ECO_DATA'!B:G,4,FALSE),"")</f>
        <v/>
      </c>
      <c r="C220" s="9" t="str">
        <f>IFERROR(VLOOKUP(A220,'ECN-ECO_DATA'!B:G,5,FALSE),"")</f>
        <v/>
      </c>
      <c r="D220" s="9" t="str">
        <f ca="1">IFERROR((IF(VLOOKUP(A220,'ECN-ECO_DATA'!B:G,6,FALSE)=0/1/1900,TODAY(),VLOOKUP(A220,'ECN-ECO_DATA'!B:G,6,FALSE))),"")</f>
        <v/>
      </c>
      <c r="E220" s="9" t="str">
        <f>IFERROR((IF(VLOOKUP(A220,'ECN-ECO_DATA'!B:G,6,FALSE)=0/1/1900,"",VLOOKUP(A220,'ECN-ECO_DATA'!B:G,6,FALSE))),"")</f>
        <v/>
      </c>
      <c r="F220" s="9" t="str">
        <f>IFERROR((IF(VLOOKUP(A220,'ECN-ECO_DATA'!B:J,7,FALSE)=0/1/1900,"",VLOOKUP(A220,'ECN-ECO_DATA'!B:J,7,FALSE))),"")</f>
        <v/>
      </c>
      <c r="G220" s="9" t="str">
        <f>IFERROR((IF(VLOOKUP(A220,'ECN-ECO_DATA'!B:J,8,FALSE)=0/1/1900,"",VLOOKUP(A220,'ECN-ECO_DATA'!B:J,8,FALSE))),"")</f>
        <v/>
      </c>
      <c r="H220" s="9" t="str">
        <f>IFERROR((IF(VLOOKUP(A220,'ECN-ECO_DATA'!B:J,9,FALSE)=0/1/1900,"",VLOOKUP(A220,'ECN-ECO_DATA'!B:J,9,FALSE))),"")</f>
        <v/>
      </c>
      <c r="I220" s="10" t="str">
        <f>IFERROR((IF(VLOOKUP(A220,'ECN-ECO_DATA'!B:Q,13,FALSE)="","",VLOOKUP(A220,'ECN-ECO_DATA'!B:Q,13,FALSE))),"")</f>
        <v/>
      </c>
      <c r="J220" s="10" t="str">
        <f>IFERROR((IF(VLOOKUP(A220,'ECN-ECO_DATA'!B:Q,14,FALSE)="","",VLOOKUP(A220,'ECN-ECO_DATA'!B:Q,14,FALSE))),"")</f>
        <v/>
      </c>
      <c r="K220" s="10" t="str">
        <f>IFERROR((IF(VLOOKUP(A220,'ECN-ECO_DATA'!B:Q,15,FALSE)="","",VLOOKUP(A220,'ECN-ECO_DATA'!B:Q,15,FALSE))),"")</f>
        <v/>
      </c>
      <c r="L220" s="10" t="str">
        <f>IFERROR((IF(VLOOKUP(A220,'ECN-ECO_DATA'!B:Q,16,FALSE)="","",VLOOKUP(A220,'ECN-ECO_DATA'!B:Q,16,FALSE))),"")</f>
        <v/>
      </c>
      <c r="M220" s="9" t="str">
        <f>IFERROR((IF(VLOOKUP(A220,'ECN-ECO_DATA'!B:V,18,FALSE)=0/1/1900,"",VLOOKUP(A220,'ECN-ECO_DATA'!B:V,18,FALSE))),"")</f>
        <v/>
      </c>
      <c r="N220" s="9" t="str">
        <f>IFERROR((IF(VLOOKUP(A220,'ECN-ECO_DATA'!B:V,19,FALSE)=0/1/1900,"",VLOOKUP(A220,'ECN-ECO_DATA'!B:V,19,FALSE))),"")</f>
        <v/>
      </c>
      <c r="O220" s="9" t="str">
        <f>IFERROR((IF(VLOOKUP(A220,'ECN-ECO_DATA'!B:V,20,FALSE)=0/1/1900,"",VLOOKUP(A220,'ECN-ECO_DATA'!B:V,20,FALSE))),"")</f>
        <v/>
      </c>
      <c r="P220" s="9" t="str">
        <f>IFERROR((IF(VLOOKUP(A220,'ECN-ECO_DATA'!B:V,21,FALSE)=0/1/1900,"",VLOOKUP(A220,'ECN-ECO_DATA'!B:V,21,FALSE))),"")</f>
        <v/>
      </c>
      <c r="Q220" s="10" t="str">
        <f t="shared" ca="1" si="15"/>
        <v/>
      </c>
      <c r="R220" s="4" t="str">
        <f t="shared" si="16"/>
        <v/>
      </c>
      <c r="S220" s="4" t="str">
        <f t="shared" si="17"/>
        <v/>
      </c>
      <c r="T220" s="4" t="str">
        <f t="shared" si="18"/>
        <v/>
      </c>
      <c r="U220" s="10" t="str">
        <f t="shared" si="19"/>
        <v/>
      </c>
      <c r="V220" s="4"/>
    </row>
    <row r="221" spans="2:22" x14ac:dyDescent="0.25">
      <c r="B221" s="4" t="str">
        <f>IFERROR(VLOOKUP(A221,'ECN-ECO_DATA'!B:G,4,FALSE),"")</f>
        <v/>
      </c>
      <c r="C221" s="9" t="str">
        <f>IFERROR(VLOOKUP(A221,'ECN-ECO_DATA'!B:G,5,FALSE),"")</f>
        <v/>
      </c>
      <c r="D221" s="9" t="str">
        <f ca="1">IFERROR((IF(VLOOKUP(A221,'ECN-ECO_DATA'!B:G,6,FALSE)=0/1/1900,TODAY(),VLOOKUP(A221,'ECN-ECO_DATA'!B:G,6,FALSE))),"")</f>
        <v/>
      </c>
      <c r="E221" s="9" t="str">
        <f>IFERROR((IF(VLOOKUP(A221,'ECN-ECO_DATA'!B:G,6,FALSE)=0/1/1900,"",VLOOKUP(A221,'ECN-ECO_DATA'!B:G,6,FALSE))),"")</f>
        <v/>
      </c>
      <c r="F221" s="9" t="str">
        <f>IFERROR((IF(VLOOKUP(A221,'ECN-ECO_DATA'!B:J,7,FALSE)=0/1/1900,"",VLOOKUP(A221,'ECN-ECO_DATA'!B:J,7,FALSE))),"")</f>
        <v/>
      </c>
      <c r="G221" s="9" t="str">
        <f>IFERROR((IF(VLOOKUP(A221,'ECN-ECO_DATA'!B:J,8,FALSE)=0/1/1900,"",VLOOKUP(A221,'ECN-ECO_DATA'!B:J,8,FALSE))),"")</f>
        <v/>
      </c>
      <c r="H221" s="9" t="str">
        <f>IFERROR((IF(VLOOKUP(A221,'ECN-ECO_DATA'!B:J,9,FALSE)=0/1/1900,"",VLOOKUP(A221,'ECN-ECO_DATA'!B:J,9,FALSE))),"")</f>
        <v/>
      </c>
      <c r="I221" s="10" t="str">
        <f>IFERROR((IF(VLOOKUP(A221,'ECN-ECO_DATA'!B:Q,13,FALSE)="","",VLOOKUP(A221,'ECN-ECO_DATA'!B:Q,13,FALSE))),"")</f>
        <v/>
      </c>
      <c r="J221" s="10" t="str">
        <f>IFERROR((IF(VLOOKUP(A221,'ECN-ECO_DATA'!B:Q,14,FALSE)="","",VLOOKUP(A221,'ECN-ECO_DATA'!B:Q,14,FALSE))),"")</f>
        <v/>
      </c>
      <c r="K221" s="10" t="str">
        <f>IFERROR((IF(VLOOKUP(A221,'ECN-ECO_DATA'!B:Q,15,FALSE)="","",VLOOKUP(A221,'ECN-ECO_DATA'!B:Q,15,FALSE))),"")</f>
        <v/>
      </c>
      <c r="L221" s="10" t="str">
        <f>IFERROR((IF(VLOOKUP(A221,'ECN-ECO_DATA'!B:Q,16,FALSE)="","",VLOOKUP(A221,'ECN-ECO_DATA'!B:Q,16,FALSE))),"")</f>
        <v/>
      </c>
      <c r="M221" s="9" t="str">
        <f>IFERROR((IF(VLOOKUP(A221,'ECN-ECO_DATA'!B:V,18,FALSE)=0/1/1900,"",VLOOKUP(A221,'ECN-ECO_DATA'!B:V,18,FALSE))),"")</f>
        <v/>
      </c>
      <c r="N221" s="9" t="str">
        <f>IFERROR((IF(VLOOKUP(A221,'ECN-ECO_DATA'!B:V,19,FALSE)=0/1/1900,"",VLOOKUP(A221,'ECN-ECO_DATA'!B:V,19,FALSE))),"")</f>
        <v/>
      </c>
      <c r="O221" s="9" t="str">
        <f>IFERROR((IF(VLOOKUP(A221,'ECN-ECO_DATA'!B:V,20,FALSE)=0/1/1900,"",VLOOKUP(A221,'ECN-ECO_DATA'!B:V,20,FALSE))),"")</f>
        <v/>
      </c>
      <c r="P221" s="9" t="str">
        <f>IFERROR((IF(VLOOKUP(A221,'ECN-ECO_DATA'!B:V,21,FALSE)=0/1/1900,"",VLOOKUP(A221,'ECN-ECO_DATA'!B:V,21,FALSE))),"")</f>
        <v/>
      </c>
      <c r="Q221" s="10" t="str">
        <f t="shared" ca="1" si="15"/>
        <v/>
      </c>
      <c r="R221" s="4" t="str">
        <f t="shared" si="16"/>
        <v/>
      </c>
      <c r="S221" s="4" t="str">
        <f t="shared" si="17"/>
        <v/>
      </c>
      <c r="T221" s="4" t="str">
        <f t="shared" si="18"/>
        <v/>
      </c>
      <c r="U221" s="10" t="str">
        <f t="shared" si="19"/>
        <v/>
      </c>
      <c r="V221" s="4"/>
    </row>
    <row r="222" spans="2:22" x14ac:dyDescent="0.25">
      <c r="B222" s="4" t="str">
        <f>IFERROR(VLOOKUP(A222,'ECN-ECO_DATA'!B:G,4,FALSE),"")</f>
        <v/>
      </c>
      <c r="C222" s="9" t="str">
        <f>IFERROR(VLOOKUP(A222,'ECN-ECO_DATA'!B:G,5,FALSE),"")</f>
        <v/>
      </c>
      <c r="D222" s="9" t="str">
        <f ca="1">IFERROR((IF(VLOOKUP(A222,'ECN-ECO_DATA'!B:G,6,FALSE)=0/1/1900,TODAY(),VLOOKUP(A222,'ECN-ECO_DATA'!B:G,6,FALSE))),"")</f>
        <v/>
      </c>
      <c r="E222" s="9" t="str">
        <f>IFERROR((IF(VLOOKUP(A222,'ECN-ECO_DATA'!B:G,6,FALSE)=0/1/1900,"",VLOOKUP(A222,'ECN-ECO_DATA'!B:G,6,FALSE))),"")</f>
        <v/>
      </c>
      <c r="F222" s="9" t="str">
        <f>IFERROR((IF(VLOOKUP(A222,'ECN-ECO_DATA'!B:J,7,FALSE)=0/1/1900,"",VLOOKUP(A222,'ECN-ECO_DATA'!B:J,7,FALSE))),"")</f>
        <v/>
      </c>
      <c r="G222" s="9" t="str">
        <f>IFERROR((IF(VLOOKUP(A222,'ECN-ECO_DATA'!B:J,8,FALSE)=0/1/1900,"",VLOOKUP(A222,'ECN-ECO_DATA'!B:J,8,FALSE))),"")</f>
        <v/>
      </c>
      <c r="H222" s="9" t="str">
        <f>IFERROR((IF(VLOOKUP(A222,'ECN-ECO_DATA'!B:J,9,FALSE)=0/1/1900,"",VLOOKUP(A222,'ECN-ECO_DATA'!B:J,9,FALSE))),"")</f>
        <v/>
      </c>
      <c r="I222" s="10" t="str">
        <f>IFERROR((IF(VLOOKUP(A222,'ECN-ECO_DATA'!B:Q,13,FALSE)="","",VLOOKUP(A222,'ECN-ECO_DATA'!B:Q,13,FALSE))),"")</f>
        <v/>
      </c>
      <c r="J222" s="10" t="str">
        <f>IFERROR((IF(VLOOKUP(A222,'ECN-ECO_DATA'!B:Q,14,FALSE)="","",VLOOKUP(A222,'ECN-ECO_DATA'!B:Q,14,FALSE))),"")</f>
        <v/>
      </c>
      <c r="K222" s="10" t="str">
        <f>IFERROR((IF(VLOOKUP(A222,'ECN-ECO_DATA'!B:Q,15,FALSE)="","",VLOOKUP(A222,'ECN-ECO_DATA'!B:Q,15,FALSE))),"")</f>
        <v/>
      </c>
      <c r="L222" s="10" t="str">
        <f>IFERROR((IF(VLOOKUP(A222,'ECN-ECO_DATA'!B:Q,16,FALSE)="","",VLOOKUP(A222,'ECN-ECO_DATA'!B:Q,16,FALSE))),"")</f>
        <v/>
      </c>
      <c r="M222" s="9" t="str">
        <f>IFERROR((IF(VLOOKUP(A222,'ECN-ECO_DATA'!B:V,18,FALSE)=0/1/1900,"",VLOOKUP(A222,'ECN-ECO_DATA'!B:V,18,FALSE))),"")</f>
        <v/>
      </c>
      <c r="N222" s="9" t="str">
        <f>IFERROR((IF(VLOOKUP(A222,'ECN-ECO_DATA'!B:V,19,FALSE)=0/1/1900,"",VLOOKUP(A222,'ECN-ECO_DATA'!B:V,19,FALSE))),"")</f>
        <v/>
      </c>
      <c r="O222" s="9" t="str">
        <f>IFERROR((IF(VLOOKUP(A222,'ECN-ECO_DATA'!B:V,20,FALSE)=0/1/1900,"",VLOOKUP(A222,'ECN-ECO_DATA'!B:V,20,FALSE))),"")</f>
        <v/>
      </c>
      <c r="P222" s="9" t="str">
        <f>IFERROR((IF(VLOOKUP(A222,'ECN-ECO_DATA'!B:V,21,FALSE)=0/1/1900,"",VLOOKUP(A222,'ECN-ECO_DATA'!B:V,21,FALSE))),"")</f>
        <v/>
      </c>
      <c r="Q222" s="10" t="str">
        <f t="shared" ca="1" si="15"/>
        <v/>
      </c>
      <c r="R222" s="4" t="str">
        <f t="shared" si="16"/>
        <v/>
      </c>
      <c r="S222" s="4" t="str">
        <f t="shared" si="17"/>
        <v/>
      </c>
      <c r="T222" s="4" t="str">
        <f t="shared" si="18"/>
        <v/>
      </c>
      <c r="U222" s="10" t="str">
        <f t="shared" si="19"/>
        <v/>
      </c>
      <c r="V222" s="4"/>
    </row>
    <row r="223" spans="2:22" x14ac:dyDescent="0.25">
      <c r="B223" s="4" t="str">
        <f>IFERROR(VLOOKUP(A223,'ECN-ECO_DATA'!B:G,4,FALSE),"")</f>
        <v/>
      </c>
      <c r="C223" s="9" t="str">
        <f>IFERROR(VLOOKUP(A223,'ECN-ECO_DATA'!B:G,5,FALSE),"")</f>
        <v/>
      </c>
      <c r="D223" s="9" t="str">
        <f ca="1">IFERROR((IF(VLOOKUP(A223,'ECN-ECO_DATA'!B:G,6,FALSE)=0/1/1900,TODAY(),VLOOKUP(A223,'ECN-ECO_DATA'!B:G,6,FALSE))),"")</f>
        <v/>
      </c>
      <c r="E223" s="9" t="str">
        <f>IFERROR((IF(VLOOKUP(A223,'ECN-ECO_DATA'!B:G,6,FALSE)=0/1/1900,"",VLOOKUP(A223,'ECN-ECO_DATA'!B:G,6,FALSE))),"")</f>
        <v/>
      </c>
      <c r="F223" s="9" t="str">
        <f>IFERROR((IF(VLOOKUP(A223,'ECN-ECO_DATA'!B:J,7,FALSE)=0/1/1900,"",VLOOKUP(A223,'ECN-ECO_DATA'!B:J,7,FALSE))),"")</f>
        <v/>
      </c>
      <c r="G223" s="9" t="str">
        <f>IFERROR((IF(VLOOKUP(A223,'ECN-ECO_DATA'!B:J,8,FALSE)=0/1/1900,"",VLOOKUP(A223,'ECN-ECO_DATA'!B:J,8,FALSE))),"")</f>
        <v/>
      </c>
      <c r="H223" s="9" t="str">
        <f>IFERROR((IF(VLOOKUP(A223,'ECN-ECO_DATA'!B:J,9,FALSE)=0/1/1900,"",VLOOKUP(A223,'ECN-ECO_DATA'!B:J,9,FALSE))),"")</f>
        <v/>
      </c>
      <c r="I223" s="10" t="str">
        <f>IFERROR((IF(VLOOKUP(A223,'ECN-ECO_DATA'!B:Q,13,FALSE)="","",VLOOKUP(A223,'ECN-ECO_DATA'!B:Q,13,FALSE))),"")</f>
        <v/>
      </c>
      <c r="J223" s="10" t="str">
        <f>IFERROR((IF(VLOOKUP(A223,'ECN-ECO_DATA'!B:Q,14,FALSE)="","",VLOOKUP(A223,'ECN-ECO_DATA'!B:Q,14,FALSE))),"")</f>
        <v/>
      </c>
      <c r="K223" s="10" t="str">
        <f>IFERROR((IF(VLOOKUP(A223,'ECN-ECO_DATA'!B:Q,15,FALSE)="","",VLOOKUP(A223,'ECN-ECO_DATA'!B:Q,15,FALSE))),"")</f>
        <v/>
      </c>
      <c r="L223" s="10" t="str">
        <f>IFERROR((IF(VLOOKUP(A223,'ECN-ECO_DATA'!B:Q,16,FALSE)="","",VLOOKUP(A223,'ECN-ECO_DATA'!B:Q,16,FALSE))),"")</f>
        <v/>
      </c>
      <c r="M223" s="9" t="str">
        <f>IFERROR((IF(VLOOKUP(A223,'ECN-ECO_DATA'!B:V,18,FALSE)=0/1/1900,"",VLOOKUP(A223,'ECN-ECO_DATA'!B:V,18,FALSE))),"")</f>
        <v/>
      </c>
      <c r="N223" s="9" t="str">
        <f>IFERROR((IF(VLOOKUP(A223,'ECN-ECO_DATA'!B:V,19,FALSE)=0/1/1900,"",VLOOKUP(A223,'ECN-ECO_DATA'!B:V,19,FALSE))),"")</f>
        <v/>
      </c>
      <c r="O223" s="9" t="str">
        <f>IFERROR((IF(VLOOKUP(A223,'ECN-ECO_DATA'!B:V,20,FALSE)=0/1/1900,"",VLOOKUP(A223,'ECN-ECO_DATA'!B:V,20,FALSE))),"")</f>
        <v/>
      </c>
      <c r="P223" s="9" t="str">
        <f>IFERROR((IF(VLOOKUP(A223,'ECN-ECO_DATA'!B:V,21,FALSE)=0/1/1900,"",VLOOKUP(A223,'ECN-ECO_DATA'!B:V,21,FALSE))),"")</f>
        <v/>
      </c>
      <c r="Q223" s="10" t="str">
        <f t="shared" ca="1" si="15"/>
        <v/>
      </c>
      <c r="R223" s="4" t="str">
        <f t="shared" si="16"/>
        <v/>
      </c>
      <c r="S223" s="4" t="str">
        <f t="shared" si="17"/>
        <v/>
      </c>
      <c r="T223" s="4" t="str">
        <f t="shared" si="18"/>
        <v/>
      </c>
      <c r="U223" s="10" t="str">
        <f t="shared" si="19"/>
        <v/>
      </c>
      <c r="V223" s="4"/>
    </row>
    <row r="224" spans="2:22" x14ac:dyDescent="0.25">
      <c r="B224" s="4" t="str">
        <f>IFERROR(VLOOKUP(A224,'ECN-ECO_DATA'!B:G,4,FALSE),"")</f>
        <v/>
      </c>
      <c r="C224" s="9" t="str">
        <f>IFERROR(VLOOKUP(A224,'ECN-ECO_DATA'!B:G,5,FALSE),"")</f>
        <v/>
      </c>
      <c r="D224" s="9" t="str">
        <f ca="1">IFERROR((IF(VLOOKUP(A224,'ECN-ECO_DATA'!B:G,6,FALSE)=0/1/1900,TODAY(),VLOOKUP(A224,'ECN-ECO_DATA'!B:G,6,FALSE))),"")</f>
        <v/>
      </c>
      <c r="E224" s="9" t="str">
        <f>IFERROR((IF(VLOOKUP(A224,'ECN-ECO_DATA'!B:G,6,FALSE)=0/1/1900,"",VLOOKUP(A224,'ECN-ECO_DATA'!B:G,6,FALSE))),"")</f>
        <v/>
      </c>
      <c r="F224" s="9" t="str">
        <f>IFERROR((IF(VLOOKUP(A224,'ECN-ECO_DATA'!B:J,7,FALSE)=0/1/1900,"",VLOOKUP(A224,'ECN-ECO_DATA'!B:J,7,FALSE))),"")</f>
        <v/>
      </c>
      <c r="G224" s="9" t="str">
        <f>IFERROR((IF(VLOOKUP(A224,'ECN-ECO_DATA'!B:J,8,FALSE)=0/1/1900,"",VLOOKUP(A224,'ECN-ECO_DATA'!B:J,8,FALSE))),"")</f>
        <v/>
      </c>
      <c r="H224" s="9" t="str">
        <f>IFERROR((IF(VLOOKUP(A224,'ECN-ECO_DATA'!B:J,9,FALSE)=0/1/1900,"",VLOOKUP(A224,'ECN-ECO_DATA'!B:J,9,FALSE))),"")</f>
        <v/>
      </c>
      <c r="I224" s="10" t="str">
        <f>IFERROR((IF(VLOOKUP(A224,'ECN-ECO_DATA'!B:Q,13,FALSE)="","",VLOOKUP(A224,'ECN-ECO_DATA'!B:Q,13,FALSE))),"")</f>
        <v/>
      </c>
      <c r="J224" s="10" t="str">
        <f>IFERROR((IF(VLOOKUP(A224,'ECN-ECO_DATA'!B:Q,14,FALSE)="","",VLOOKUP(A224,'ECN-ECO_DATA'!B:Q,14,FALSE))),"")</f>
        <v/>
      </c>
      <c r="K224" s="10" t="str">
        <f>IFERROR((IF(VLOOKUP(A224,'ECN-ECO_DATA'!B:Q,15,FALSE)="","",VLOOKUP(A224,'ECN-ECO_DATA'!B:Q,15,FALSE))),"")</f>
        <v/>
      </c>
      <c r="L224" s="10" t="str">
        <f>IFERROR((IF(VLOOKUP(A224,'ECN-ECO_DATA'!B:Q,16,FALSE)="","",VLOOKUP(A224,'ECN-ECO_DATA'!B:Q,16,FALSE))),"")</f>
        <v/>
      </c>
      <c r="M224" s="9" t="str">
        <f>IFERROR((IF(VLOOKUP(A224,'ECN-ECO_DATA'!B:V,18,FALSE)=0/1/1900,"",VLOOKUP(A224,'ECN-ECO_DATA'!B:V,18,FALSE))),"")</f>
        <v/>
      </c>
      <c r="N224" s="9" t="str">
        <f>IFERROR((IF(VLOOKUP(A224,'ECN-ECO_DATA'!B:V,19,FALSE)=0/1/1900,"",VLOOKUP(A224,'ECN-ECO_DATA'!B:V,19,FALSE))),"")</f>
        <v/>
      </c>
      <c r="O224" s="9" t="str">
        <f>IFERROR((IF(VLOOKUP(A224,'ECN-ECO_DATA'!B:V,20,FALSE)=0/1/1900,"",VLOOKUP(A224,'ECN-ECO_DATA'!B:V,20,FALSE))),"")</f>
        <v/>
      </c>
      <c r="P224" s="9" t="str">
        <f>IFERROR((IF(VLOOKUP(A224,'ECN-ECO_DATA'!B:V,21,FALSE)=0/1/1900,"",VLOOKUP(A224,'ECN-ECO_DATA'!B:V,21,FALSE))),"")</f>
        <v/>
      </c>
      <c r="Q224" s="10" t="str">
        <f t="shared" ca="1" si="15"/>
        <v/>
      </c>
      <c r="R224" s="4" t="str">
        <f t="shared" si="16"/>
        <v/>
      </c>
      <c r="S224" s="4" t="str">
        <f t="shared" si="17"/>
        <v/>
      </c>
      <c r="T224" s="4" t="str">
        <f t="shared" si="18"/>
        <v/>
      </c>
      <c r="U224" s="10" t="str">
        <f t="shared" si="19"/>
        <v/>
      </c>
      <c r="V224" s="4"/>
    </row>
    <row r="225" spans="2:22" x14ac:dyDescent="0.25">
      <c r="B225" s="4" t="str">
        <f>IFERROR(VLOOKUP(A225,'ECN-ECO_DATA'!B:G,4,FALSE),"")</f>
        <v/>
      </c>
      <c r="C225" s="9" t="str">
        <f>IFERROR(VLOOKUP(A225,'ECN-ECO_DATA'!B:G,5,FALSE),"")</f>
        <v/>
      </c>
      <c r="D225" s="9" t="str">
        <f ca="1">IFERROR((IF(VLOOKUP(A225,'ECN-ECO_DATA'!B:G,6,FALSE)=0/1/1900,TODAY(),VLOOKUP(A225,'ECN-ECO_DATA'!B:G,6,FALSE))),"")</f>
        <v/>
      </c>
      <c r="E225" s="9" t="str">
        <f>IFERROR((IF(VLOOKUP(A225,'ECN-ECO_DATA'!B:G,6,FALSE)=0/1/1900,"",VLOOKUP(A225,'ECN-ECO_DATA'!B:G,6,FALSE))),"")</f>
        <v/>
      </c>
      <c r="F225" s="9" t="str">
        <f>IFERROR((IF(VLOOKUP(A225,'ECN-ECO_DATA'!B:J,7,FALSE)=0/1/1900,"",VLOOKUP(A225,'ECN-ECO_DATA'!B:J,7,FALSE))),"")</f>
        <v/>
      </c>
      <c r="G225" s="9" t="str">
        <f>IFERROR((IF(VLOOKUP(A225,'ECN-ECO_DATA'!B:J,8,FALSE)=0/1/1900,"",VLOOKUP(A225,'ECN-ECO_DATA'!B:J,8,FALSE))),"")</f>
        <v/>
      </c>
      <c r="H225" s="9" t="str">
        <f>IFERROR((IF(VLOOKUP(A225,'ECN-ECO_DATA'!B:J,9,FALSE)=0/1/1900,"",VLOOKUP(A225,'ECN-ECO_DATA'!B:J,9,FALSE))),"")</f>
        <v/>
      </c>
      <c r="I225" s="10" t="str">
        <f>IFERROR((IF(VLOOKUP(A225,'ECN-ECO_DATA'!B:Q,13,FALSE)="","",VLOOKUP(A225,'ECN-ECO_DATA'!B:Q,13,FALSE))),"")</f>
        <v/>
      </c>
      <c r="J225" s="10" t="str">
        <f>IFERROR((IF(VLOOKUP(A225,'ECN-ECO_DATA'!B:Q,14,FALSE)="","",VLOOKUP(A225,'ECN-ECO_DATA'!B:Q,14,FALSE))),"")</f>
        <v/>
      </c>
      <c r="K225" s="10" t="str">
        <f>IFERROR((IF(VLOOKUP(A225,'ECN-ECO_DATA'!B:Q,15,FALSE)="","",VLOOKUP(A225,'ECN-ECO_DATA'!B:Q,15,FALSE))),"")</f>
        <v/>
      </c>
      <c r="L225" s="10" t="str">
        <f>IFERROR((IF(VLOOKUP(A225,'ECN-ECO_DATA'!B:Q,16,FALSE)="","",VLOOKUP(A225,'ECN-ECO_DATA'!B:Q,16,FALSE))),"")</f>
        <v/>
      </c>
      <c r="M225" s="9" t="str">
        <f>IFERROR((IF(VLOOKUP(A225,'ECN-ECO_DATA'!B:V,18,FALSE)=0/1/1900,"",VLOOKUP(A225,'ECN-ECO_DATA'!B:V,18,FALSE))),"")</f>
        <v/>
      </c>
      <c r="N225" s="9" t="str">
        <f>IFERROR((IF(VLOOKUP(A225,'ECN-ECO_DATA'!B:V,19,FALSE)=0/1/1900,"",VLOOKUP(A225,'ECN-ECO_DATA'!B:V,19,FALSE))),"")</f>
        <v/>
      </c>
      <c r="O225" s="9" t="str">
        <f>IFERROR((IF(VLOOKUP(A225,'ECN-ECO_DATA'!B:V,20,FALSE)=0/1/1900,"",VLOOKUP(A225,'ECN-ECO_DATA'!B:V,20,FALSE))),"")</f>
        <v/>
      </c>
      <c r="P225" s="9" t="str">
        <f>IFERROR((IF(VLOOKUP(A225,'ECN-ECO_DATA'!B:V,21,FALSE)=0/1/1900,"",VLOOKUP(A225,'ECN-ECO_DATA'!B:V,21,FALSE))),"")</f>
        <v/>
      </c>
      <c r="Q225" s="10" t="str">
        <f t="shared" ca="1" si="15"/>
        <v/>
      </c>
      <c r="R225" s="4" t="str">
        <f t="shared" si="16"/>
        <v/>
      </c>
      <c r="S225" s="4" t="str">
        <f t="shared" si="17"/>
        <v/>
      </c>
      <c r="T225" s="4" t="str">
        <f t="shared" si="18"/>
        <v/>
      </c>
      <c r="U225" s="10" t="str">
        <f t="shared" si="19"/>
        <v/>
      </c>
      <c r="V225" s="4"/>
    </row>
    <row r="226" spans="2:22" x14ac:dyDescent="0.25">
      <c r="B226" s="4" t="str">
        <f>IFERROR(VLOOKUP(A226,'ECN-ECO_DATA'!B:G,4,FALSE),"")</f>
        <v/>
      </c>
      <c r="C226" s="9" t="str">
        <f>IFERROR(VLOOKUP(A226,'ECN-ECO_DATA'!B:G,5,FALSE),"")</f>
        <v/>
      </c>
      <c r="D226" s="9" t="str">
        <f ca="1">IFERROR((IF(VLOOKUP(A226,'ECN-ECO_DATA'!B:G,6,FALSE)=0/1/1900,TODAY(),VLOOKUP(A226,'ECN-ECO_DATA'!B:G,6,FALSE))),"")</f>
        <v/>
      </c>
      <c r="E226" s="9" t="str">
        <f>IFERROR((IF(VLOOKUP(A226,'ECN-ECO_DATA'!B:G,6,FALSE)=0/1/1900,"",VLOOKUP(A226,'ECN-ECO_DATA'!B:G,6,FALSE))),"")</f>
        <v/>
      </c>
      <c r="F226" s="9" t="str">
        <f>IFERROR((IF(VLOOKUP(A226,'ECN-ECO_DATA'!B:J,7,FALSE)=0/1/1900,"",VLOOKUP(A226,'ECN-ECO_DATA'!B:J,7,FALSE))),"")</f>
        <v/>
      </c>
      <c r="G226" s="9" t="str">
        <f>IFERROR((IF(VLOOKUP(A226,'ECN-ECO_DATA'!B:J,8,FALSE)=0/1/1900,"",VLOOKUP(A226,'ECN-ECO_DATA'!B:J,8,FALSE))),"")</f>
        <v/>
      </c>
      <c r="H226" s="9" t="str">
        <f>IFERROR((IF(VLOOKUP(A226,'ECN-ECO_DATA'!B:J,9,FALSE)=0/1/1900,"",VLOOKUP(A226,'ECN-ECO_DATA'!B:J,9,FALSE))),"")</f>
        <v/>
      </c>
      <c r="I226" s="10" t="str">
        <f>IFERROR((IF(VLOOKUP(A226,'ECN-ECO_DATA'!B:Q,13,FALSE)="","",VLOOKUP(A226,'ECN-ECO_DATA'!B:Q,13,FALSE))),"")</f>
        <v/>
      </c>
      <c r="J226" s="10" t="str">
        <f>IFERROR((IF(VLOOKUP(A226,'ECN-ECO_DATA'!B:Q,14,FALSE)="","",VLOOKUP(A226,'ECN-ECO_DATA'!B:Q,14,FALSE))),"")</f>
        <v/>
      </c>
      <c r="K226" s="10" t="str">
        <f>IFERROR((IF(VLOOKUP(A226,'ECN-ECO_DATA'!B:Q,15,FALSE)="","",VLOOKUP(A226,'ECN-ECO_DATA'!B:Q,15,FALSE))),"")</f>
        <v/>
      </c>
      <c r="L226" s="10" t="str">
        <f>IFERROR((IF(VLOOKUP(A226,'ECN-ECO_DATA'!B:Q,16,FALSE)="","",VLOOKUP(A226,'ECN-ECO_DATA'!B:Q,16,FALSE))),"")</f>
        <v/>
      </c>
      <c r="M226" s="9" t="str">
        <f>IFERROR((IF(VLOOKUP(A226,'ECN-ECO_DATA'!B:V,18,FALSE)=0/1/1900,"",VLOOKUP(A226,'ECN-ECO_DATA'!B:V,18,FALSE))),"")</f>
        <v/>
      </c>
      <c r="N226" s="9" t="str">
        <f>IFERROR((IF(VLOOKUP(A226,'ECN-ECO_DATA'!B:V,19,FALSE)=0/1/1900,"",VLOOKUP(A226,'ECN-ECO_DATA'!B:V,19,FALSE))),"")</f>
        <v/>
      </c>
      <c r="O226" s="9" t="str">
        <f>IFERROR((IF(VLOOKUP(A226,'ECN-ECO_DATA'!B:V,20,FALSE)=0/1/1900,"",VLOOKUP(A226,'ECN-ECO_DATA'!B:V,20,FALSE))),"")</f>
        <v/>
      </c>
      <c r="P226" s="9" t="str">
        <f>IFERROR((IF(VLOOKUP(A226,'ECN-ECO_DATA'!B:V,21,FALSE)=0/1/1900,"",VLOOKUP(A226,'ECN-ECO_DATA'!B:V,21,FALSE))),"")</f>
        <v/>
      </c>
      <c r="Q226" s="10" t="str">
        <f t="shared" ca="1" si="15"/>
        <v/>
      </c>
      <c r="R226" s="4" t="str">
        <f t="shared" si="16"/>
        <v/>
      </c>
      <c r="S226" s="4" t="str">
        <f t="shared" si="17"/>
        <v/>
      </c>
      <c r="T226" s="4" t="str">
        <f t="shared" si="18"/>
        <v/>
      </c>
      <c r="U226" s="10" t="str">
        <f t="shared" si="19"/>
        <v/>
      </c>
      <c r="V226" s="4"/>
    </row>
    <row r="227" spans="2:22" x14ac:dyDescent="0.25">
      <c r="B227" s="4" t="str">
        <f>IFERROR(VLOOKUP(A227,'ECN-ECO_DATA'!B:G,4,FALSE),"")</f>
        <v/>
      </c>
      <c r="C227" s="9" t="str">
        <f>IFERROR(VLOOKUP(A227,'ECN-ECO_DATA'!B:G,5,FALSE),"")</f>
        <v/>
      </c>
      <c r="D227" s="9" t="str">
        <f ca="1">IFERROR((IF(VLOOKUP(A227,'ECN-ECO_DATA'!B:G,6,FALSE)=0/1/1900,TODAY(),VLOOKUP(A227,'ECN-ECO_DATA'!B:G,6,FALSE))),"")</f>
        <v/>
      </c>
      <c r="E227" s="9" t="str">
        <f>IFERROR((IF(VLOOKUP(A227,'ECN-ECO_DATA'!B:G,6,FALSE)=0/1/1900,"",VLOOKUP(A227,'ECN-ECO_DATA'!B:G,6,FALSE))),"")</f>
        <v/>
      </c>
      <c r="F227" s="9" t="str">
        <f>IFERROR((IF(VLOOKUP(A227,'ECN-ECO_DATA'!B:J,7,FALSE)=0/1/1900,"",VLOOKUP(A227,'ECN-ECO_DATA'!B:J,7,FALSE))),"")</f>
        <v/>
      </c>
      <c r="G227" s="9" t="str">
        <f>IFERROR((IF(VLOOKUP(A227,'ECN-ECO_DATA'!B:J,8,FALSE)=0/1/1900,"",VLOOKUP(A227,'ECN-ECO_DATA'!B:J,8,FALSE))),"")</f>
        <v/>
      </c>
      <c r="H227" s="9" t="str">
        <f>IFERROR((IF(VLOOKUP(A227,'ECN-ECO_DATA'!B:J,9,FALSE)=0/1/1900,"",VLOOKUP(A227,'ECN-ECO_DATA'!B:J,9,FALSE))),"")</f>
        <v/>
      </c>
      <c r="I227" s="10" t="str">
        <f>IFERROR((IF(VLOOKUP(A227,'ECN-ECO_DATA'!B:Q,13,FALSE)="","",VLOOKUP(A227,'ECN-ECO_DATA'!B:Q,13,FALSE))),"")</f>
        <v/>
      </c>
      <c r="J227" s="10" t="str">
        <f>IFERROR((IF(VLOOKUP(A227,'ECN-ECO_DATA'!B:Q,14,FALSE)="","",VLOOKUP(A227,'ECN-ECO_DATA'!B:Q,14,FALSE))),"")</f>
        <v/>
      </c>
      <c r="K227" s="10" t="str">
        <f>IFERROR((IF(VLOOKUP(A227,'ECN-ECO_DATA'!B:Q,15,FALSE)="","",VLOOKUP(A227,'ECN-ECO_DATA'!B:Q,15,FALSE))),"")</f>
        <v/>
      </c>
      <c r="L227" s="10" t="str">
        <f>IFERROR((IF(VLOOKUP(A227,'ECN-ECO_DATA'!B:Q,16,FALSE)="","",VLOOKUP(A227,'ECN-ECO_DATA'!B:Q,16,FALSE))),"")</f>
        <v/>
      </c>
      <c r="M227" s="9" t="str">
        <f>IFERROR((IF(VLOOKUP(A227,'ECN-ECO_DATA'!B:V,18,FALSE)=0/1/1900,"",VLOOKUP(A227,'ECN-ECO_DATA'!B:V,18,FALSE))),"")</f>
        <v/>
      </c>
      <c r="N227" s="9" t="str">
        <f>IFERROR((IF(VLOOKUP(A227,'ECN-ECO_DATA'!B:V,19,FALSE)=0/1/1900,"",VLOOKUP(A227,'ECN-ECO_DATA'!B:V,19,FALSE))),"")</f>
        <v/>
      </c>
      <c r="O227" s="9" t="str">
        <f>IFERROR((IF(VLOOKUP(A227,'ECN-ECO_DATA'!B:V,20,FALSE)=0/1/1900,"",VLOOKUP(A227,'ECN-ECO_DATA'!B:V,20,FALSE))),"")</f>
        <v/>
      </c>
      <c r="P227" s="9" t="str">
        <f>IFERROR((IF(VLOOKUP(A227,'ECN-ECO_DATA'!B:V,21,FALSE)=0/1/1900,"",VLOOKUP(A227,'ECN-ECO_DATA'!B:V,21,FALSE))),"")</f>
        <v/>
      </c>
      <c r="Q227" s="10" t="str">
        <f t="shared" ca="1" si="15"/>
        <v/>
      </c>
      <c r="R227" s="4" t="str">
        <f t="shared" si="16"/>
        <v/>
      </c>
      <c r="S227" s="4" t="str">
        <f t="shared" si="17"/>
        <v/>
      </c>
      <c r="T227" s="4" t="str">
        <f t="shared" si="18"/>
        <v/>
      </c>
      <c r="U227" s="10" t="str">
        <f t="shared" si="19"/>
        <v/>
      </c>
      <c r="V227" s="4"/>
    </row>
    <row r="228" spans="2:22" x14ac:dyDescent="0.25">
      <c r="B228" s="4" t="str">
        <f>IFERROR(VLOOKUP(A228,'ECN-ECO_DATA'!B:G,4,FALSE),"")</f>
        <v/>
      </c>
      <c r="C228" s="9" t="str">
        <f>IFERROR(VLOOKUP(A228,'ECN-ECO_DATA'!B:G,5,FALSE),"")</f>
        <v/>
      </c>
      <c r="D228" s="9" t="str">
        <f ca="1">IFERROR((IF(VLOOKUP(A228,'ECN-ECO_DATA'!B:G,6,FALSE)=0/1/1900,TODAY(),VLOOKUP(A228,'ECN-ECO_DATA'!B:G,6,FALSE))),"")</f>
        <v/>
      </c>
      <c r="E228" s="9" t="str">
        <f>IFERROR((IF(VLOOKUP(A228,'ECN-ECO_DATA'!B:G,6,FALSE)=0/1/1900,"",VLOOKUP(A228,'ECN-ECO_DATA'!B:G,6,FALSE))),"")</f>
        <v/>
      </c>
      <c r="F228" s="9" t="str">
        <f>IFERROR((IF(VLOOKUP(A228,'ECN-ECO_DATA'!B:J,7,FALSE)=0/1/1900,"",VLOOKUP(A228,'ECN-ECO_DATA'!B:J,7,FALSE))),"")</f>
        <v/>
      </c>
      <c r="G228" s="9" t="str">
        <f>IFERROR((IF(VLOOKUP(A228,'ECN-ECO_DATA'!B:J,8,FALSE)=0/1/1900,"",VLOOKUP(A228,'ECN-ECO_DATA'!B:J,8,FALSE))),"")</f>
        <v/>
      </c>
      <c r="H228" s="9" t="str">
        <f>IFERROR((IF(VLOOKUP(A228,'ECN-ECO_DATA'!B:J,9,FALSE)=0/1/1900,"",VLOOKUP(A228,'ECN-ECO_DATA'!B:J,9,FALSE))),"")</f>
        <v/>
      </c>
      <c r="I228" s="10" t="str">
        <f>IFERROR((IF(VLOOKUP(A228,'ECN-ECO_DATA'!B:Q,13,FALSE)="","",VLOOKUP(A228,'ECN-ECO_DATA'!B:Q,13,FALSE))),"")</f>
        <v/>
      </c>
      <c r="J228" s="10" t="str">
        <f>IFERROR((IF(VLOOKUP(A228,'ECN-ECO_DATA'!B:Q,14,FALSE)="","",VLOOKUP(A228,'ECN-ECO_DATA'!B:Q,14,FALSE))),"")</f>
        <v/>
      </c>
      <c r="K228" s="10" t="str">
        <f>IFERROR((IF(VLOOKUP(A228,'ECN-ECO_DATA'!B:Q,15,FALSE)="","",VLOOKUP(A228,'ECN-ECO_DATA'!B:Q,15,FALSE))),"")</f>
        <v/>
      </c>
      <c r="L228" s="10" t="str">
        <f>IFERROR((IF(VLOOKUP(A228,'ECN-ECO_DATA'!B:Q,16,FALSE)="","",VLOOKUP(A228,'ECN-ECO_DATA'!B:Q,16,FALSE))),"")</f>
        <v/>
      </c>
      <c r="M228" s="9" t="str">
        <f>IFERROR((IF(VLOOKUP(A228,'ECN-ECO_DATA'!B:V,18,FALSE)=0/1/1900,"",VLOOKUP(A228,'ECN-ECO_DATA'!B:V,18,FALSE))),"")</f>
        <v/>
      </c>
      <c r="N228" s="9" t="str">
        <f>IFERROR((IF(VLOOKUP(A228,'ECN-ECO_DATA'!B:V,19,FALSE)=0/1/1900,"",VLOOKUP(A228,'ECN-ECO_DATA'!B:V,19,FALSE))),"")</f>
        <v/>
      </c>
      <c r="O228" s="9" t="str">
        <f>IFERROR((IF(VLOOKUP(A228,'ECN-ECO_DATA'!B:V,20,FALSE)=0/1/1900,"",VLOOKUP(A228,'ECN-ECO_DATA'!B:V,20,FALSE))),"")</f>
        <v/>
      </c>
      <c r="P228" s="9" t="str">
        <f>IFERROR((IF(VLOOKUP(A228,'ECN-ECO_DATA'!B:V,21,FALSE)=0/1/1900,"",VLOOKUP(A228,'ECN-ECO_DATA'!B:V,21,FALSE))),"")</f>
        <v/>
      </c>
      <c r="Q228" s="10" t="str">
        <f t="shared" ca="1" si="15"/>
        <v/>
      </c>
      <c r="R228" s="4" t="str">
        <f t="shared" si="16"/>
        <v/>
      </c>
      <c r="S228" s="4" t="str">
        <f t="shared" si="17"/>
        <v/>
      </c>
      <c r="T228" s="4" t="str">
        <f t="shared" si="18"/>
        <v/>
      </c>
      <c r="U228" s="10" t="str">
        <f t="shared" si="19"/>
        <v/>
      </c>
      <c r="V228" s="4"/>
    </row>
    <row r="229" spans="2:22" x14ac:dyDescent="0.25">
      <c r="B229" s="4" t="str">
        <f>IFERROR(VLOOKUP(A229,'ECN-ECO_DATA'!B:G,4,FALSE),"")</f>
        <v/>
      </c>
      <c r="C229" s="9" t="str">
        <f>IFERROR(VLOOKUP(A229,'ECN-ECO_DATA'!B:G,5,FALSE),"")</f>
        <v/>
      </c>
      <c r="D229" s="9" t="str">
        <f ca="1">IFERROR((IF(VLOOKUP(A229,'ECN-ECO_DATA'!B:G,6,FALSE)=0/1/1900,TODAY(),VLOOKUP(A229,'ECN-ECO_DATA'!B:G,6,FALSE))),"")</f>
        <v/>
      </c>
      <c r="E229" s="9" t="str">
        <f>IFERROR((IF(VLOOKUP(A229,'ECN-ECO_DATA'!B:G,6,FALSE)=0/1/1900,"",VLOOKUP(A229,'ECN-ECO_DATA'!B:G,6,FALSE))),"")</f>
        <v/>
      </c>
      <c r="F229" s="9" t="str">
        <f>IFERROR((IF(VLOOKUP(A229,'ECN-ECO_DATA'!B:J,7,FALSE)=0/1/1900,"",VLOOKUP(A229,'ECN-ECO_DATA'!B:J,7,FALSE))),"")</f>
        <v/>
      </c>
      <c r="G229" s="9" t="str">
        <f>IFERROR((IF(VLOOKUP(A229,'ECN-ECO_DATA'!B:J,8,FALSE)=0/1/1900,"",VLOOKUP(A229,'ECN-ECO_DATA'!B:J,8,FALSE))),"")</f>
        <v/>
      </c>
      <c r="H229" s="9" t="str">
        <f>IFERROR((IF(VLOOKUP(A229,'ECN-ECO_DATA'!B:J,9,FALSE)=0/1/1900,"",VLOOKUP(A229,'ECN-ECO_DATA'!B:J,9,FALSE))),"")</f>
        <v/>
      </c>
      <c r="I229" s="10" t="str">
        <f>IFERROR((IF(VLOOKUP(A229,'ECN-ECO_DATA'!B:Q,13,FALSE)="","",VLOOKUP(A229,'ECN-ECO_DATA'!B:Q,13,FALSE))),"")</f>
        <v/>
      </c>
      <c r="J229" s="10" t="str">
        <f>IFERROR((IF(VLOOKUP(A229,'ECN-ECO_DATA'!B:Q,14,FALSE)="","",VLOOKUP(A229,'ECN-ECO_DATA'!B:Q,14,FALSE))),"")</f>
        <v/>
      </c>
      <c r="K229" s="10" t="str">
        <f>IFERROR((IF(VLOOKUP(A229,'ECN-ECO_DATA'!B:Q,15,FALSE)="","",VLOOKUP(A229,'ECN-ECO_DATA'!B:Q,15,FALSE))),"")</f>
        <v/>
      </c>
      <c r="L229" s="10" t="str">
        <f>IFERROR((IF(VLOOKUP(A229,'ECN-ECO_DATA'!B:Q,16,FALSE)="","",VLOOKUP(A229,'ECN-ECO_DATA'!B:Q,16,FALSE))),"")</f>
        <v/>
      </c>
      <c r="M229" s="9" t="str">
        <f>IFERROR((IF(VLOOKUP(A229,'ECN-ECO_DATA'!B:V,18,FALSE)=0/1/1900,"",VLOOKUP(A229,'ECN-ECO_DATA'!B:V,18,FALSE))),"")</f>
        <v/>
      </c>
      <c r="N229" s="9" t="str">
        <f>IFERROR((IF(VLOOKUP(A229,'ECN-ECO_DATA'!B:V,19,FALSE)=0/1/1900,"",VLOOKUP(A229,'ECN-ECO_DATA'!B:V,19,FALSE))),"")</f>
        <v/>
      </c>
      <c r="O229" s="9" t="str">
        <f>IFERROR((IF(VLOOKUP(A229,'ECN-ECO_DATA'!B:V,20,FALSE)=0/1/1900,"",VLOOKUP(A229,'ECN-ECO_DATA'!B:V,20,FALSE))),"")</f>
        <v/>
      </c>
      <c r="P229" s="9" t="str">
        <f>IFERROR((IF(VLOOKUP(A229,'ECN-ECO_DATA'!B:V,21,FALSE)=0/1/1900,"",VLOOKUP(A229,'ECN-ECO_DATA'!B:V,21,FALSE))),"")</f>
        <v/>
      </c>
      <c r="Q229" s="10" t="str">
        <f t="shared" ca="1" si="15"/>
        <v/>
      </c>
      <c r="R229" s="4" t="str">
        <f t="shared" si="16"/>
        <v/>
      </c>
      <c r="S229" s="4" t="str">
        <f t="shared" si="17"/>
        <v/>
      </c>
      <c r="T229" s="4" t="str">
        <f t="shared" si="18"/>
        <v/>
      </c>
      <c r="U229" s="10" t="str">
        <f t="shared" si="19"/>
        <v/>
      </c>
      <c r="V229" s="4"/>
    </row>
    <row r="230" spans="2:22" x14ac:dyDescent="0.25">
      <c r="B230" s="4" t="str">
        <f>IFERROR(VLOOKUP(A230,'ECN-ECO_DATA'!B:G,4,FALSE),"")</f>
        <v/>
      </c>
      <c r="C230" s="9" t="str">
        <f>IFERROR(VLOOKUP(A230,'ECN-ECO_DATA'!B:G,5,FALSE),"")</f>
        <v/>
      </c>
      <c r="D230" s="9" t="str">
        <f ca="1">IFERROR((IF(VLOOKUP(A230,'ECN-ECO_DATA'!B:G,6,FALSE)=0/1/1900,TODAY(),VLOOKUP(A230,'ECN-ECO_DATA'!B:G,6,FALSE))),"")</f>
        <v/>
      </c>
      <c r="E230" s="9" t="str">
        <f>IFERROR((IF(VLOOKUP(A230,'ECN-ECO_DATA'!B:G,6,FALSE)=0/1/1900,"",VLOOKUP(A230,'ECN-ECO_DATA'!B:G,6,FALSE))),"")</f>
        <v/>
      </c>
      <c r="F230" s="9" t="str">
        <f>IFERROR((IF(VLOOKUP(A230,'ECN-ECO_DATA'!B:J,7,FALSE)=0/1/1900,"",VLOOKUP(A230,'ECN-ECO_DATA'!B:J,7,FALSE))),"")</f>
        <v/>
      </c>
      <c r="G230" s="9" t="str">
        <f>IFERROR((IF(VLOOKUP(A230,'ECN-ECO_DATA'!B:J,8,FALSE)=0/1/1900,"",VLOOKUP(A230,'ECN-ECO_DATA'!B:J,8,FALSE))),"")</f>
        <v/>
      </c>
      <c r="H230" s="9" t="str">
        <f>IFERROR((IF(VLOOKUP(A230,'ECN-ECO_DATA'!B:J,9,FALSE)=0/1/1900,"",VLOOKUP(A230,'ECN-ECO_DATA'!B:J,9,FALSE))),"")</f>
        <v/>
      </c>
      <c r="I230" s="10" t="str">
        <f>IFERROR((IF(VLOOKUP(A230,'ECN-ECO_DATA'!B:Q,13,FALSE)="","",VLOOKUP(A230,'ECN-ECO_DATA'!B:Q,13,FALSE))),"")</f>
        <v/>
      </c>
      <c r="J230" s="10" t="str">
        <f>IFERROR((IF(VLOOKUP(A230,'ECN-ECO_DATA'!B:Q,14,FALSE)="","",VLOOKUP(A230,'ECN-ECO_DATA'!B:Q,14,FALSE))),"")</f>
        <v/>
      </c>
      <c r="K230" s="10" t="str">
        <f>IFERROR((IF(VLOOKUP(A230,'ECN-ECO_DATA'!B:Q,15,FALSE)="","",VLOOKUP(A230,'ECN-ECO_DATA'!B:Q,15,FALSE))),"")</f>
        <v/>
      </c>
      <c r="L230" s="10" t="str">
        <f>IFERROR((IF(VLOOKUP(A230,'ECN-ECO_DATA'!B:Q,16,FALSE)="","",VLOOKUP(A230,'ECN-ECO_DATA'!B:Q,16,FALSE))),"")</f>
        <v/>
      </c>
      <c r="M230" s="9" t="str">
        <f>IFERROR((IF(VLOOKUP(A230,'ECN-ECO_DATA'!B:V,18,FALSE)=0/1/1900,"",VLOOKUP(A230,'ECN-ECO_DATA'!B:V,18,FALSE))),"")</f>
        <v/>
      </c>
      <c r="N230" s="9" t="str">
        <f>IFERROR((IF(VLOOKUP(A230,'ECN-ECO_DATA'!B:V,19,FALSE)=0/1/1900,"",VLOOKUP(A230,'ECN-ECO_DATA'!B:V,19,FALSE))),"")</f>
        <v/>
      </c>
      <c r="O230" s="9" t="str">
        <f>IFERROR((IF(VLOOKUP(A230,'ECN-ECO_DATA'!B:V,20,FALSE)=0/1/1900,"",VLOOKUP(A230,'ECN-ECO_DATA'!B:V,20,FALSE))),"")</f>
        <v/>
      </c>
      <c r="P230" s="9" t="str">
        <f>IFERROR((IF(VLOOKUP(A230,'ECN-ECO_DATA'!B:V,21,FALSE)=0/1/1900,"",VLOOKUP(A230,'ECN-ECO_DATA'!B:V,21,FALSE))),"")</f>
        <v/>
      </c>
      <c r="Q230" s="10" t="str">
        <f t="shared" ca="1" si="15"/>
        <v/>
      </c>
      <c r="R230" s="4" t="str">
        <f t="shared" si="16"/>
        <v/>
      </c>
      <c r="S230" s="4" t="str">
        <f t="shared" si="17"/>
        <v/>
      </c>
      <c r="T230" s="4" t="str">
        <f t="shared" si="18"/>
        <v/>
      </c>
      <c r="U230" s="10" t="str">
        <f t="shared" si="19"/>
        <v/>
      </c>
      <c r="V230" s="4"/>
    </row>
    <row r="231" spans="2:22" x14ac:dyDescent="0.25">
      <c r="B231" s="4" t="str">
        <f>IFERROR(VLOOKUP(A231,'ECN-ECO_DATA'!B:G,4,FALSE),"")</f>
        <v/>
      </c>
      <c r="C231" s="9" t="str">
        <f>IFERROR(VLOOKUP(A231,'ECN-ECO_DATA'!B:G,5,FALSE),"")</f>
        <v/>
      </c>
      <c r="D231" s="9" t="str">
        <f ca="1">IFERROR((IF(VLOOKUP(A231,'ECN-ECO_DATA'!B:G,6,FALSE)=0/1/1900,TODAY(),VLOOKUP(A231,'ECN-ECO_DATA'!B:G,6,FALSE))),"")</f>
        <v/>
      </c>
      <c r="E231" s="9" t="str">
        <f>IFERROR((IF(VLOOKUP(A231,'ECN-ECO_DATA'!B:G,6,FALSE)=0/1/1900,"",VLOOKUP(A231,'ECN-ECO_DATA'!B:G,6,FALSE))),"")</f>
        <v/>
      </c>
      <c r="F231" s="9" t="str">
        <f>IFERROR((IF(VLOOKUP(A231,'ECN-ECO_DATA'!B:J,7,FALSE)=0/1/1900,"",VLOOKUP(A231,'ECN-ECO_DATA'!B:J,7,FALSE))),"")</f>
        <v/>
      </c>
      <c r="G231" s="9" t="str">
        <f>IFERROR((IF(VLOOKUP(A231,'ECN-ECO_DATA'!B:J,8,FALSE)=0/1/1900,"",VLOOKUP(A231,'ECN-ECO_DATA'!B:J,8,FALSE))),"")</f>
        <v/>
      </c>
      <c r="H231" s="9" t="str">
        <f>IFERROR((IF(VLOOKUP(A231,'ECN-ECO_DATA'!B:J,9,FALSE)=0/1/1900,"",VLOOKUP(A231,'ECN-ECO_DATA'!B:J,9,FALSE))),"")</f>
        <v/>
      </c>
      <c r="I231" s="10" t="str">
        <f>IFERROR((IF(VLOOKUP(A231,'ECN-ECO_DATA'!B:Q,13,FALSE)="","",VLOOKUP(A231,'ECN-ECO_DATA'!B:Q,13,FALSE))),"")</f>
        <v/>
      </c>
      <c r="J231" s="10" t="str">
        <f>IFERROR((IF(VLOOKUP(A231,'ECN-ECO_DATA'!B:Q,14,FALSE)="","",VLOOKUP(A231,'ECN-ECO_DATA'!B:Q,14,FALSE))),"")</f>
        <v/>
      </c>
      <c r="K231" s="10" t="str">
        <f>IFERROR((IF(VLOOKUP(A231,'ECN-ECO_DATA'!B:Q,15,FALSE)="","",VLOOKUP(A231,'ECN-ECO_DATA'!B:Q,15,FALSE))),"")</f>
        <v/>
      </c>
      <c r="L231" s="10" t="str">
        <f>IFERROR((IF(VLOOKUP(A231,'ECN-ECO_DATA'!B:Q,16,FALSE)="","",VLOOKUP(A231,'ECN-ECO_DATA'!B:Q,16,FALSE))),"")</f>
        <v/>
      </c>
      <c r="M231" s="9" t="str">
        <f>IFERROR((IF(VLOOKUP(A231,'ECN-ECO_DATA'!B:V,18,FALSE)=0/1/1900,"",VLOOKUP(A231,'ECN-ECO_DATA'!B:V,18,FALSE))),"")</f>
        <v/>
      </c>
      <c r="N231" s="9" t="str">
        <f>IFERROR((IF(VLOOKUP(A231,'ECN-ECO_DATA'!B:V,19,FALSE)=0/1/1900,"",VLOOKUP(A231,'ECN-ECO_DATA'!B:V,19,FALSE))),"")</f>
        <v/>
      </c>
      <c r="O231" s="9" t="str">
        <f>IFERROR((IF(VLOOKUP(A231,'ECN-ECO_DATA'!B:V,20,FALSE)=0/1/1900,"",VLOOKUP(A231,'ECN-ECO_DATA'!B:V,20,FALSE))),"")</f>
        <v/>
      </c>
      <c r="P231" s="9" t="str">
        <f>IFERROR((IF(VLOOKUP(A231,'ECN-ECO_DATA'!B:V,21,FALSE)=0/1/1900,"",VLOOKUP(A231,'ECN-ECO_DATA'!B:V,21,FALSE))),"")</f>
        <v/>
      </c>
      <c r="Q231" s="10" t="str">
        <f t="shared" ca="1" si="15"/>
        <v/>
      </c>
      <c r="R231" s="4" t="str">
        <f t="shared" si="16"/>
        <v/>
      </c>
      <c r="S231" s="4" t="str">
        <f t="shared" si="17"/>
        <v/>
      </c>
      <c r="T231" s="4" t="str">
        <f t="shared" si="18"/>
        <v/>
      </c>
      <c r="U231" s="10" t="str">
        <f t="shared" si="19"/>
        <v/>
      </c>
      <c r="V231" s="4"/>
    </row>
    <row r="232" spans="2:22" x14ac:dyDescent="0.25">
      <c r="B232" s="4" t="str">
        <f>IFERROR(VLOOKUP(A232,'ECN-ECO_DATA'!B:G,4,FALSE),"")</f>
        <v/>
      </c>
      <c r="C232" s="9" t="str">
        <f>IFERROR(VLOOKUP(A232,'ECN-ECO_DATA'!B:G,5,FALSE),"")</f>
        <v/>
      </c>
      <c r="D232" s="9" t="str">
        <f ca="1">IFERROR((IF(VLOOKUP(A232,'ECN-ECO_DATA'!B:G,6,FALSE)=0/1/1900,TODAY(),VLOOKUP(A232,'ECN-ECO_DATA'!B:G,6,FALSE))),"")</f>
        <v/>
      </c>
      <c r="E232" s="9" t="str">
        <f>IFERROR((IF(VLOOKUP(A232,'ECN-ECO_DATA'!B:G,6,FALSE)=0/1/1900,"",VLOOKUP(A232,'ECN-ECO_DATA'!B:G,6,FALSE))),"")</f>
        <v/>
      </c>
      <c r="F232" s="9" t="str">
        <f>IFERROR((IF(VLOOKUP(A232,'ECN-ECO_DATA'!B:J,7,FALSE)=0/1/1900,"",VLOOKUP(A232,'ECN-ECO_DATA'!B:J,7,FALSE))),"")</f>
        <v/>
      </c>
      <c r="G232" s="9" t="str">
        <f>IFERROR((IF(VLOOKUP(A232,'ECN-ECO_DATA'!B:J,8,FALSE)=0/1/1900,"",VLOOKUP(A232,'ECN-ECO_DATA'!B:J,8,FALSE))),"")</f>
        <v/>
      </c>
      <c r="H232" s="9" t="str">
        <f>IFERROR((IF(VLOOKUP(A232,'ECN-ECO_DATA'!B:J,9,FALSE)=0/1/1900,"",VLOOKUP(A232,'ECN-ECO_DATA'!B:J,9,FALSE))),"")</f>
        <v/>
      </c>
      <c r="I232" s="10" t="str">
        <f>IFERROR((IF(VLOOKUP(A232,'ECN-ECO_DATA'!B:Q,13,FALSE)="","",VLOOKUP(A232,'ECN-ECO_DATA'!B:Q,13,FALSE))),"")</f>
        <v/>
      </c>
      <c r="J232" s="10" t="str">
        <f>IFERROR((IF(VLOOKUP(A232,'ECN-ECO_DATA'!B:Q,14,FALSE)="","",VLOOKUP(A232,'ECN-ECO_DATA'!B:Q,14,FALSE))),"")</f>
        <v/>
      </c>
      <c r="K232" s="10" t="str">
        <f>IFERROR((IF(VLOOKUP(A232,'ECN-ECO_DATA'!B:Q,15,FALSE)="","",VLOOKUP(A232,'ECN-ECO_DATA'!B:Q,15,FALSE))),"")</f>
        <v/>
      </c>
      <c r="L232" s="10" t="str">
        <f>IFERROR((IF(VLOOKUP(A232,'ECN-ECO_DATA'!B:Q,16,FALSE)="","",VLOOKUP(A232,'ECN-ECO_DATA'!B:Q,16,FALSE))),"")</f>
        <v/>
      </c>
      <c r="M232" s="9" t="str">
        <f>IFERROR((IF(VLOOKUP(A232,'ECN-ECO_DATA'!B:V,18,FALSE)=0/1/1900,"",VLOOKUP(A232,'ECN-ECO_DATA'!B:V,18,FALSE))),"")</f>
        <v/>
      </c>
      <c r="N232" s="9" t="str">
        <f>IFERROR((IF(VLOOKUP(A232,'ECN-ECO_DATA'!B:V,19,FALSE)=0/1/1900,"",VLOOKUP(A232,'ECN-ECO_DATA'!B:V,19,FALSE))),"")</f>
        <v/>
      </c>
      <c r="O232" s="9" t="str">
        <f>IFERROR((IF(VLOOKUP(A232,'ECN-ECO_DATA'!B:V,20,FALSE)=0/1/1900,"",VLOOKUP(A232,'ECN-ECO_DATA'!B:V,20,FALSE))),"")</f>
        <v/>
      </c>
      <c r="P232" s="9" t="str">
        <f>IFERROR((IF(VLOOKUP(A232,'ECN-ECO_DATA'!B:V,21,FALSE)=0/1/1900,"",VLOOKUP(A232,'ECN-ECO_DATA'!B:V,21,FALSE))),"")</f>
        <v/>
      </c>
      <c r="Q232" s="10" t="str">
        <f t="shared" ca="1" si="15"/>
        <v/>
      </c>
      <c r="R232" s="4" t="str">
        <f t="shared" si="16"/>
        <v/>
      </c>
      <c r="S232" s="4" t="str">
        <f t="shared" si="17"/>
        <v/>
      </c>
      <c r="T232" s="4" t="str">
        <f t="shared" si="18"/>
        <v/>
      </c>
      <c r="U232" s="10" t="str">
        <f t="shared" si="19"/>
        <v/>
      </c>
      <c r="V232" s="4"/>
    </row>
    <row r="233" spans="2:22" x14ac:dyDescent="0.25">
      <c r="B233" s="4" t="str">
        <f>IFERROR(VLOOKUP(A233,'ECN-ECO_DATA'!B:G,4,FALSE),"")</f>
        <v/>
      </c>
      <c r="C233" s="9" t="str">
        <f>IFERROR(VLOOKUP(A233,'ECN-ECO_DATA'!B:G,5,FALSE),"")</f>
        <v/>
      </c>
      <c r="D233" s="9" t="str">
        <f ca="1">IFERROR((IF(VLOOKUP(A233,'ECN-ECO_DATA'!B:G,6,FALSE)=0/1/1900,TODAY(),VLOOKUP(A233,'ECN-ECO_DATA'!B:G,6,FALSE))),"")</f>
        <v/>
      </c>
      <c r="E233" s="9" t="str">
        <f>IFERROR((IF(VLOOKUP(A233,'ECN-ECO_DATA'!B:G,6,FALSE)=0/1/1900,"",VLOOKUP(A233,'ECN-ECO_DATA'!B:G,6,FALSE))),"")</f>
        <v/>
      </c>
      <c r="F233" s="9" t="str">
        <f>IFERROR((IF(VLOOKUP(A233,'ECN-ECO_DATA'!B:J,7,FALSE)=0/1/1900,"",VLOOKUP(A233,'ECN-ECO_DATA'!B:J,7,FALSE))),"")</f>
        <v/>
      </c>
      <c r="G233" s="9" t="str">
        <f>IFERROR((IF(VLOOKUP(A233,'ECN-ECO_DATA'!B:J,8,FALSE)=0/1/1900,"",VLOOKUP(A233,'ECN-ECO_DATA'!B:J,8,FALSE))),"")</f>
        <v/>
      </c>
      <c r="H233" s="9" t="str">
        <f>IFERROR((IF(VLOOKUP(A233,'ECN-ECO_DATA'!B:J,9,FALSE)=0/1/1900,"",VLOOKUP(A233,'ECN-ECO_DATA'!B:J,9,FALSE))),"")</f>
        <v/>
      </c>
      <c r="I233" s="10" t="str">
        <f>IFERROR((IF(VLOOKUP(A233,'ECN-ECO_DATA'!B:Q,13,FALSE)="","",VLOOKUP(A233,'ECN-ECO_DATA'!B:Q,13,FALSE))),"")</f>
        <v/>
      </c>
      <c r="J233" s="10" t="str">
        <f>IFERROR((IF(VLOOKUP(A233,'ECN-ECO_DATA'!B:Q,14,FALSE)="","",VLOOKUP(A233,'ECN-ECO_DATA'!B:Q,14,FALSE))),"")</f>
        <v/>
      </c>
      <c r="K233" s="10" t="str">
        <f>IFERROR((IF(VLOOKUP(A233,'ECN-ECO_DATA'!B:Q,15,FALSE)="","",VLOOKUP(A233,'ECN-ECO_DATA'!B:Q,15,FALSE))),"")</f>
        <v/>
      </c>
      <c r="L233" s="10" t="str">
        <f>IFERROR((IF(VLOOKUP(A233,'ECN-ECO_DATA'!B:Q,16,FALSE)="","",VLOOKUP(A233,'ECN-ECO_DATA'!B:Q,16,FALSE))),"")</f>
        <v/>
      </c>
      <c r="M233" s="9" t="str">
        <f>IFERROR((IF(VLOOKUP(A233,'ECN-ECO_DATA'!B:V,18,FALSE)=0/1/1900,"",VLOOKUP(A233,'ECN-ECO_DATA'!B:V,18,FALSE))),"")</f>
        <v/>
      </c>
      <c r="N233" s="9" t="str">
        <f>IFERROR((IF(VLOOKUP(A233,'ECN-ECO_DATA'!B:V,19,FALSE)=0/1/1900,"",VLOOKUP(A233,'ECN-ECO_DATA'!B:V,19,FALSE))),"")</f>
        <v/>
      </c>
      <c r="O233" s="9" t="str">
        <f>IFERROR((IF(VLOOKUP(A233,'ECN-ECO_DATA'!B:V,20,FALSE)=0/1/1900,"",VLOOKUP(A233,'ECN-ECO_DATA'!B:V,20,FALSE))),"")</f>
        <v/>
      </c>
      <c r="P233" s="9" t="str">
        <f>IFERROR((IF(VLOOKUP(A233,'ECN-ECO_DATA'!B:V,21,FALSE)=0/1/1900,"",VLOOKUP(A233,'ECN-ECO_DATA'!B:V,21,FALSE))),"")</f>
        <v/>
      </c>
      <c r="Q233" s="10" t="str">
        <f t="shared" ca="1" si="15"/>
        <v/>
      </c>
      <c r="R233" s="4" t="str">
        <f t="shared" si="16"/>
        <v/>
      </c>
      <c r="S233" s="4" t="str">
        <f t="shared" si="17"/>
        <v/>
      </c>
      <c r="T233" s="4" t="str">
        <f t="shared" si="18"/>
        <v/>
      </c>
      <c r="U233" s="10" t="str">
        <f t="shared" si="19"/>
        <v/>
      </c>
      <c r="V233" s="4"/>
    </row>
    <row r="234" spans="2:22" x14ac:dyDescent="0.25">
      <c r="B234" s="4" t="str">
        <f>IFERROR(VLOOKUP(A234,'ECN-ECO_DATA'!B:G,4,FALSE),"")</f>
        <v/>
      </c>
      <c r="C234" s="9" t="str">
        <f>IFERROR(VLOOKUP(A234,'ECN-ECO_DATA'!B:G,5,FALSE),"")</f>
        <v/>
      </c>
      <c r="D234" s="9" t="str">
        <f ca="1">IFERROR((IF(VLOOKUP(A234,'ECN-ECO_DATA'!B:G,6,FALSE)=0/1/1900,TODAY(),VLOOKUP(A234,'ECN-ECO_DATA'!B:G,6,FALSE))),"")</f>
        <v/>
      </c>
      <c r="E234" s="9" t="str">
        <f>IFERROR((IF(VLOOKUP(A234,'ECN-ECO_DATA'!B:G,6,FALSE)=0/1/1900,"",VLOOKUP(A234,'ECN-ECO_DATA'!B:G,6,FALSE))),"")</f>
        <v/>
      </c>
      <c r="F234" s="9" t="str">
        <f>IFERROR((IF(VLOOKUP(A234,'ECN-ECO_DATA'!B:J,7,FALSE)=0/1/1900,"",VLOOKUP(A234,'ECN-ECO_DATA'!B:J,7,FALSE))),"")</f>
        <v/>
      </c>
      <c r="G234" s="9" t="str">
        <f>IFERROR((IF(VLOOKUP(A234,'ECN-ECO_DATA'!B:J,8,FALSE)=0/1/1900,"",VLOOKUP(A234,'ECN-ECO_DATA'!B:J,8,FALSE))),"")</f>
        <v/>
      </c>
      <c r="H234" s="9" t="str">
        <f>IFERROR((IF(VLOOKUP(A234,'ECN-ECO_DATA'!B:J,9,FALSE)=0/1/1900,"",VLOOKUP(A234,'ECN-ECO_DATA'!B:J,9,FALSE))),"")</f>
        <v/>
      </c>
      <c r="I234" s="10" t="str">
        <f>IFERROR((IF(VLOOKUP(A234,'ECN-ECO_DATA'!B:Q,13,FALSE)="","",VLOOKUP(A234,'ECN-ECO_DATA'!B:Q,13,FALSE))),"")</f>
        <v/>
      </c>
      <c r="J234" s="10" t="str">
        <f>IFERROR((IF(VLOOKUP(A234,'ECN-ECO_DATA'!B:Q,14,FALSE)="","",VLOOKUP(A234,'ECN-ECO_DATA'!B:Q,14,FALSE))),"")</f>
        <v/>
      </c>
      <c r="K234" s="10" t="str">
        <f>IFERROR((IF(VLOOKUP(A234,'ECN-ECO_DATA'!B:Q,15,FALSE)="","",VLOOKUP(A234,'ECN-ECO_DATA'!B:Q,15,FALSE))),"")</f>
        <v/>
      </c>
      <c r="L234" s="10" t="str">
        <f>IFERROR((IF(VLOOKUP(A234,'ECN-ECO_DATA'!B:Q,16,FALSE)="","",VLOOKUP(A234,'ECN-ECO_DATA'!B:Q,16,FALSE))),"")</f>
        <v/>
      </c>
      <c r="M234" s="9" t="str">
        <f>IFERROR((IF(VLOOKUP(A234,'ECN-ECO_DATA'!B:V,18,FALSE)=0/1/1900,"",VLOOKUP(A234,'ECN-ECO_DATA'!B:V,18,FALSE))),"")</f>
        <v/>
      </c>
      <c r="N234" s="9" t="str">
        <f>IFERROR((IF(VLOOKUP(A234,'ECN-ECO_DATA'!B:V,19,FALSE)=0/1/1900,"",VLOOKUP(A234,'ECN-ECO_DATA'!B:V,19,FALSE))),"")</f>
        <v/>
      </c>
      <c r="O234" s="9" t="str">
        <f>IFERROR((IF(VLOOKUP(A234,'ECN-ECO_DATA'!B:V,20,FALSE)=0/1/1900,"",VLOOKUP(A234,'ECN-ECO_DATA'!B:V,20,FALSE))),"")</f>
        <v/>
      </c>
      <c r="P234" s="9" t="str">
        <f>IFERROR((IF(VLOOKUP(A234,'ECN-ECO_DATA'!B:V,21,FALSE)=0/1/1900,"",VLOOKUP(A234,'ECN-ECO_DATA'!B:V,21,FALSE))),"")</f>
        <v/>
      </c>
      <c r="Q234" s="10" t="str">
        <f t="shared" ca="1" si="15"/>
        <v/>
      </c>
      <c r="R234" s="4" t="str">
        <f t="shared" si="16"/>
        <v/>
      </c>
      <c r="S234" s="4" t="str">
        <f t="shared" si="17"/>
        <v/>
      </c>
      <c r="T234" s="4" t="str">
        <f t="shared" si="18"/>
        <v/>
      </c>
      <c r="U234" s="10" t="str">
        <f t="shared" si="19"/>
        <v/>
      </c>
      <c r="V234" s="4"/>
    </row>
    <row r="235" spans="2:22" x14ac:dyDescent="0.25">
      <c r="B235" s="4" t="str">
        <f>IFERROR(VLOOKUP(A235,'ECN-ECO_DATA'!B:G,4,FALSE),"")</f>
        <v/>
      </c>
      <c r="C235" s="9" t="str">
        <f>IFERROR(VLOOKUP(A235,'ECN-ECO_DATA'!B:G,5,FALSE),"")</f>
        <v/>
      </c>
      <c r="D235" s="9" t="str">
        <f ca="1">IFERROR((IF(VLOOKUP(A235,'ECN-ECO_DATA'!B:G,6,FALSE)=0/1/1900,TODAY(),VLOOKUP(A235,'ECN-ECO_DATA'!B:G,6,FALSE))),"")</f>
        <v/>
      </c>
      <c r="E235" s="9" t="str">
        <f>IFERROR((IF(VLOOKUP(A235,'ECN-ECO_DATA'!B:G,6,FALSE)=0/1/1900,"",VLOOKUP(A235,'ECN-ECO_DATA'!B:G,6,FALSE))),"")</f>
        <v/>
      </c>
      <c r="F235" s="9" t="str">
        <f>IFERROR((IF(VLOOKUP(A235,'ECN-ECO_DATA'!B:J,7,FALSE)=0/1/1900,"",VLOOKUP(A235,'ECN-ECO_DATA'!B:J,7,FALSE))),"")</f>
        <v/>
      </c>
      <c r="G235" s="9" t="str">
        <f>IFERROR((IF(VLOOKUP(A235,'ECN-ECO_DATA'!B:J,8,FALSE)=0/1/1900,"",VLOOKUP(A235,'ECN-ECO_DATA'!B:J,8,FALSE))),"")</f>
        <v/>
      </c>
      <c r="H235" s="9" t="str">
        <f>IFERROR((IF(VLOOKUP(A235,'ECN-ECO_DATA'!B:J,9,FALSE)=0/1/1900,"",VLOOKUP(A235,'ECN-ECO_DATA'!B:J,9,FALSE))),"")</f>
        <v/>
      </c>
      <c r="I235" s="10" t="str">
        <f>IFERROR((IF(VLOOKUP(A235,'ECN-ECO_DATA'!B:Q,13,FALSE)="","",VLOOKUP(A235,'ECN-ECO_DATA'!B:Q,13,FALSE))),"")</f>
        <v/>
      </c>
      <c r="J235" s="10" t="str">
        <f>IFERROR((IF(VLOOKUP(A235,'ECN-ECO_DATA'!B:Q,14,FALSE)="","",VLOOKUP(A235,'ECN-ECO_DATA'!B:Q,14,FALSE))),"")</f>
        <v/>
      </c>
      <c r="K235" s="10" t="str">
        <f>IFERROR((IF(VLOOKUP(A235,'ECN-ECO_DATA'!B:Q,15,FALSE)="","",VLOOKUP(A235,'ECN-ECO_DATA'!B:Q,15,FALSE))),"")</f>
        <v/>
      </c>
      <c r="L235" s="10" t="str">
        <f>IFERROR((IF(VLOOKUP(A235,'ECN-ECO_DATA'!B:Q,16,FALSE)="","",VLOOKUP(A235,'ECN-ECO_DATA'!B:Q,16,FALSE))),"")</f>
        <v/>
      </c>
      <c r="M235" s="9" t="str">
        <f>IFERROR((IF(VLOOKUP(A235,'ECN-ECO_DATA'!B:V,18,FALSE)=0/1/1900,"",VLOOKUP(A235,'ECN-ECO_DATA'!B:V,18,FALSE))),"")</f>
        <v/>
      </c>
      <c r="N235" s="9" t="str">
        <f>IFERROR((IF(VLOOKUP(A235,'ECN-ECO_DATA'!B:V,19,FALSE)=0/1/1900,"",VLOOKUP(A235,'ECN-ECO_DATA'!B:V,19,FALSE))),"")</f>
        <v/>
      </c>
      <c r="O235" s="9" t="str">
        <f>IFERROR((IF(VLOOKUP(A235,'ECN-ECO_DATA'!B:V,20,FALSE)=0/1/1900,"",VLOOKUP(A235,'ECN-ECO_DATA'!B:V,20,FALSE))),"")</f>
        <v/>
      </c>
      <c r="P235" s="9" t="str">
        <f>IFERROR((IF(VLOOKUP(A235,'ECN-ECO_DATA'!B:V,21,FALSE)=0/1/1900,"",VLOOKUP(A235,'ECN-ECO_DATA'!B:V,21,FALSE))),"")</f>
        <v/>
      </c>
      <c r="Q235" s="10" t="str">
        <f t="shared" ca="1" si="15"/>
        <v/>
      </c>
      <c r="R235" s="4" t="str">
        <f t="shared" si="16"/>
        <v/>
      </c>
      <c r="S235" s="4" t="str">
        <f t="shared" si="17"/>
        <v/>
      </c>
      <c r="T235" s="4" t="str">
        <f t="shared" si="18"/>
        <v/>
      </c>
      <c r="U235" s="10" t="str">
        <f t="shared" si="19"/>
        <v/>
      </c>
      <c r="V235" s="4"/>
    </row>
    <row r="236" spans="2:22" x14ac:dyDescent="0.25">
      <c r="B236" s="4" t="str">
        <f>IFERROR(VLOOKUP(A236,'ECN-ECO_DATA'!B:G,4,FALSE),"")</f>
        <v/>
      </c>
      <c r="C236" s="9" t="str">
        <f>IFERROR(VLOOKUP(A236,'ECN-ECO_DATA'!B:G,5,FALSE),"")</f>
        <v/>
      </c>
      <c r="D236" s="9" t="str">
        <f ca="1">IFERROR((IF(VLOOKUP(A236,'ECN-ECO_DATA'!B:G,6,FALSE)=0/1/1900,TODAY(),VLOOKUP(A236,'ECN-ECO_DATA'!B:G,6,FALSE))),"")</f>
        <v/>
      </c>
      <c r="E236" s="9" t="str">
        <f>IFERROR((IF(VLOOKUP(A236,'ECN-ECO_DATA'!B:G,6,FALSE)=0/1/1900,"",VLOOKUP(A236,'ECN-ECO_DATA'!B:G,6,FALSE))),"")</f>
        <v/>
      </c>
      <c r="F236" s="9" t="str">
        <f>IFERROR((IF(VLOOKUP(A236,'ECN-ECO_DATA'!B:J,7,FALSE)=0/1/1900,"",VLOOKUP(A236,'ECN-ECO_DATA'!B:J,7,FALSE))),"")</f>
        <v/>
      </c>
      <c r="G236" s="9" t="str">
        <f>IFERROR((IF(VLOOKUP(A236,'ECN-ECO_DATA'!B:J,8,FALSE)=0/1/1900,"",VLOOKUP(A236,'ECN-ECO_DATA'!B:J,8,FALSE))),"")</f>
        <v/>
      </c>
      <c r="H236" s="9" t="str">
        <f>IFERROR((IF(VLOOKUP(A236,'ECN-ECO_DATA'!B:J,9,FALSE)=0/1/1900,"",VLOOKUP(A236,'ECN-ECO_DATA'!B:J,9,FALSE))),"")</f>
        <v/>
      </c>
      <c r="I236" s="10" t="str">
        <f>IFERROR((IF(VLOOKUP(A236,'ECN-ECO_DATA'!B:Q,13,FALSE)="","",VLOOKUP(A236,'ECN-ECO_DATA'!B:Q,13,FALSE))),"")</f>
        <v/>
      </c>
      <c r="J236" s="10" t="str">
        <f>IFERROR((IF(VLOOKUP(A236,'ECN-ECO_DATA'!B:Q,14,FALSE)="","",VLOOKUP(A236,'ECN-ECO_DATA'!B:Q,14,FALSE))),"")</f>
        <v/>
      </c>
      <c r="K236" s="10" t="str">
        <f>IFERROR((IF(VLOOKUP(A236,'ECN-ECO_DATA'!B:Q,15,FALSE)="","",VLOOKUP(A236,'ECN-ECO_DATA'!B:Q,15,FALSE))),"")</f>
        <v/>
      </c>
      <c r="L236" s="10" t="str">
        <f>IFERROR((IF(VLOOKUP(A236,'ECN-ECO_DATA'!B:Q,16,FALSE)="","",VLOOKUP(A236,'ECN-ECO_DATA'!B:Q,16,FALSE))),"")</f>
        <v/>
      </c>
      <c r="M236" s="9" t="str">
        <f>IFERROR((IF(VLOOKUP(A236,'ECN-ECO_DATA'!B:V,18,FALSE)=0/1/1900,"",VLOOKUP(A236,'ECN-ECO_DATA'!B:V,18,FALSE))),"")</f>
        <v/>
      </c>
      <c r="N236" s="9" t="str">
        <f>IFERROR((IF(VLOOKUP(A236,'ECN-ECO_DATA'!B:V,19,FALSE)=0/1/1900,"",VLOOKUP(A236,'ECN-ECO_DATA'!B:V,19,FALSE))),"")</f>
        <v/>
      </c>
      <c r="O236" s="9" t="str">
        <f>IFERROR((IF(VLOOKUP(A236,'ECN-ECO_DATA'!B:V,20,FALSE)=0/1/1900,"",VLOOKUP(A236,'ECN-ECO_DATA'!B:V,20,FALSE))),"")</f>
        <v/>
      </c>
      <c r="P236" s="9" t="str">
        <f>IFERROR((IF(VLOOKUP(A236,'ECN-ECO_DATA'!B:V,21,FALSE)=0/1/1900,"",VLOOKUP(A236,'ECN-ECO_DATA'!B:V,21,FALSE))),"")</f>
        <v/>
      </c>
      <c r="Q236" s="10" t="str">
        <f t="shared" ca="1" si="15"/>
        <v/>
      </c>
      <c r="R236" s="4" t="str">
        <f t="shared" si="16"/>
        <v/>
      </c>
      <c r="S236" s="4" t="str">
        <f t="shared" si="17"/>
        <v/>
      </c>
      <c r="T236" s="4" t="str">
        <f t="shared" si="18"/>
        <v/>
      </c>
      <c r="U236" s="10" t="str">
        <f t="shared" si="19"/>
        <v/>
      </c>
      <c r="V236" s="4"/>
    </row>
    <row r="237" spans="2:22" x14ac:dyDescent="0.25">
      <c r="B237" s="4" t="str">
        <f>IFERROR(VLOOKUP(A237,'ECN-ECO_DATA'!B:G,4,FALSE),"")</f>
        <v/>
      </c>
      <c r="C237" s="9" t="str">
        <f>IFERROR(VLOOKUP(A237,'ECN-ECO_DATA'!B:G,5,FALSE),"")</f>
        <v/>
      </c>
      <c r="D237" s="9" t="str">
        <f ca="1">IFERROR((IF(VLOOKUP(A237,'ECN-ECO_DATA'!B:G,6,FALSE)=0/1/1900,TODAY(),VLOOKUP(A237,'ECN-ECO_DATA'!B:G,6,FALSE))),"")</f>
        <v/>
      </c>
      <c r="E237" s="9" t="str">
        <f>IFERROR((IF(VLOOKUP(A237,'ECN-ECO_DATA'!B:G,6,FALSE)=0/1/1900,"",VLOOKUP(A237,'ECN-ECO_DATA'!B:G,6,FALSE))),"")</f>
        <v/>
      </c>
      <c r="F237" s="9" t="str">
        <f>IFERROR((IF(VLOOKUP(A237,'ECN-ECO_DATA'!B:J,7,FALSE)=0/1/1900,"",VLOOKUP(A237,'ECN-ECO_DATA'!B:J,7,FALSE))),"")</f>
        <v/>
      </c>
      <c r="G237" s="9" t="str">
        <f>IFERROR((IF(VLOOKUP(A237,'ECN-ECO_DATA'!B:J,8,FALSE)=0/1/1900,"",VLOOKUP(A237,'ECN-ECO_DATA'!B:J,8,FALSE))),"")</f>
        <v/>
      </c>
      <c r="H237" s="9" t="str">
        <f>IFERROR((IF(VLOOKUP(A237,'ECN-ECO_DATA'!B:J,9,FALSE)=0/1/1900,"",VLOOKUP(A237,'ECN-ECO_DATA'!B:J,9,FALSE))),"")</f>
        <v/>
      </c>
      <c r="I237" s="10" t="str">
        <f>IFERROR((IF(VLOOKUP(A237,'ECN-ECO_DATA'!B:Q,13,FALSE)="","",VLOOKUP(A237,'ECN-ECO_DATA'!B:Q,13,FALSE))),"")</f>
        <v/>
      </c>
      <c r="J237" s="10" t="str">
        <f>IFERROR((IF(VLOOKUP(A237,'ECN-ECO_DATA'!B:Q,14,FALSE)="","",VLOOKUP(A237,'ECN-ECO_DATA'!B:Q,14,FALSE))),"")</f>
        <v/>
      </c>
      <c r="K237" s="10" t="str">
        <f>IFERROR((IF(VLOOKUP(A237,'ECN-ECO_DATA'!B:Q,15,FALSE)="","",VLOOKUP(A237,'ECN-ECO_DATA'!B:Q,15,FALSE))),"")</f>
        <v/>
      </c>
      <c r="L237" s="10" t="str">
        <f>IFERROR((IF(VLOOKUP(A237,'ECN-ECO_DATA'!B:Q,16,FALSE)="","",VLOOKUP(A237,'ECN-ECO_DATA'!B:Q,16,FALSE))),"")</f>
        <v/>
      </c>
      <c r="M237" s="9" t="str">
        <f>IFERROR((IF(VLOOKUP(A237,'ECN-ECO_DATA'!B:V,18,FALSE)=0/1/1900,"",VLOOKUP(A237,'ECN-ECO_DATA'!B:V,18,FALSE))),"")</f>
        <v/>
      </c>
      <c r="N237" s="9" t="str">
        <f>IFERROR((IF(VLOOKUP(A237,'ECN-ECO_DATA'!B:V,19,FALSE)=0/1/1900,"",VLOOKUP(A237,'ECN-ECO_DATA'!B:V,19,FALSE))),"")</f>
        <v/>
      </c>
      <c r="O237" s="9" t="str">
        <f>IFERROR((IF(VLOOKUP(A237,'ECN-ECO_DATA'!B:V,20,FALSE)=0/1/1900,"",VLOOKUP(A237,'ECN-ECO_DATA'!B:V,20,FALSE))),"")</f>
        <v/>
      </c>
      <c r="P237" s="9" t="str">
        <f>IFERROR((IF(VLOOKUP(A237,'ECN-ECO_DATA'!B:V,21,FALSE)=0/1/1900,"",VLOOKUP(A237,'ECN-ECO_DATA'!B:V,21,FALSE))),"")</f>
        <v/>
      </c>
      <c r="Q237" s="10" t="str">
        <f t="shared" ca="1" si="15"/>
        <v/>
      </c>
      <c r="R237" s="4" t="str">
        <f t="shared" si="16"/>
        <v/>
      </c>
      <c r="S237" s="4" t="str">
        <f t="shared" si="17"/>
        <v/>
      </c>
      <c r="T237" s="4" t="str">
        <f t="shared" si="18"/>
        <v/>
      </c>
      <c r="U237" s="10" t="str">
        <f t="shared" si="19"/>
        <v/>
      </c>
      <c r="V237" s="4"/>
    </row>
    <row r="238" spans="2:22" x14ac:dyDescent="0.25">
      <c r="B238" s="4" t="str">
        <f>IFERROR(VLOOKUP(A238,'ECN-ECO_DATA'!B:G,4,FALSE),"")</f>
        <v/>
      </c>
      <c r="C238" s="9" t="str">
        <f>IFERROR(VLOOKUP(A238,'ECN-ECO_DATA'!B:G,5,FALSE),"")</f>
        <v/>
      </c>
      <c r="D238" s="9" t="str">
        <f ca="1">IFERROR((IF(VLOOKUP(A238,'ECN-ECO_DATA'!B:G,6,FALSE)=0/1/1900,TODAY(),VLOOKUP(A238,'ECN-ECO_DATA'!B:G,6,FALSE))),"")</f>
        <v/>
      </c>
      <c r="E238" s="9" t="str">
        <f>IFERROR((IF(VLOOKUP(A238,'ECN-ECO_DATA'!B:G,6,FALSE)=0/1/1900,"",VLOOKUP(A238,'ECN-ECO_DATA'!B:G,6,FALSE))),"")</f>
        <v/>
      </c>
      <c r="F238" s="9" t="str">
        <f>IFERROR((IF(VLOOKUP(A238,'ECN-ECO_DATA'!B:J,7,FALSE)=0/1/1900,"",VLOOKUP(A238,'ECN-ECO_DATA'!B:J,7,FALSE))),"")</f>
        <v/>
      </c>
      <c r="G238" s="9" t="str">
        <f>IFERROR((IF(VLOOKUP(A238,'ECN-ECO_DATA'!B:J,8,FALSE)=0/1/1900,"",VLOOKUP(A238,'ECN-ECO_DATA'!B:J,8,FALSE))),"")</f>
        <v/>
      </c>
      <c r="H238" s="9" t="str">
        <f>IFERROR((IF(VLOOKUP(A238,'ECN-ECO_DATA'!B:J,9,FALSE)=0/1/1900,"",VLOOKUP(A238,'ECN-ECO_DATA'!B:J,9,FALSE))),"")</f>
        <v/>
      </c>
      <c r="I238" s="10" t="str">
        <f>IFERROR((IF(VLOOKUP(A238,'ECN-ECO_DATA'!B:Q,13,FALSE)="","",VLOOKUP(A238,'ECN-ECO_DATA'!B:Q,13,FALSE))),"")</f>
        <v/>
      </c>
      <c r="J238" s="10" t="str">
        <f>IFERROR((IF(VLOOKUP(A238,'ECN-ECO_DATA'!B:Q,14,FALSE)="","",VLOOKUP(A238,'ECN-ECO_DATA'!B:Q,14,FALSE))),"")</f>
        <v/>
      </c>
      <c r="K238" s="10" t="str">
        <f>IFERROR((IF(VLOOKUP(A238,'ECN-ECO_DATA'!B:Q,15,FALSE)="","",VLOOKUP(A238,'ECN-ECO_DATA'!B:Q,15,FALSE))),"")</f>
        <v/>
      </c>
      <c r="L238" s="10" t="str">
        <f>IFERROR((IF(VLOOKUP(A238,'ECN-ECO_DATA'!B:Q,16,FALSE)="","",VLOOKUP(A238,'ECN-ECO_DATA'!B:Q,16,FALSE))),"")</f>
        <v/>
      </c>
      <c r="M238" s="9" t="str">
        <f>IFERROR((IF(VLOOKUP(A238,'ECN-ECO_DATA'!B:V,18,FALSE)=0/1/1900,"",VLOOKUP(A238,'ECN-ECO_DATA'!B:V,18,FALSE))),"")</f>
        <v/>
      </c>
      <c r="N238" s="9" t="str">
        <f>IFERROR((IF(VLOOKUP(A238,'ECN-ECO_DATA'!B:V,19,FALSE)=0/1/1900,"",VLOOKUP(A238,'ECN-ECO_DATA'!B:V,19,FALSE))),"")</f>
        <v/>
      </c>
      <c r="O238" s="9" t="str">
        <f>IFERROR((IF(VLOOKUP(A238,'ECN-ECO_DATA'!B:V,20,FALSE)=0/1/1900,"",VLOOKUP(A238,'ECN-ECO_DATA'!B:V,20,FALSE))),"")</f>
        <v/>
      </c>
      <c r="P238" s="9" t="str">
        <f>IFERROR((IF(VLOOKUP(A238,'ECN-ECO_DATA'!B:V,21,FALSE)=0/1/1900,"",VLOOKUP(A238,'ECN-ECO_DATA'!B:V,21,FALSE))),"")</f>
        <v/>
      </c>
      <c r="Q238" s="10" t="str">
        <f t="shared" ca="1" si="15"/>
        <v/>
      </c>
      <c r="R238" s="4" t="str">
        <f t="shared" si="16"/>
        <v/>
      </c>
      <c r="S238" s="4" t="str">
        <f t="shared" si="17"/>
        <v/>
      </c>
      <c r="T238" s="4" t="str">
        <f t="shared" si="18"/>
        <v/>
      </c>
      <c r="U238" s="10" t="str">
        <f t="shared" si="19"/>
        <v/>
      </c>
      <c r="V238" s="4"/>
    </row>
    <row r="239" spans="2:22" x14ac:dyDescent="0.25">
      <c r="B239" s="4" t="str">
        <f>IFERROR(VLOOKUP(A239,'ECN-ECO_DATA'!B:G,4,FALSE),"")</f>
        <v/>
      </c>
      <c r="C239" s="9" t="str">
        <f>IFERROR(VLOOKUP(A239,'ECN-ECO_DATA'!B:G,5,FALSE),"")</f>
        <v/>
      </c>
      <c r="D239" s="9" t="str">
        <f ca="1">IFERROR((IF(VLOOKUP(A239,'ECN-ECO_DATA'!B:G,6,FALSE)=0/1/1900,TODAY(),VLOOKUP(A239,'ECN-ECO_DATA'!B:G,6,FALSE))),"")</f>
        <v/>
      </c>
      <c r="E239" s="9" t="str">
        <f>IFERROR((IF(VLOOKUP(A239,'ECN-ECO_DATA'!B:G,6,FALSE)=0/1/1900,"",VLOOKUP(A239,'ECN-ECO_DATA'!B:G,6,FALSE))),"")</f>
        <v/>
      </c>
      <c r="F239" s="9" t="str">
        <f>IFERROR((IF(VLOOKUP(A239,'ECN-ECO_DATA'!B:J,7,FALSE)=0/1/1900,"",VLOOKUP(A239,'ECN-ECO_DATA'!B:J,7,FALSE))),"")</f>
        <v/>
      </c>
      <c r="G239" s="9" t="str">
        <f>IFERROR((IF(VLOOKUP(A239,'ECN-ECO_DATA'!B:J,8,FALSE)=0/1/1900,"",VLOOKUP(A239,'ECN-ECO_DATA'!B:J,8,FALSE))),"")</f>
        <v/>
      </c>
      <c r="H239" s="9" t="str">
        <f>IFERROR((IF(VLOOKUP(A239,'ECN-ECO_DATA'!B:J,9,FALSE)=0/1/1900,"",VLOOKUP(A239,'ECN-ECO_DATA'!B:J,9,FALSE))),"")</f>
        <v/>
      </c>
      <c r="I239" s="10" t="str">
        <f>IFERROR((IF(VLOOKUP(A239,'ECN-ECO_DATA'!B:Q,13,FALSE)="","",VLOOKUP(A239,'ECN-ECO_DATA'!B:Q,13,FALSE))),"")</f>
        <v/>
      </c>
      <c r="J239" s="10" t="str">
        <f>IFERROR((IF(VLOOKUP(A239,'ECN-ECO_DATA'!B:Q,14,FALSE)="","",VLOOKUP(A239,'ECN-ECO_DATA'!B:Q,14,FALSE))),"")</f>
        <v/>
      </c>
      <c r="K239" s="10" t="str">
        <f>IFERROR((IF(VLOOKUP(A239,'ECN-ECO_DATA'!B:Q,15,FALSE)="","",VLOOKUP(A239,'ECN-ECO_DATA'!B:Q,15,FALSE))),"")</f>
        <v/>
      </c>
      <c r="L239" s="10" t="str">
        <f>IFERROR((IF(VLOOKUP(A239,'ECN-ECO_DATA'!B:Q,16,FALSE)="","",VLOOKUP(A239,'ECN-ECO_DATA'!B:Q,16,FALSE))),"")</f>
        <v/>
      </c>
      <c r="M239" s="9" t="str">
        <f>IFERROR((IF(VLOOKUP(A239,'ECN-ECO_DATA'!B:V,18,FALSE)=0/1/1900,"",VLOOKUP(A239,'ECN-ECO_DATA'!B:V,18,FALSE))),"")</f>
        <v/>
      </c>
      <c r="N239" s="9" t="str">
        <f>IFERROR((IF(VLOOKUP(A239,'ECN-ECO_DATA'!B:V,19,FALSE)=0/1/1900,"",VLOOKUP(A239,'ECN-ECO_DATA'!B:V,19,FALSE))),"")</f>
        <v/>
      </c>
      <c r="O239" s="9" t="str">
        <f>IFERROR((IF(VLOOKUP(A239,'ECN-ECO_DATA'!B:V,20,FALSE)=0/1/1900,"",VLOOKUP(A239,'ECN-ECO_DATA'!B:V,20,FALSE))),"")</f>
        <v/>
      </c>
      <c r="P239" s="9" t="str">
        <f>IFERROR((IF(VLOOKUP(A239,'ECN-ECO_DATA'!B:V,21,FALSE)=0/1/1900,"",VLOOKUP(A239,'ECN-ECO_DATA'!B:V,21,FALSE))),"")</f>
        <v/>
      </c>
      <c r="Q239" s="10" t="str">
        <f t="shared" ca="1" si="15"/>
        <v/>
      </c>
      <c r="R239" s="4" t="str">
        <f t="shared" si="16"/>
        <v/>
      </c>
      <c r="S239" s="4" t="str">
        <f t="shared" si="17"/>
        <v/>
      </c>
      <c r="T239" s="4" t="str">
        <f t="shared" si="18"/>
        <v/>
      </c>
      <c r="U239" s="10" t="str">
        <f t="shared" si="19"/>
        <v/>
      </c>
      <c r="V239" s="4"/>
    </row>
    <row r="240" spans="2:22" x14ac:dyDescent="0.25">
      <c r="B240" s="4" t="str">
        <f>IFERROR(VLOOKUP(A240,'ECN-ECO_DATA'!B:G,4,FALSE),"")</f>
        <v/>
      </c>
      <c r="C240" s="9" t="str">
        <f>IFERROR(VLOOKUP(A240,'ECN-ECO_DATA'!B:G,5,FALSE),"")</f>
        <v/>
      </c>
      <c r="D240" s="9" t="str">
        <f ca="1">IFERROR((IF(VLOOKUP(A240,'ECN-ECO_DATA'!B:G,6,FALSE)=0/1/1900,TODAY(),VLOOKUP(A240,'ECN-ECO_DATA'!B:G,6,FALSE))),"")</f>
        <v/>
      </c>
      <c r="E240" s="9" t="str">
        <f>IFERROR((IF(VLOOKUP(A240,'ECN-ECO_DATA'!B:G,6,FALSE)=0/1/1900,"",VLOOKUP(A240,'ECN-ECO_DATA'!B:G,6,FALSE))),"")</f>
        <v/>
      </c>
      <c r="F240" s="9" t="str">
        <f>IFERROR((IF(VLOOKUP(A240,'ECN-ECO_DATA'!B:J,7,FALSE)=0/1/1900,"",VLOOKUP(A240,'ECN-ECO_DATA'!B:J,7,FALSE))),"")</f>
        <v/>
      </c>
      <c r="G240" s="9" t="str">
        <f>IFERROR((IF(VLOOKUP(A240,'ECN-ECO_DATA'!B:J,8,FALSE)=0/1/1900,"",VLOOKUP(A240,'ECN-ECO_DATA'!B:J,8,FALSE))),"")</f>
        <v/>
      </c>
      <c r="H240" s="9" t="str">
        <f>IFERROR((IF(VLOOKUP(A240,'ECN-ECO_DATA'!B:J,9,FALSE)=0/1/1900,"",VLOOKUP(A240,'ECN-ECO_DATA'!B:J,9,FALSE))),"")</f>
        <v/>
      </c>
      <c r="I240" s="10" t="str">
        <f>IFERROR((IF(VLOOKUP(A240,'ECN-ECO_DATA'!B:Q,13,FALSE)="","",VLOOKUP(A240,'ECN-ECO_DATA'!B:Q,13,FALSE))),"")</f>
        <v/>
      </c>
      <c r="J240" s="10" t="str">
        <f>IFERROR((IF(VLOOKUP(A240,'ECN-ECO_DATA'!B:Q,14,FALSE)="","",VLOOKUP(A240,'ECN-ECO_DATA'!B:Q,14,FALSE))),"")</f>
        <v/>
      </c>
      <c r="K240" s="10" t="str">
        <f>IFERROR((IF(VLOOKUP(A240,'ECN-ECO_DATA'!B:Q,15,FALSE)="","",VLOOKUP(A240,'ECN-ECO_DATA'!B:Q,15,FALSE))),"")</f>
        <v/>
      </c>
      <c r="L240" s="10" t="str">
        <f>IFERROR((IF(VLOOKUP(A240,'ECN-ECO_DATA'!B:Q,16,FALSE)="","",VLOOKUP(A240,'ECN-ECO_DATA'!B:Q,16,FALSE))),"")</f>
        <v/>
      </c>
      <c r="M240" s="9" t="str">
        <f>IFERROR((IF(VLOOKUP(A240,'ECN-ECO_DATA'!B:V,18,FALSE)=0/1/1900,"",VLOOKUP(A240,'ECN-ECO_DATA'!B:V,18,FALSE))),"")</f>
        <v/>
      </c>
      <c r="N240" s="9" t="str">
        <f>IFERROR((IF(VLOOKUP(A240,'ECN-ECO_DATA'!B:V,19,FALSE)=0/1/1900,"",VLOOKUP(A240,'ECN-ECO_DATA'!B:V,19,FALSE))),"")</f>
        <v/>
      </c>
      <c r="O240" s="9" t="str">
        <f>IFERROR((IF(VLOOKUP(A240,'ECN-ECO_DATA'!B:V,20,FALSE)=0/1/1900,"",VLOOKUP(A240,'ECN-ECO_DATA'!B:V,20,FALSE))),"")</f>
        <v/>
      </c>
      <c r="P240" s="9" t="str">
        <f>IFERROR((IF(VLOOKUP(A240,'ECN-ECO_DATA'!B:V,21,FALSE)=0/1/1900,"",VLOOKUP(A240,'ECN-ECO_DATA'!B:V,21,FALSE))),"")</f>
        <v/>
      </c>
      <c r="Q240" s="10" t="str">
        <f t="shared" ca="1" si="15"/>
        <v/>
      </c>
      <c r="R240" s="4" t="str">
        <f t="shared" si="16"/>
        <v/>
      </c>
      <c r="S240" s="4" t="str">
        <f t="shared" si="17"/>
        <v/>
      </c>
      <c r="T240" s="4" t="str">
        <f t="shared" si="18"/>
        <v/>
      </c>
      <c r="U240" s="10" t="str">
        <f t="shared" si="19"/>
        <v/>
      </c>
      <c r="V240" s="4"/>
    </row>
    <row r="241" spans="2:22" x14ac:dyDescent="0.25">
      <c r="B241" s="4" t="str">
        <f>IFERROR(VLOOKUP(A241,'ECN-ECO_DATA'!B:G,4,FALSE),"")</f>
        <v/>
      </c>
      <c r="C241" s="9" t="str">
        <f>IFERROR(VLOOKUP(A241,'ECN-ECO_DATA'!B:G,5,FALSE),"")</f>
        <v/>
      </c>
      <c r="D241" s="9" t="str">
        <f ca="1">IFERROR((IF(VLOOKUP(A241,'ECN-ECO_DATA'!B:G,6,FALSE)=0/1/1900,TODAY(),VLOOKUP(A241,'ECN-ECO_DATA'!B:G,6,FALSE))),"")</f>
        <v/>
      </c>
      <c r="E241" s="9" t="str">
        <f>IFERROR((IF(VLOOKUP(A241,'ECN-ECO_DATA'!B:G,6,FALSE)=0/1/1900,"",VLOOKUP(A241,'ECN-ECO_DATA'!B:G,6,FALSE))),"")</f>
        <v/>
      </c>
      <c r="F241" s="9" t="str">
        <f>IFERROR((IF(VLOOKUP(A241,'ECN-ECO_DATA'!B:J,7,FALSE)=0/1/1900,"",VLOOKUP(A241,'ECN-ECO_DATA'!B:J,7,FALSE))),"")</f>
        <v/>
      </c>
      <c r="G241" s="9" t="str">
        <f>IFERROR((IF(VLOOKUP(A241,'ECN-ECO_DATA'!B:J,8,FALSE)=0/1/1900,"",VLOOKUP(A241,'ECN-ECO_DATA'!B:J,8,FALSE))),"")</f>
        <v/>
      </c>
      <c r="H241" s="9" t="str">
        <f>IFERROR((IF(VLOOKUP(A241,'ECN-ECO_DATA'!B:J,9,FALSE)=0/1/1900,"",VLOOKUP(A241,'ECN-ECO_DATA'!B:J,9,FALSE))),"")</f>
        <v/>
      </c>
      <c r="I241" s="10" t="str">
        <f>IFERROR((IF(VLOOKUP(A241,'ECN-ECO_DATA'!B:Q,13,FALSE)="","",VLOOKUP(A241,'ECN-ECO_DATA'!B:Q,13,FALSE))),"")</f>
        <v/>
      </c>
      <c r="J241" s="10" t="str">
        <f>IFERROR((IF(VLOOKUP(A241,'ECN-ECO_DATA'!B:Q,14,FALSE)="","",VLOOKUP(A241,'ECN-ECO_DATA'!B:Q,14,FALSE))),"")</f>
        <v/>
      </c>
      <c r="K241" s="10" t="str">
        <f>IFERROR((IF(VLOOKUP(A241,'ECN-ECO_DATA'!B:Q,15,FALSE)="","",VLOOKUP(A241,'ECN-ECO_DATA'!B:Q,15,FALSE))),"")</f>
        <v/>
      </c>
      <c r="L241" s="10" t="str">
        <f>IFERROR((IF(VLOOKUP(A241,'ECN-ECO_DATA'!B:Q,16,FALSE)="","",VLOOKUP(A241,'ECN-ECO_DATA'!B:Q,16,FALSE))),"")</f>
        <v/>
      </c>
      <c r="M241" s="9" t="str">
        <f>IFERROR((IF(VLOOKUP(A241,'ECN-ECO_DATA'!B:V,18,FALSE)=0/1/1900,"",VLOOKUP(A241,'ECN-ECO_DATA'!B:V,18,FALSE))),"")</f>
        <v/>
      </c>
      <c r="N241" s="9" t="str">
        <f>IFERROR((IF(VLOOKUP(A241,'ECN-ECO_DATA'!B:V,19,FALSE)=0/1/1900,"",VLOOKUP(A241,'ECN-ECO_DATA'!B:V,19,FALSE))),"")</f>
        <v/>
      </c>
      <c r="O241" s="9" t="str">
        <f>IFERROR((IF(VLOOKUP(A241,'ECN-ECO_DATA'!B:V,20,FALSE)=0/1/1900,"",VLOOKUP(A241,'ECN-ECO_DATA'!B:V,20,FALSE))),"")</f>
        <v/>
      </c>
      <c r="P241" s="9" t="str">
        <f>IFERROR((IF(VLOOKUP(A241,'ECN-ECO_DATA'!B:V,21,FALSE)=0/1/1900,"",VLOOKUP(A241,'ECN-ECO_DATA'!B:V,21,FALSE))),"")</f>
        <v/>
      </c>
      <c r="Q241" s="10" t="str">
        <f t="shared" ca="1" si="15"/>
        <v/>
      </c>
      <c r="R241" s="4" t="str">
        <f t="shared" si="16"/>
        <v/>
      </c>
      <c r="S241" s="4" t="str">
        <f t="shared" si="17"/>
        <v/>
      </c>
      <c r="T241" s="4" t="str">
        <f t="shared" si="18"/>
        <v/>
      </c>
      <c r="U241" s="10" t="str">
        <f t="shared" si="19"/>
        <v/>
      </c>
      <c r="V241" s="4"/>
    </row>
    <row r="242" spans="2:22" x14ac:dyDescent="0.25">
      <c r="B242" s="4" t="str">
        <f>IFERROR(VLOOKUP(A242,'ECN-ECO_DATA'!B:G,4,FALSE),"")</f>
        <v/>
      </c>
      <c r="C242" s="9" t="str">
        <f>IFERROR(VLOOKUP(A242,'ECN-ECO_DATA'!B:G,5,FALSE),"")</f>
        <v/>
      </c>
      <c r="D242" s="9" t="str">
        <f ca="1">IFERROR((IF(VLOOKUP(A242,'ECN-ECO_DATA'!B:G,6,FALSE)=0/1/1900,TODAY(),VLOOKUP(A242,'ECN-ECO_DATA'!B:G,6,FALSE))),"")</f>
        <v/>
      </c>
      <c r="E242" s="9" t="str">
        <f>IFERROR((IF(VLOOKUP(A242,'ECN-ECO_DATA'!B:G,6,FALSE)=0/1/1900,"",VLOOKUP(A242,'ECN-ECO_DATA'!B:G,6,FALSE))),"")</f>
        <v/>
      </c>
      <c r="F242" s="9" t="str">
        <f>IFERROR((IF(VLOOKUP(A242,'ECN-ECO_DATA'!B:J,7,FALSE)=0/1/1900,"",VLOOKUP(A242,'ECN-ECO_DATA'!B:J,7,FALSE))),"")</f>
        <v/>
      </c>
      <c r="G242" s="9" t="str">
        <f>IFERROR((IF(VLOOKUP(A242,'ECN-ECO_DATA'!B:J,8,FALSE)=0/1/1900,"",VLOOKUP(A242,'ECN-ECO_DATA'!B:J,8,FALSE))),"")</f>
        <v/>
      </c>
      <c r="H242" s="9" t="str">
        <f>IFERROR((IF(VLOOKUP(A242,'ECN-ECO_DATA'!B:J,9,FALSE)=0/1/1900,"",VLOOKUP(A242,'ECN-ECO_DATA'!B:J,9,FALSE))),"")</f>
        <v/>
      </c>
      <c r="I242" s="10" t="str">
        <f>IFERROR((IF(VLOOKUP(A242,'ECN-ECO_DATA'!B:Q,13,FALSE)="","",VLOOKUP(A242,'ECN-ECO_DATA'!B:Q,13,FALSE))),"")</f>
        <v/>
      </c>
      <c r="J242" s="10" t="str">
        <f>IFERROR((IF(VLOOKUP(A242,'ECN-ECO_DATA'!B:Q,14,FALSE)="","",VLOOKUP(A242,'ECN-ECO_DATA'!B:Q,14,FALSE))),"")</f>
        <v/>
      </c>
      <c r="K242" s="10" t="str">
        <f>IFERROR((IF(VLOOKUP(A242,'ECN-ECO_DATA'!B:Q,15,FALSE)="","",VLOOKUP(A242,'ECN-ECO_DATA'!B:Q,15,FALSE))),"")</f>
        <v/>
      </c>
      <c r="L242" s="10" t="str">
        <f>IFERROR((IF(VLOOKUP(A242,'ECN-ECO_DATA'!B:Q,16,FALSE)="","",VLOOKUP(A242,'ECN-ECO_DATA'!B:Q,16,FALSE))),"")</f>
        <v/>
      </c>
      <c r="M242" s="9" t="str">
        <f>IFERROR((IF(VLOOKUP(A242,'ECN-ECO_DATA'!B:V,18,FALSE)=0/1/1900,"",VLOOKUP(A242,'ECN-ECO_DATA'!B:V,18,FALSE))),"")</f>
        <v/>
      </c>
      <c r="N242" s="9" t="str">
        <f>IFERROR((IF(VLOOKUP(A242,'ECN-ECO_DATA'!B:V,19,FALSE)=0/1/1900,"",VLOOKUP(A242,'ECN-ECO_DATA'!B:V,19,FALSE))),"")</f>
        <v/>
      </c>
      <c r="O242" s="9" t="str">
        <f>IFERROR((IF(VLOOKUP(A242,'ECN-ECO_DATA'!B:V,20,FALSE)=0/1/1900,"",VLOOKUP(A242,'ECN-ECO_DATA'!B:V,20,FALSE))),"")</f>
        <v/>
      </c>
      <c r="P242" s="9" t="str">
        <f>IFERROR((IF(VLOOKUP(A242,'ECN-ECO_DATA'!B:V,21,FALSE)=0/1/1900,"",VLOOKUP(A242,'ECN-ECO_DATA'!B:V,21,FALSE))),"")</f>
        <v/>
      </c>
      <c r="Q242" s="10" t="str">
        <f t="shared" ca="1" si="15"/>
        <v/>
      </c>
      <c r="R242" s="4" t="str">
        <f t="shared" si="16"/>
        <v/>
      </c>
      <c r="S242" s="4" t="str">
        <f t="shared" si="17"/>
        <v/>
      </c>
      <c r="T242" s="4" t="str">
        <f t="shared" si="18"/>
        <v/>
      </c>
      <c r="U242" s="10" t="str">
        <f t="shared" si="19"/>
        <v/>
      </c>
      <c r="V242" s="4"/>
    </row>
    <row r="243" spans="2:22" x14ac:dyDescent="0.25">
      <c r="B243" s="4" t="str">
        <f>IFERROR(VLOOKUP(A243,'ECN-ECO_DATA'!B:G,4,FALSE),"")</f>
        <v/>
      </c>
      <c r="C243" s="9" t="str">
        <f>IFERROR(VLOOKUP(A243,'ECN-ECO_DATA'!B:G,5,FALSE),"")</f>
        <v/>
      </c>
      <c r="D243" s="9" t="str">
        <f ca="1">IFERROR((IF(VLOOKUP(A243,'ECN-ECO_DATA'!B:G,6,FALSE)=0/1/1900,TODAY(),VLOOKUP(A243,'ECN-ECO_DATA'!B:G,6,FALSE))),"")</f>
        <v/>
      </c>
      <c r="E243" s="9" t="str">
        <f>IFERROR((IF(VLOOKUP(A243,'ECN-ECO_DATA'!B:G,6,FALSE)=0/1/1900,"",VLOOKUP(A243,'ECN-ECO_DATA'!B:G,6,FALSE))),"")</f>
        <v/>
      </c>
      <c r="F243" s="9" t="str">
        <f>IFERROR((IF(VLOOKUP(A243,'ECN-ECO_DATA'!B:J,7,FALSE)=0/1/1900,"",VLOOKUP(A243,'ECN-ECO_DATA'!B:J,7,FALSE))),"")</f>
        <v/>
      </c>
      <c r="G243" s="9" t="str">
        <f>IFERROR((IF(VLOOKUP(A243,'ECN-ECO_DATA'!B:J,8,FALSE)=0/1/1900,"",VLOOKUP(A243,'ECN-ECO_DATA'!B:J,8,FALSE))),"")</f>
        <v/>
      </c>
      <c r="H243" s="9" t="str">
        <f>IFERROR((IF(VLOOKUP(A243,'ECN-ECO_DATA'!B:J,9,FALSE)=0/1/1900,"",VLOOKUP(A243,'ECN-ECO_DATA'!B:J,9,FALSE))),"")</f>
        <v/>
      </c>
      <c r="I243" s="10" t="str">
        <f>IFERROR((IF(VLOOKUP(A243,'ECN-ECO_DATA'!B:Q,13,FALSE)="","",VLOOKUP(A243,'ECN-ECO_DATA'!B:Q,13,FALSE))),"")</f>
        <v/>
      </c>
      <c r="J243" s="10" t="str">
        <f>IFERROR((IF(VLOOKUP(A243,'ECN-ECO_DATA'!B:Q,14,FALSE)="","",VLOOKUP(A243,'ECN-ECO_DATA'!B:Q,14,FALSE))),"")</f>
        <v/>
      </c>
      <c r="K243" s="10" t="str">
        <f>IFERROR((IF(VLOOKUP(A243,'ECN-ECO_DATA'!B:Q,15,FALSE)="","",VLOOKUP(A243,'ECN-ECO_DATA'!B:Q,15,FALSE))),"")</f>
        <v/>
      </c>
      <c r="L243" s="10" t="str">
        <f>IFERROR((IF(VLOOKUP(A243,'ECN-ECO_DATA'!B:Q,16,FALSE)="","",VLOOKUP(A243,'ECN-ECO_DATA'!B:Q,16,FALSE))),"")</f>
        <v/>
      </c>
      <c r="M243" s="9" t="str">
        <f>IFERROR((IF(VLOOKUP(A243,'ECN-ECO_DATA'!B:V,18,FALSE)=0/1/1900,"",VLOOKUP(A243,'ECN-ECO_DATA'!B:V,18,FALSE))),"")</f>
        <v/>
      </c>
      <c r="N243" s="9" t="str">
        <f>IFERROR((IF(VLOOKUP(A243,'ECN-ECO_DATA'!B:V,19,FALSE)=0/1/1900,"",VLOOKUP(A243,'ECN-ECO_DATA'!B:V,19,FALSE))),"")</f>
        <v/>
      </c>
      <c r="O243" s="9" t="str">
        <f>IFERROR((IF(VLOOKUP(A243,'ECN-ECO_DATA'!B:V,20,FALSE)=0/1/1900,"",VLOOKUP(A243,'ECN-ECO_DATA'!B:V,20,FALSE))),"")</f>
        <v/>
      </c>
      <c r="P243" s="9" t="str">
        <f>IFERROR((IF(VLOOKUP(A243,'ECN-ECO_DATA'!B:V,21,FALSE)=0/1/1900,"",VLOOKUP(A243,'ECN-ECO_DATA'!B:V,21,FALSE))),"")</f>
        <v/>
      </c>
      <c r="Q243" s="10" t="str">
        <f t="shared" ca="1" si="15"/>
        <v/>
      </c>
      <c r="R243" s="4" t="str">
        <f t="shared" si="16"/>
        <v/>
      </c>
      <c r="S243" s="4" t="str">
        <f t="shared" si="17"/>
        <v/>
      </c>
      <c r="T243" s="4" t="str">
        <f t="shared" si="18"/>
        <v/>
      </c>
      <c r="U243" s="10" t="str">
        <f t="shared" si="19"/>
        <v/>
      </c>
      <c r="V243" s="4"/>
    </row>
    <row r="244" spans="2:22" x14ac:dyDescent="0.25">
      <c r="B244" s="4" t="str">
        <f>IFERROR(VLOOKUP(A244,'ECN-ECO_DATA'!B:G,4,FALSE),"")</f>
        <v/>
      </c>
      <c r="C244" s="9" t="str">
        <f>IFERROR(VLOOKUP(A244,'ECN-ECO_DATA'!B:G,5,FALSE),"")</f>
        <v/>
      </c>
      <c r="D244" s="9" t="str">
        <f ca="1">IFERROR((IF(VLOOKUP(A244,'ECN-ECO_DATA'!B:G,6,FALSE)=0/1/1900,TODAY(),VLOOKUP(A244,'ECN-ECO_DATA'!B:G,6,FALSE))),"")</f>
        <v/>
      </c>
      <c r="E244" s="9" t="str">
        <f>IFERROR((IF(VLOOKUP(A244,'ECN-ECO_DATA'!B:G,6,FALSE)=0/1/1900,"",VLOOKUP(A244,'ECN-ECO_DATA'!B:G,6,FALSE))),"")</f>
        <v/>
      </c>
      <c r="F244" s="9" t="str">
        <f>IFERROR((IF(VLOOKUP(A244,'ECN-ECO_DATA'!B:J,7,FALSE)=0/1/1900,"",VLOOKUP(A244,'ECN-ECO_DATA'!B:J,7,FALSE))),"")</f>
        <v/>
      </c>
      <c r="G244" s="9" t="str">
        <f>IFERROR((IF(VLOOKUP(A244,'ECN-ECO_DATA'!B:J,8,FALSE)=0/1/1900,"",VLOOKUP(A244,'ECN-ECO_DATA'!B:J,8,FALSE))),"")</f>
        <v/>
      </c>
      <c r="H244" s="9" t="str">
        <f>IFERROR((IF(VLOOKUP(A244,'ECN-ECO_DATA'!B:J,9,FALSE)=0/1/1900,"",VLOOKUP(A244,'ECN-ECO_DATA'!B:J,9,FALSE))),"")</f>
        <v/>
      </c>
      <c r="I244" s="10" t="str">
        <f>IFERROR((IF(VLOOKUP(A244,'ECN-ECO_DATA'!B:Q,13,FALSE)="","",VLOOKUP(A244,'ECN-ECO_DATA'!B:Q,13,FALSE))),"")</f>
        <v/>
      </c>
      <c r="J244" s="10" t="str">
        <f>IFERROR((IF(VLOOKUP(A244,'ECN-ECO_DATA'!B:Q,14,FALSE)="","",VLOOKUP(A244,'ECN-ECO_DATA'!B:Q,14,FALSE))),"")</f>
        <v/>
      </c>
      <c r="K244" s="10" t="str">
        <f>IFERROR((IF(VLOOKUP(A244,'ECN-ECO_DATA'!B:Q,15,FALSE)="","",VLOOKUP(A244,'ECN-ECO_DATA'!B:Q,15,FALSE))),"")</f>
        <v/>
      </c>
      <c r="L244" s="10" t="str">
        <f>IFERROR((IF(VLOOKUP(A244,'ECN-ECO_DATA'!B:Q,16,FALSE)="","",VLOOKUP(A244,'ECN-ECO_DATA'!B:Q,16,FALSE))),"")</f>
        <v/>
      </c>
      <c r="M244" s="9" t="str">
        <f>IFERROR((IF(VLOOKUP(A244,'ECN-ECO_DATA'!B:V,18,FALSE)=0/1/1900,"",VLOOKUP(A244,'ECN-ECO_DATA'!B:V,18,FALSE))),"")</f>
        <v/>
      </c>
      <c r="N244" s="9" t="str">
        <f>IFERROR((IF(VLOOKUP(A244,'ECN-ECO_DATA'!B:V,19,FALSE)=0/1/1900,"",VLOOKUP(A244,'ECN-ECO_DATA'!B:V,19,FALSE))),"")</f>
        <v/>
      </c>
      <c r="O244" s="9" t="str">
        <f>IFERROR((IF(VLOOKUP(A244,'ECN-ECO_DATA'!B:V,20,FALSE)=0/1/1900,"",VLOOKUP(A244,'ECN-ECO_DATA'!B:V,20,FALSE))),"")</f>
        <v/>
      </c>
      <c r="P244" s="9" t="str">
        <f>IFERROR((IF(VLOOKUP(A244,'ECN-ECO_DATA'!B:V,21,FALSE)=0/1/1900,"",VLOOKUP(A244,'ECN-ECO_DATA'!B:V,21,FALSE))),"")</f>
        <v/>
      </c>
      <c r="Q244" s="10" t="str">
        <f t="shared" ca="1" si="15"/>
        <v/>
      </c>
      <c r="R244" s="4" t="str">
        <f t="shared" si="16"/>
        <v/>
      </c>
      <c r="S244" s="4" t="str">
        <f t="shared" si="17"/>
        <v/>
      </c>
      <c r="T244" s="4" t="str">
        <f t="shared" si="18"/>
        <v/>
      </c>
      <c r="U244" s="10" t="str">
        <f t="shared" si="19"/>
        <v/>
      </c>
      <c r="V244" s="4"/>
    </row>
    <row r="245" spans="2:22" x14ac:dyDescent="0.25">
      <c r="B245" s="4" t="str">
        <f>IFERROR(VLOOKUP(A245,'ECN-ECO_DATA'!B:G,4,FALSE),"")</f>
        <v/>
      </c>
      <c r="C245" s="9" t="str">
        <f>IFERROR(VLOOKUP(A245,'ECN-ECO_DATA'!B:G,5,FALSE),"")</f>
        <v/>
      </c>
      <c r="D245" s="9" t="str">
        <f ca="1">IFERROR((IF(VLOOKUP(A245,'ECN-ECO_DATA'!B:G,6,FALSE)=0/1/1900,TODAY(),VLOOKUP(A245,'ECN-ECO_DATA'!B:G,6,FALSE))),"")</f>
        <v/>
      </c>
      <c r="E245" s="9" t="str">
        <f>IFERROR((IF(VLOOKUP(A245,'ECN-ECO_DATA'!B:G,6,FALSE)=0/1/1900,"",VLOOKUP(A245,'ECN-ECO_DATA'!B:G,6,FALSE))),"")</f>
        <v/>
      </c>
      <c r="F245" s="9" t="str">
        <f>IFERROR((IF(VLOOKUP(A245,'ECN-ECO_DATA'!B:J,7,FALSE)=0/1/1900,"",VLOOKUP(A245,'ECN-ECO_DATA'!B:J,7,FALSE))),"")</f>
        <v/>
      </c>
      <c r="G245" s="9" t="str">
        <f>IFERROR((IF(VLOOKUP(A245,'ECN-ECO_DATA'!B:J,8,FALSE)=0/1/1900,"",VLOOKUP(A245,'ECN-ECO_DATA'!B:J,8,FALSE))),"")</f>
        <v/>
      </c>
      <c r="H245" s="9" t="str">
        <f>IFERROR((IF(VLOOKUP(A245,'ECN-ECO_DATA'!B:J,9,FALSE)=0/1/1900,"",VLOOKUP(A245,'ECN-ECO_DATA'!B:J,9,FALSE))),"")</f>
        <v/>
      </c>
      <c r="I245" s="10" t="str">
        <f>IFERROR((IF(VLOOKUP(A245,'ECN-ECO_DATA'!B:Q,13,FALSE)="","",VLOOKUP(A245,'ECN-ECO_DATA'!B:Q,13,FALSE))),"")</f>
        <v/>
      </c>
      <c r="J245" s="10" t="str">
        <f>IFERROR((IF(VLOOKUP(A245,'ECN-ECO_DATA'!B:Q,14,FALSE)="","",VLOOKUP(A245,'ECN-ECO_DATA'!B:Q,14,FALSE))),"")</f>
        <v/>
      </c>
      <c r="K245" s="10" t="str">
        <f>IFERROR((IF(VLOOKUP(A245,'ECN-ECO_DATA'!B:Q,15,FALSE)="","",VLOOKUP(A245,'ECN-ECO_DATA'!B:Q,15,FALSE))),"")</f>
        <v/>
      </c>
      <c r="L245" s="10" t="str">
        <f>IFERROR((IF(VLOOKUP(A245,'ECN-ECO_DATA'!B:Q,16,FALSE)="","",VLOOKUP(A245,'ECN-ECO_DATA'!B:Q,16,FALSE))),"")</f>
        <v/>
      </c>
      <c r="M245" s="9" t="str">
        <f>IFERROR((IF(VLOOKUP(A245,'ECN-ECO_DATA'!B:V,18,FALSE)=0/1/1900,"",VLOOKUP(A245,'ECN-ECO_DATA'!B:V,18,FALSE))),"")</f>
        <v/>
      </c>
      <c r="N245" s="9" t="str">
        <f>IFERROR((IF(VLOOKUP(A245,'ECN-ECO_DATA'!B:V,19,FALSE)=0/1/1900,"",VLOOKUP(A245,'ECN-ECO_DATA'!B:V,19,FALSE))),"")</f>
        <v/>
      </c>
      <c r="O245" s="9" t="str">
        <f>IFERROR((IF(VLOOKUP(A245,'ECN-ECO_DATA'!B:V,20,FALSE)=0/1/1900,"",VLOOKUP(A245,'ECN-ECO_DATA'!B:V,20,FALSE))),"")</f>
        <v/>
      </c>
      <c r="P245" s="9" t="str">
        <f>IFERROR((IF(VLOOKUP(A245,'ECN-ECO_DATA'!B:V,21,FALSE)=0/1/1900,"",VLOOKUP(A245,'ECN-ECO_DATA'!B:V,21,FALSE))),"")</f>
        <v/>
      </c>
      <c r="Q245" s="10" t="str">
        <f t="shared" ca="1" si="15"/>
        <v/>
      </c>
      <c r="R245" s="4" t="str">
        <f t="shared" si="16"/>
        <v/>
      </c>
      <c r="S245" s="4" t="str">
        <f t="shared" si="17"/>
        <v/>
      </c>
      <c r="T245" s="4" t="str">
        <f t="shared" si="18"/>
        <v/>
      </c>
      <c r="U245" s="10" t="str">
        <f t="shared" si="19"/>
        <v/>
      </c>
      <c r="V245" s="4"/>
    </row>
    <row r="246" spans="2:22" x14ac:dyDescent="0.25">
      <c r="B246" s="4" t="str">
        <f>IFERROR(VLOOKUP(A246,'ECN-ECO_DATA'!B:G,4,FALSE),"")</f>
        <v/>
      </c>
      <c r="C246" s="9" t="str">
        <f>IFERROR(VLOOKUP(A246,'ECN-ECO_DATA'!B:G,5,FALSE),"")</f>
        <v/>
      </c>
      <c r="D246" s="9" t="str">
        <f ca="1">IFERROR((IF(VLOOKUP(A246,'ECN-ECO_DATA'!B:G,6,FALSE)=0/1/1900,TODAY(),VLOOKUP(A246,'ECN-ECO_DATA'!B:G,6,FALSE))),"")</f>
        <v/>
      </c>
      <c r="E246" s="9" t="str">
        <f>IFERROR((IF(VLOOKUP(A246,'ECN-ECO_DATA'!B:G,6,FALSE)=0/1/1900,"",VLOOKUP(A246,'ECN-ECO_DATA'!B:G,6,FALSE))),"")</f>
        <v/>
      </c>
      <c r="F246" s="9" t="str">
        <f>IFERROR((IF(VLOOKUP(A246,'ECN-ECO_DATA'!B:J,7,FALSE)=0/1/1900,"",VLOOKUP(A246,'ECN-ECO_DATA'!B:J,7,FALSE))),"")</f>
        <v/>
      </c>
      <c r="G246" s="9" t="str">
        <f>IFERROR((IF(VLOOKUP(A246,'ECN-ECO_DATA'!B:J,8,FALSE)=0/1/1900,"",VLOOKUP(A246,'ECN-ECO_DATA'!B:J,8,FALSE))),"")</f>
        <v/>
      </c>
      <c r="H246" s="9" t="str">
        <f>IFERROR((IF(VLOOKUP(A246,'ECN-ECO_DATA'!B:J,9,FALSE)=0/1/1900,"",VLOOKUP(A246,'ECN-ECO_DATA'!B:J,9,FALSE))),"")</f>
        <v/>
      </c>
      <c r="I246" s="10" t="str">
        <f>IFERROR((IF(VLOOKUP(A246,'ECN-ECO_DATA'!B:Q,13,FALSE)="","",VLOOKUP(A246,'ECN-ECO_DATA'!B:Q,13,FALSE))),"")</f>
        <v/>
      </c>
      <c r="J246" s="10" t="str">
        <f>IFERROR((IF(VLOOKUP(A246,'ECN-ECO_DATA'!B:Q,14,FALSE)="","",VLOOKUP(A246,'ECN-ECO_DATA'!B:Q,14,FALSE))),"")</f>
        <v/>
      </c>
      <c r="K246" s="10" t="str">
        <f>IFERROR((IF(VLOOKUP(A246,'ECN-ECO_DATA'!B:Q,15,FALSE)="","",VLOOKUP(A246,'ECN-ECO_DATA'!B:Q,15,FALSE))),"")</f>
        <v/>
      </c>
      <c r="L246" s="10" t="str">
        <f>IFERROR((IF(VLOOKUP(A246,'ECN-ECO_DATA'!B:Q,16,FALSE)="","",VLOOKUP(A246,'ECN-ECO_DATA'!B:Q,16,FALSE))),"")</f>
        <v/>
      </c>
      <c r="M246" s="9" t="str">
        <f>IFERROR((IF(VLOOKUP(A246,'ECN-ECO_DATA'!B:V,18,FALSE)=0/1/1900,"",VLOOKUP(A246,'ECN-ECO_DATA'!B:V,18,FALSE))),"")</f>
        <v/>
      </c>
      <c r="N246" s="9" t="str">
        <f>IFERROR((IF(VLOOKUP(A246,'ECN-ECO_DATA'!B:V,19,FALSE)=0/1/1900,"",VLOOKUP(A246,'ECN-ECO_DATA'!B:V,19,FALSE))),"")</f>
        <v/>
      </c>
      <c r="O246" s="9" t="str">
        <f>IFERROR((IF(VLOOKUP(A246,'ECN-ECO_DATA'!B:V,20,FALSE)=0/1/1900,"",VLOOKUP(A246,'ECN-ECO_DATA'!B:V,20,FALSE))),"")</f>
        <v/>
      </c>
      <c r="P246" s="9" t="str">
        <f>IFERROR((IF(VLOOKUP(A246,'ECN-ECO_DATA'!B:V,21,FALSE)=0/1/1900,"",VLOOKUP(A246,'ECN-ECO_DATA'!B:V,21,FALSE))),"")</f>
        <v/>
      </c>
      <c r="Q246" s="10" t="str">
        <f t="shared" ca="1" si="15"/>
        <v/>
      </c>
      <c r="R246" s="4" t="str">
        <f t="shared" si="16"/>
        <v/>
      </c>
      <c r="S246" s="4" t="str">
        <f t="shared" si="17"/>
        <v/>
      </c>
      <c r="T246" s="4" t="str">
        <f t="shared" si="18"/>
        <v/>
      </c>
      <c r="U246" s="10" t="str">
        <f t="shared" si="19"/>
        <v/>
      </c>
      <c r="V246" s="4"/>
    </row>
    <row r="247" spans="2:22" x14ac:dyDescent="0.25">
      <c r="B247" s="4" t="str">
        <f>IFERROR(VLOOKUP(A247,'ECN-ECO_DATA'!B:G,4,FALSE),"")</f>
        <v/>
      </c>
      <c r="C247" s="9" t="str">
        <f>IFERROR(VLOOKUP(A247,'ECN-ECO_DATA'!B:G,5,FALSE),"")</f>
        <v/>
      </c>
      <c r="D247" s="9" t="str">
        <f ca="1">IFERROR((IF(VLOOKUP(A247,'ECN-ECO_DATA'!B:G,6,FALSE)=0/1/1900,TODAY(),VLOOKUP(A247,'ECN-ECO_DATA'!B:G,6,FALSE))),"")</f>
        <v/>
      </c>
      <c r="E247" s="9" t="str">
        <f>IFERROR((IF(VLOOKUP(A247,'ECN-ECO_DATA'!B:G,6,FALSE)=0/1/1900,"",VLOOKUP(A247,'ECN-ECO_DATA'!B:G,6,FALSE))),"")</f>
        <v/>
      </c>
      <c r="F247" s="9" t="str">
        <f>IFERROR((IF(VLOOKUP(A247,'ECN-ECO_DATA'!B:J,7,FALSE)=0/1/1900,"",VLOOKUP(A247,'ECN-ECO_DATA'!B:J,7,FALSE))),"")</f>
        <v/>
      </c>
      <c r="G247" s="9" t="str">
        <f>IFERROR((IF(VLOOKUP(A247,'ECN-ECO_DATA'!B:J,8,FALSE)=0/1/1900,"",VLOOKUP(A247,'ECN-ECO_DATA'!B:J,8,FALSE))),"")</f>
        <v/>
      </c>
      <c r="H247" s="9" t="str">
        <f>IFERROR((IF(VLOOKUP(A247,'ECN-ECO_DATA'!B:J,9,FALSE)=0/1/1900,"",VLOOKUP(A247,'ECN-ECO_DATA'!B:J,9,FALSE))),"")</f>
        <v/>
      </c>
      <c r="I247" s="10" t="str">
        <f>IFERROR((IF(VLOOKUP(A247,'ECN-ECO_DATA'!B:Q,13,FALSE)="","",VLOOKUP(A247,'ECN-ECO_DATA'!B:Q,13,FALSE))),"")</f>
        <v/>
      </c>
      <c r="J247" s="10" t="str">
        <f>IFERROR((IF(VLOOKUP(A247,'ECN-ECO_DATA'!B:Q,14,FALSE)="","",VLOOKUP(A247,'ECN-ECO_DATA'!B:Q,14,FALSE))),"")</f>
        <v/>
      </c>
      <c r="K247" s="10" t="str">
        <f>IFERROR((IF(VLOOKUP(A247,'ECN-ECO_DATA'!B:Q,15,FALSE)="","",VLOOKUP(A247,'ECN-ECO_DATA'!B:Q,15,FALSE))),"")</f>
        <v/>
      </c>
      <c r="L247" s="10" t="str">
        <f>IFERROR((IF(VLOOKUP(A247,'ECN-ECO_DATA'!B:Q,16,FALSE)="","",VLOOKUP(A247,'ECN-ECO_DATA'!B:Q,16,FALSE))),"")</f>
        <v/>
      </c>
      <c r="M247" s="9" t="str">
        <f>IFERROR((IF(VLOOKUP(A247,'ECN-ECO_DATA'!B:V,18,FALSE)=0/1/1900,"",VLOOKUP(A247,'ECN-ECO_DATA'!B:V,18,FALSE))),"")</f>
        <v/>
      </c>
      <c r="N247" s="9" t="str">
        <f>IFERROR((IF(VLOOKUP(A247,'ECN-ECO_DATA'!B:V,19,FALSE)=0/1/1900,"",VLOOKUP(A247,'ECN-ECO_DATA'!B:V,19,FALSE))),"")</f>
        <v/>
      </c>
      <c r="O247" s="9" t="str">
        <f>IFERROR((IF(VLOOKUP(A247,'ECN-ECO_DATA'!B:V,20,FALSE)=0/1/1900,"",VLOOKUP(A247,'ECN-ECO_DATA'!B:V,20,FALSE))),"")</f>
        <v/>
      </c>
      <c r="P247" s="9" t="str">
        <f>IFERROR((IF(VLOOKUP(A247,'ECN-ECO_DATA'!B:V,21,FALSE)=0/1/1900,"",VLOOKUP(A247,'ECN-ECO_DATA'!B:V,21,FALSE))),"")</f>
        <v/>
      </c>
      <c r="Q247" s="10" t="str">
        <f t="shared" ca="1" si="15"/>
        <v/>
      </c>
      <c r="R247" s="4" t="str">
        <f t="shared" si="16"/>
        <v/>
      </c>
      <c r="S247" s="4" t="str">
        <f t="shared" si="17"/>
        <v/>
      </c>
      <c r="T247" s="4" t="str">
        <f t="shared" si="18"/>
        <v/>
      </c>
      <c r="U247" s="10" t="str">
        <f t="shared" si="19"/>
        <v/>
      </c>
      <c r="V247" s="4"/>
    </row>
    <row r="248" spans="2:22" x14ac:dyDescent="0.25">
      <c r="B248" s="4" t="str">
        <f>IFERROR(VLOOKUP(A248,'ECN-ECO_DATA'!B:G,4,FALSE),"")</f>
        <v/>
      </c>
      <c r="C248" s="9" t="str">
        <f>IFERROR(VLOOKUP(A248,'ECN-ECO_DATA'!B:G,5,FALSE),"")</f>
        <v/>
      </c>
      <c r="D248" s="9" t="str">
        <f ca="1">IFERROR((IF(VLOOKUP(A248,'ECN-ECO_DATA'!B:G,6,FALSE)=0/1/1900,TODAY(),VLOOKUP(A248,'ECN-ECO_DATA'!B:G,6,FALSE))),"")</f>
        <v/>
      </c>
      <c r="E248" s="9" t="str">
        <f>IFERROR((IF(VLOOKUP(A248,'ECN-ECO_DATA'!B:G,6,FALSE)=0/1/1900,"",VLOOKUP(A248,'ECN-ECO_DATA'!B:G,6,FALSE))),"")</f>
        <v/>
      </c>
      <c r="F248" s="9" t="str">
        <f>IFERROR((IF(VLOOKUP(A248,'ECN-ECO_DATA'!B:J,7,FALSE)=0/1/1900,"",VLOOKUP(A248,'ECN-ECO_DATA'!B:J,7,FALSE))),"")</f>
        <v/>
      </c>
      <c r="G248" s="9" t="str">
        <f>IFERROR((IF(VLOOKUP(A248,'ECN-ECO_DATA'!B:J,8,FALSE)=0/1/1900,"",VLOOKUP(A248,'ECN-ECO_DATA'!B:J,8,FALSE))),"")</f>
        <v/>
      </c>
      <c r="H248" s="9" t="str">
        <f>IFERROR((IF(VLOOKUP(A248,'ECN-ECO_DATA'!B:J,9,FALSE)=0/1/1900,"",VLOOKUP(A248,'ECN-ECO_DATA'!B:J,9,FALSE))),"")</f>
        <v/>
      </c>
      <c r="I248" s="10" t="str">
        <f>IFERROR((IF(VLOOKUP(A248,'ECN-ECO_DATA'!B:Q,13,FALSE)="","",VLOOKUP(A248,'ECN-ECO_DATA'!B:Q,13,FALSE))),"")</f>
        <v/>
      </c>
      <c r="J248" s="10" t="str">
        <f>IFERROR((IF(VLOOKUP(A248,'ECN-ECO_DATA'!B:Q,14,FALSE)="","",VLOOKUP(A248,'ECN-ECO_DATA'!B:Q,14,FALSE))),"")</f>
        <v/>
      </c>
      <c r="K248" s="10" t="str">
        <f>IFERROR((IF(VLOOKUP(A248,'ECN-ECO_DATA'!B:Q,15,FALSE)="","",VLOOKUP(A248,'ECN-ECO_DATA'!B:Q,15,FALSE))),"")</f>
        <v/>
      </c>
      <c r="L248" s="10" t="str">
        <f>IFERROR((IF(VLOOKUP(A248,'ECN-ECO_DATA'!B:Q,16,FALSE)="","",VLOOKUP(A248,'ECN-ECO_DATA'!B:Q,16,FALSE))),"")</f>
        <v/>
      </c>
      <c r="M248" s="9" t="str">
        <f>IFERROR((IF(VLOOKUP(A248,'ECN-ECO_DATA'!B:V,18,FALSE)=0/1/1900,"",VLOOKUP(A248,'ECN-ECO_DATA'!B:V,18,FALSE))),"")</f>
        <v/>
      </c>
      <c r="N248" s="9" t="str">
        <f>IFERROR((IF(VLOOKUP(A248,'ECN-ECO_DATA'!B:V,19,FALSE)=0/1/1900,"",VLOOKUP(A248,'ECN-ECO_DATA'!B:V,19,FALSE))),"")</f>
        <v/>
      </c>
      <c r="O248" s="9" t="str">
        <f>IFERROR((IF(VLOOKUP(A248,'ECN-ECO_DATA'!B:V,20,FALSE)=0/1/1900,"",VLOOKUP(A248,'ECN-ECO_DATA'!B:V,20,FALSE))),"")</f>
        <v/>
      </c>
      <c r="P248" s="9" t="str">
        <f>IFERROR((IF(VLOOKUP(A248,'ECN-ECO_DATA'!B:V,21,FALSE)=0/1/1900,"",VLOOKUP(A248,'ECN-ECO_DATA'!B:V,21,FALSE))),"")</f>
        <v/>
      </c>
      <c r="Q248" s="10" t="str">
        <f t="shared" ca="1" si="15"/>
        <v/>
      </c>
      <c r="R248" s="4" t="str">
        <f t="shared" si="16"/>
        <v/>
      </c>
      <c r="S248" s="4" t="str">
        <f t="shared" si="17"/>
        <v/>
      </c>
      <c r="T248" s="4" t="str">
        <f t="shared" si="18"/>
        <v/>
      </c>
      <c r="U248" s="10" t="str">
        <f t="shared" si="19"/>
        <v/>
      </c>
      <c r="V248" s="4"/>
    </row>
    <row r="249" spans="2:22" x14ac:dyDescent="0.25">
      <c r="B249" s="4" t="str">
        <f>IFERROR(VLOOKUP(A249,'ECN-ECO_DATA'!B:G,4,FALSE),"")</f>
        <v/>
      </c>
      <c r="C249" s="9" t="str">
        <f>IFERROR(VLOOKUP(A249,'ECN-ECO_DATA'!B:G,5,FALSE),"")</f>
        <v/>
      </c>
      <c r="D249" s="9" t="str">
        <f ca="1">IFERROR((IF(VLOOKUP(A249,'ECN-ECO_DATA'!B:G,6,FALSE)=0/1/1900,TODAY(),VLOOKUP(A249,'ECN-ECO_DATA'!B:G,6,FALSE))),"")</f>
        <v/>
      </c>
      <c r="E249" s="9" t="str">
        <f>IFERROR((IF(VLOOKUP(A249,'ECN-ECO_DATA'!B:G,6,FALSE)=0/1/1900,"",VLOOKUP(A249,'ECN-ECO_DATA'!B:G,6,FALSE))),"")</f>
        <v/>
      </c>
      <c r="F249" s="9" t="str">
        <f>IFERROR((IF(VLOOKUP(A249,'ECN-ECO_DATA'!B:J,7,FALSE)=0/1/1900,"",VLOOKUP(A249,'ECN-ECO_DATA'!B:J,7,FALSE))),"")</f>
        <v/>
      </c>
      <c r="G249" s="9" t="str">
        <f>IFERROR((IF(VLOOKUP(A249,'ECN-ECO_DATA'!B:J,8,FALSE)=0/1/1900,"",VLOOKUP(A249,'ECN-ECO_DATA'!B:J,8,FALSE))),"")</f>
        <v/>
      </c>
      <c r="H249" s="9" t="str">
        <f>IFERROR((IF(VLOOKUP(A249,'ECN-ECO_DATA'!B:J,9,FALSE)=0/1/1900,"",VLOOKUP(A249,'ECN-ECO_DATA'!B:J,9,FALSE))),"")</f>
        <v/>
      </c>
      <c r="I249" s="10" t="str">
        <f>IFERROR((IF(VLOOKUP(A249,'ECN-ECO_DATA'!B:Q,13,FALSE)="","",VLOOKUP(A249,'ECN-ECO_DATA'!B:Q,13,FALSE))),"")</f>
        <v/>
      </c>
      <c r="J249" s="10" t="str">
        <f>IFERROR((IF(VLOOKUP(A249,'ECN-ECO_DATA'!B:Q,14,FALSE)="","",VLOOKUP(A249,'ECN-ECO_DATA'!B:Q,14,FALSE))),"")</f>
        <v/>
      </c>
      <c r="K249" s="10" t="str">
        <f>IFERROR((IF(VLOOKUP(A249,'ECN-ECO_DATA'!B:Q,15,FALSE)="","",VLOOKUP(A249,'ECN-ECO_DATA'!B:Q,15,FALSE))),"")</f>
        <v/>
      </c>
      <c r="L249" s="10" t="str">
        <f>IFERROR((IF(VLOOKUP(A249,'ECN-ECO_DATA'!B:Q,16,FALSE)="","",VLOOKUP(A249,'ECN-ECO_DATA'!B:Q,16,FALSE))),"")</f>
        <v/>
      </c>
      <c r="M249" s="9" t="str">
        <f>IFERROR((IF(VLOOKUP(A249,'ECN-ECO_DATA'!B:V,18,FALSE)=0/1/1900,"",VLOOKUP(A249,'ECN-ECO_DATA'!B:V,18,FALSE))),"")</f>
        <v/>
      </c>
      <c r="N249" s="9" t="str">
        <f>IFERROR((IF(VLOOKUP(A249,'ECN-ECO_DATA'!B:V,19,FALSE)=0/1/1900,"",VLOOKUP(A249,'ECN-ECO_DATA'!B:V,19,FALSE))),"")</f>
        <v/>
      </c>
      <c r="O249" s="9" t="str">
        <f>IFERROR((IF(VLOOKUP(A249,'ECN-ECO_DATA'!B:V,20,FALSE)=0/1/1900,"",VLOOKUP(A249,'ECN-ECO_DATA'!B:V,20,FALSE))),"")</f>
        <v/>
      </c>
      <c r="P249" s="9" t="str">
        <f>IFERROR((IF(VLOOKUP(A249,'ECN-ECO_DATA'!B:V,21,FALSE)=0/1/1900,"",VLOOKUP(A249,'ECN-ECO_DATA'!B:V,21,FALSE))),"")</f>
        <v/>
      </c>
      <c r="Q249" s="10" t="str">
        <f t="shared" ca="1" si="15"/>
        <v/>
      </c>
      <c r="R249" s="4" t="str">
        <f t="shared" si="16"/>
        <v/>
      </c>
      <c r="S249" s="4" t="str">
        <f t="shared" si="17"/>
        <v/>
      </c>
      <c r="T249" s="4" t="str">
        <f t="shared" si="18"/>
        <v/>
      </c>
      <c r="U249" s="10" t="str">
        <f t="shared" si="19"/>
        <v/>
      </c>
      <c r="V249" s="4"/>
    </row>
    <row r="250" spans="2:22" x14ac:dyDescent="0.25">
      <c r="B250" s="4" t="str">
        <f>IFERROR(VLOOKUP(A250,'ECN-ECO_DATA'!B:G,4,FALSE),"")</f>
        <v/>
      </c>
      <c r="C250" s="9" t="str">
        <f>IFERROR(VLOOKUP(A250,'ECN-ECO_DATA'!B:G,5,FALSE),"")</f>
        <v/>
      </c>
      <c r="D250" s="9" t="str">
        <f ca="1">IFERROR((IF(VLOOKUP(A250,'ECN-ECO_DATA'!B:G,6,FALSE)=0/1/1900,TODAY(),VLOOKUP(A250,'ECN-ECO_DATA'!B:G,6,FALSE))),"")</f>
        <v/>
      </c>
      <c r="E250" s="9" t="str">
        <f>IFERROR((IF(VLOOKUP(A250,'ECN-ECO_DATA'!B:G,6,FALSE)=0/1/1900,"",VLOOKUP(A250,'ECN-ECO_DATA'!B:G,6,FALSE))),"")</f>
        <v/>
      </c>
      <c r="F250" s="9" t="str">
        <f>IFERROR((IF(VLOOKUP(A250,'ECN-ECO_DATA'!B:J,7,FALSE)=0/1/1900,"",VLOOKUP(A250,'ECN-ECO_DATA'!B:J,7,FALSE))),"")</f>
        <v/>
      </c>
      <c r="G250" s="9" t="str">
        <f>IFERROR((IF(VLOOKUP(A250,'ECN-ECO_DATA'!B:J,8,FALSE)=0/1/1900,"",VLOOKUP(A250,'ECN-ECO_DATA'!B:J,8,FALSE))),"")</f>
        <v/>
      </c>
      <c r="H250" s="9" t="str">
        <f>IFERROR((IF(VLOOKUP(A250,'ECN-ECO_DATA'!B:J,9,FALSE)=0/1/1900,"",VLOOKUP(A250,'ECN-ECO_DATA'!B:J,9,FALSE))),"")</f>
        <v/>
      </c>
      <c r="I250" s="10" t="str">
        <f>IFERROR((IF(VLOOKUP(A250,'ECN-ECO_DATA'!B:Q,13,FALSE)="","",VLOOKUP(A250,'ECN-ECO_DATA'!B:Q,13,FALSE))),"")</f>
        <v/>
      </c>
      <c r="J250" s="10" t="str">
        <f>IFERROR((IF(VLOOKUP(A250,'ECN-ECO_DATA'!B:Q,14,FALSE)="","",VLOOKUP(A250,'ECN-ECO_DATA'!B:Q,14,FALSE))),"")</f>
        <v/>
      </c>
      <c r="K250" s="10" t="str">
        <f>IFERROR((IF(VLOOKUP(A250,'ECN-ECO_DATA'!B:Q,15,FALSE)="","",VLOOKUP(A250,'ECN-ECO_DATA'!B:Q,15,FALSE))),"")</f>
        <v/>
      </c>
      <c r="L250" s="10" t="str">
        <f>IFERROR((IF(VLOOKUP(A250,'ECN-ECO_DATA'!B:Q,16,FALSE)="","",VLOOKUP(A250,'ECN-ECO_DATA'!B:Q,16,FALSE))),"")</f>
        <v/>
      </c>
      <c r="M250" s="9" t="str">
        <f>IFERROR((IF(VLOOKUP(A250,'ECN-ECO_DATA'!B:V,18,FALSE)=0/1/1900,"",VLOOKUP(A250,'ECN-ECO_DATA'!B:V,18,FALSE))),"")</f>
        <v/>
      </c>
      <c r="N250" s="9" t="str">
        <f>IFERROR((IF(VLOOKUP(A250,'ECN-ECO_DATA'!B:V,19,FALSE)=0/1/1900,"",VLOOKUP(A250,'ECN-ECO_DATA'!B:V,19,FALSE))),"")</f>
        <v/>
      </c>
      <c r="O250" s="9" t="str">
        <f>IFERROR((IF(VLOOKUP(A250,'ECN-ECO_DATA'!B:V,20,FALSE)=0/1/1900,"",VLOOKUP(A250,'ECN-ECO_DATA'!B:V,20,FALSE))),"")</f>
        <v/>
      </c>
      <c r="P250" s="9" t="str">
        <f>IFERROR((IF(VLOOKUP(A250,'ECN-ECO_DATA'!B:V,21,FALSE)=0/1/1900,"",VLOOKUP(A250,'ECN-ECO_DATA'!B:V,21,FALSE))),"")</f>
        <v/>
      </c>
      <c r="Q250" s="10" t="str">
        <f t="shared" ca="1" si="15"/>
        <v/>
      </c>
      <c r="R250" s="4" t="str">
        <f t="shared" si="16"/>
        <v/>
      </c>
      <c r="S250" s="4" t="str">
        <f t="shared" si="17"/>
        <v/>
      </c>
      <c r="T250" s="4" t="str">
        <f t="shared" si="18"/>
        <v/>
      </c>
      <c r="U250" s="10" t="str">
        <f t="shared" si="19"/>
        <v/>
      </c>
      <c r="V250" s="4"/>
    </row>
    <row r="251" spans="2:22" x14ac:dyDescent="0.25">
      <c r="B251" s="4" t="str">
        <f>IFERROR(VLOOKUP(A251,'ECN-ECO_DATA'!B:G,4,FALSE),"")</f>
        <v/>
      </c>
      <c r="C251" s="9" t="str">
        <f>IFERROR(VLOOKUP(A251,'ECN-ECO_DATA'!B:G,5,FALSE),"")</f>
        <v/>
      </c>
      <c r="D251" s="9" t="str">
        <f ca="1">IFERROR((IF(VLOOKUP(A251,'ECN-ECO_DATA'!B:G,6,FALSE)=0/1/1900,TODAY(),VLOOKUP(A251,'ECN-ECO_DATA'!B:G,6,FALSE))),"")</f>
        <v/>
      </c>
      <c r="E251" s="9" t="str">
        <f>IFERROR((IF(VLOOKUP(A251,'ECN-ECO_DATA'!B:G,6,FALSE)=0/1/1900,"",VLOOKUP(A251,'ECN-ECO_DATA'!B:G,6,FALSE))),"")</f>
        <v/>
      </c>
      <c r="F251" s="9" t="str">
        <f>IFERROR((IF(VLOOKUP(A251,'ECN-ECO_DATA'!B:J,7,FALSE)=0/1/1900,"",VLOOKUP(A251,'ECN-ECO_DATA'!B:J,7,FALSE))),"")</f>
        <v/>
      </c>
      <c r="G251" s="9" t="str">
        <f>IFERROR((IF(VLOOKUP(A251,'ECN-ECO_DATA'!B:J,8,FALSE)=0/1/1900,"",VLOOKUP(A251,'ECN-ECO_DATA'!B:J,8,FALSE))),"")</f>
        <v/>
      </c>
      <c r="H251" s="9" t="str">
        <f>IFERROR((IF(VLOOKUP(A251,'ECN-ECO_DATA'!B:J,9,FALSE)=0/1/1900,"",VLOOKUP(A251,'ECN-ECO_DATA'!B:J,9,FALSE))),"")</f>
        <v/>
      </c>
      <c r="I251" s="10" t="str">
        <f>IFERROR((IF(VLOOKUP(A251,'ECN-ECO_DATA'!B:Q,13,FALSE)="","",VLOOKUP(A251,'ECN-ECO_DATA'!B:Q,13,FALSE))),"")</f>
        <v/>
      </c>
      <c r="J251" s="10" t="str">
        <f>IFERROR((IF(VLOOKUP(A251,'ECN-ECO_DATA'!B:Q,14,FALSE)="","",VLOOKUP(A251,'ECN-ECO_DATA'!B:Q,14,FALSE))),"")</f>
        <v/>
      </c>
      <c r="K251" s="10" t="str">
        <f>IFERROR((IF(VLOOKUP(A251,'ECN-ECO_DATA'!B:Q,15,FALSE)="","",VLOOKUP(A251,'ECN-ECO_DATA'!B:Q,15,FALSE))),"")</f>
        <v/>
      </c>
      <c r="L251" s="10" t="str">
        <f>IFERROR((IF(VLOOKUP(A251,'ECN-ECO_DATA'!B:Q,16,FALSE)="","",VLOOKUP(A251,'ECN-ECO_DATA'!B:Q,16,FALSE))),"")</f>
        <v/>
      </c>
      <c r="M251" s="9" t="str">
        <f>IFERROR((IF(VLOOKUP(A251,'ECN-ECO_DATA'!B:V,18,FALSE)=0/1/1900,"",VLOOKUP(A251,'ECN-ECO_DATA'!B:V,18,FALSE))),"")</f>
        <v/>
      </c>
      <c r="N251" s="9" t="str">
        <f>IFERROR((IF(VLOOKUP(A251,'ECN-ECO_DATA'!B:V,19,FALSE)=0/1/1900,"",VLOOKUP(A251,'ECN-ECO_DATA'!B:V,19,FALSE))),"")</f>
        <v/>
      </c>
      <c r="O251" s="9" t="str">
        <f>IFERROR((IF(VLOOKUP(A251,'ECN-ECO_DATA'!B:V,20,FALSE)=0/1/1900,"",VLOOKUP(A251,'ECN-ECO_DATA'!B:V,20,FALSE))),"")</f>
        <v/>
      </c>
      <c r="P251" s="9" t="str">
        <f>IFERROR((IF(VLOOKUP(A251,'ECN-ECO_DATA'!B:V,21,FALSE)=0/1/1900,"",VLOOKUP(A251,'ECN-ECO_DATA'!B:V,21,FALSE))),"")</f>
        <v/>
      </c>
      <c r="Q251" s="10" t="str">
        <f t="shared" ca="1" si="15"/>
        <v/>
      </c>
      <c r="R251" s="4" t="str">
        <f t="shared" si="16"/>
        <v/>
      </c>
      <c r="S251" s="4" t="str">
        <f t="shared" si="17"/>
        <v/>
      </c>
      <c r="T251" s="4" t="str">
        <f t="shared" si="18"/>
        <v/>
      </c>
      <c r="U251" s="10" t="str">
        <f t="shared" si="19"/>
        <v/>
      </c>
      <c r="V251" s="4"/>
    </row>
    <row r="252" spans="2:22" x14ac:dyDescent="0.25">
      <c r="B252" s="4" t="str">
        <f>IFERROR(VLOOKUP(A252,'ECN-ECO_DATA'!B:G,4,FALSE),"")</f>
        <v/>
      </c>
      <c r="C252" s="9" t="str">
        <f>IFERROR(VLOOKUP(A252,'ECN-ECO_DATA'!B:G,5,FALSE),"")</f>
        <v/>
      </c>
      <c r="D252" s="9" t="str">
        <f ca="1">IFERROR((IF(VLOOKUP(A252,'ECN-ECO_DATA'!B:G,6,FALSE)=0/1/1900,TODAY(),VLOOKUP(A252,'ECN-ECO_DATA'!B:G,6,FALSE))),"")</f>
        <v/>
      </c>
      <c r="E252" s="9" t="str">
        <f>IFERROR((IF(VLOOKUP(A252,'ECN-ECO_DATA'!B:G,6,FALSE)=0/1/1900,"",VLOOKUP(A252,'ECN-ECO_DATA'!B:G,6,FALSE))),"")</f>
        <v/>
      </c>
      <c r="F252" s="9" t="str">
        <f>IFERROR((IF(VLOOKUP(A252,'ECN-ECO_DATA'!B:J,7,FALSE)=0/1/1900,"",VLOOKUP(A252,'ECN-ECO_DATA'!B:J,7,FALSE))),"")</f>
        <v/>
      </c>
      <c r="G252" s="9" t="str">
        <f>IFERROR((IF(VLOOKUP(A252,'ECN-ECO_DATA'!B:J,8,FALSE)=0/1/1900,"",VLOOKUP(A252,'ECN-ECO_DATA'!B:J,8,FALSE))),"")</f>
        <v/>
      </c>
      <c r="H252" s="9" t="str">
        <f>IFERROR((IF(VLOOKUP(A252,'ECN-ECO_DATA'!B:J,9,FALSE)=0/1/1900,"",VLOOKUP(A252,'ECN-ECO_DATA'!B:J,9,FALSE))),"")</f>
        <v/>
      </c>
      <c r="I252" s="10" t="str">
        <f>IFERROR((IF(VLOOKUP(A252,'ECN-ECO_DATA'!B:Q,13,FALSE)="","",VLOOKUP(A252,'ECN-ECO_DATA'!B:Q,13,FALSE))),"")</f>
        <v/>
      </c>
      <c r="J252" s="10" t="str">
        <f>IFERROR((IF(VLOOKUP(A252,'ECN-ECO_DATA'!B:Q,14,FALSE)="","",VLOOKUP(A252,'ECN-ECO_DATA'!B:Q,14,FALSE))),"")</f>
        <v/>
      </c>
      <c r="K252" s="10" t="str">
        <f>IFERROR((IF(VLOOKUP(A252,'ECN-ECO_DATA'!B:Q,15,FALSE)="","",VLOOKUP(A252,'ECN-ECO_DATA'!B:Q,15,FALSE))),"")</f>
        <v/>
      </c>
      <c r="L252" s="10" t="str">
        <f>IFERROR((IF(VLOOKUP(A252,'ECN-ECO_DATA'!B:Q,16,FALSE)="","",VLOOKUP(A252,'ECN-ECO_DATA'!B:Q,16,FALSE))),"")</f>
        <v/>
      </c>
      <c r="M252" s="9" t="str">
        <f>IFERROR((IF(VLOOKUP(A252,'ECN-ECO_DATA'!B:V,18,FALSE)=0/1/1900,"",VLOOKUP(A252,'ECN-ECO_DATA'!B:V,18,FALSE))),"")</f>
        <v/>
      </c>
      <c r="N252" s="9" t="str">
        <f>IFERROR((IF(VLOOKUP(A252,'ECN-ECO_DATA'!B:V,19,FALSE)=0/1/1900,"",VLOOKUP(A252,'ECN-ECO_DATA'!B:V,19,FALSE))),"")</f>
        <v/>
      </c>
      <c r="O252" s="9" t="str">
        <f>IFERROR((IF(VLOOKUP(A252,'ECN-ECO_DATA'!B:V,20,FALSE)=0/1/1900,"",VLOOKUP(A252,'ECN-ECO_DATA'!B:V,20,FALSE))),"")</f>
        <v/>
      </c>
      <c r="P252" s="9" t="str">
        <f>IFERROR((IF(VLOOKUP(A252,'ECN-ECO_DATA'!B:V,21,FALSE)=0/1/1900,"",VLOOKUP(A252,'ECN-ECO_DATA'!B:V,21,FALSE))),"")</f>
        <v/>
      </c>
      <c r="Q252" s="10" t="str">
        <f t="shared" ca="1" si="15"/>
        <v/>
      </c>
      <c r="R252" s="4" t="str">
        <f t="shared" si="16"/>
        <v/>
      </c>
      <c r="S252" s="4" t="str">
        <f t="shared" si="17"/>
        <v/>
      </c>
      <c r="T252" s="4" t="str">
        <f t="shared" si="18"/>
        <v/>
      </c>
      <c r="U252" s="10" t="str">
        <f t="shared" si="19"/>
        <v/>
      </c>
      <c r="V252" s="4"/>
    </row>
    <row r="253" spans="2:22" x14ac:dyDescent="0.25">
      <c r="B253" s="4" t="str">
        <f>IFERROR(VLOOKUP(A253,'ECN-ECO_DATA'!B:G,4,FALSE),"")</f>
        <v/>
      </c>
      <c r="C253" s="9" t="str">
        <f>IFERROR(VLOOKUP(A253,'ECN-ECO_DATA'!B:G,5,FALSE),"")</f>
        <v/>
      </c>
      <c r="D253" s="9" t="str">
        <f ca="1">IFERROR((IF(VLOOKUP(A253,'ECN-ECO_DATA'!B:G,6,FALSE)=0/1/1900,TODAY(),VLOOKUP(A253,'ECN-ECO_DATA'!B:G,6,FALSE))),"")</f>
        <v/>
      </c>
      <c r="E253" s="9" t="str">
        <f>IFERROR((IF(VLOOKUP(A253,'ECN-ECO_DATA'!B:G,6,FALSE)=0/1/1900,"",VLOOKUP(A253,'ECN-ECO_DATA'!B:G,6,FALSE))),"")</f>
        <v/>
      </c>
      <c r="F253" s="9" t="str">
        <f>IFERROR((IF(VLOOKUP(A253,'ECN-ECO_DATA'!B:J,7,FALSE)=0/1/1900,"",VLOOKUP(A253,'ECN-ECO_DATA'!B:J,7,FALSE))),"")</f>
        <v/>
      </c>
      <c r="G253" s="9" t="str">
        <f>IFERROR((IF(VLOOKUP(A253,'ECN-ECO_DATA'!B:J,8,FALSE)=0/1/1900,"",VLOOKUP(A253,'ECN-ECO_DATA'!B:J,8,FALSE))),"")</f>
        <v/>
      </c>
      <c r="H253" s="9" t="str">
        <f>IFERROR((IF(VLOOKUP(A253,'ECN-ECO_DATA'!B:J,9,FALSE)=0/1/1900,"",VLOOKUP(A253,'ECN-ECO_DATA'!B:J,9,FALSE))),"")</f>
        <v/>
      </c>
      <c r="I253" s="10" t="str">
        <f>IFERROR((IF(VLOOKUP(A253,'ECN-ECO_DATA'!B:Q,13,FALSE)="","",VLOOKUP(A253,'ECN-ECO_DATA'!B:Q,13,FALSE))),"")</f>
        <v/>
      </c>
      <c r="J253" s="10" t="str">
        <f>IFERROR((IF(VLOOKUP(A253,'ECN-ECO_DATA'!B:Q,14,FALSE)="","",VLOOKUP(A253,'ECN-ECO_DATA'!B:Q,14,FALSE))),"")</f>
        <v/>
      </c>
      <c r="K253" s="10" t="str">
        <f>IFERROR((IF(VLOOKUP(A253,'ECN-ECO_DATA'!B:Q,15,FALSE)="","",VLOOKUP(A253,'ECN-ECO_DATA'!B:Q,15,FALSE))),"")</f>
        <v/>
      </c>
      <c r="L253" s="10" t="str">
        <f>IFERROR((IF(VLOOKUP(A253,'ECN-ECO_DATA'!B:Q,16,FALSE)="","",VLOOKUP(A253,'ECN-ECO_DATA'!B:Q,16,FALSE))),"")</f>
        <v/>
      </c>
      <c r="M253" s="9" t="str">
        <f>IFERROR((IF(VLOOKUP(A253,'ECN-ECO_DATA'!B:V,18,FALSE)=0/1/1900,"",VLOOKUP(A253,'ECN-ECO_DATA'!B:V,18,FALSE))),"")</f>
        <v/>
      </c>
      <c r="N253" s="9" t="str">
        <f>IFERROR((IF(VLOOKUP(A253,'ECN-ECO_DATA'!B:V,19,FALSE)=0/1/1900,"",VLOOKUP(A253,'ECN-ECO_DATA'!B:V,19,FALSE))),"")</f>
        <v/>
      </c>
      <c r="O253" s="9" t="str">
        <f>IFERROR((IF(VLOOKUP(A253,'ECN-ECO_DATA'!B:V,20,FALSE)=0/1/1900,"",VLOOKUP(A253,'ECN-ECO_DATA'!B:V,20,FALSE))),"")</f>
        <v/>
      </c>
      <c r="P253" s="9" t="str">
        <f>IFERROR((IF(VLOOKUP(A253,'ECN-ECO_DATA'!B:V,21,FALSE)=0/1/1900,"",VLOOKUP(A253,'ECN-ECO_DATA'!B:V,21,FALSE))),"")</f>
        <v/>
      </c>
      <c r="Q253" s="10" t="str">
        <f t="shared" ca="1" si="15"/>
        <v/>
      </c>
      <c r="R253" s="4" t="str">
        <f t="shared" si="16"/>
        <v/>
      </c>
      <c r="S253" s="4" t="str">
        <f t="shared" si="17"/>
        <v/>
      </c>
      <c r="T253" s="4" t="str">
        <f t="shared" si="18"/>
        <v/>
      </c>
      <c r="U253" s="10" t="str">
        <f t="shared" si="19"/>
        <v/>
      </c>
      <c r="V253" s="4"/>
    </row>
    <row r="254" spans="2:22" x14ac:dyDescent="0.25">
      <c r="B254" s="4" t="str">
        <f>IFERROR(VLOOKUP(A254,'ECN-ECO_DATA'!B:G,4,FALSE),"")</f>
        <v/>
      </c>
      <c r="C254" s="9" t="str">
        <f>IFERROR(VLOOKUP(A254,'ECN-ECO_DATA'!B:G,5,FALSE),"")</f>
        <v/>
      </c>
      <c r="D254" s="9" t="str">
        <f ca="1">IFERROR((IF(VLOOKUP(A254,'ECN-ECO_DATA'!B:G,6,FALSE)=0/1/1900,TODAY(),VLOOKUP(A254,'ECN-ECO_DATA'!B:G,6,FALSE))),"")</f>
        <v/>
      </c>
      <c r="E254" s="9" t="str">
        <f>IFERROR((IF(VLOOKUP(A254,'ECN-ECO_DATA'!B:G,6,FALSE)=0/1/1900,"",VLOOKUP(A254,'ECN-ECO_DATA'!B:G,6,FALSE))),"")</f>
        <v/>
      </c>
      <c r="F254" s="9" t="str">
        <f>IFERROR((IF(VLOOKUP(A254,'ECN-ECO_DATA'!B:J,7,FALSE)=0/1/1900,"",VLOOKUP(A254,'ECN-ECO_DATA'!B:J,7,FALSE))),"")</f>
        <v/>
      </c>
      <c r="G254" s="9" t="str">
        <f>IFERROR((IF(VLOOKUP(A254,'ECN-ECO_DATA'!B:J,8,FALSE)=0/1/1900,"",VLOOKUP(A254,'ECN-ECO_DATA'!B:J,8,FALSE))),"")</f>
        <v/>
      </c>
      <c r="H254" s="9" t="str">
        <f>IFERROR((IF(VLOOKUP(A254,'ECN-ECO_DATA'!B:J,9,FALSE)=0/1/1900,"",VLOOKUP(A254,'ECN-ECO_DATA'!B:J,9,FALSE))),"")</f>
        <v/>
      </c>
      <c r="I254" s="10" t="str">
        <f>IFERROR((IF(VLOOKUP(A254,'ECN-ECO_DATA'!B:Q,13,FALSE)="","",VLOOKUP(A254,'ECN-ECO_DATA'!B:Q,13,FALSE))),"")</f>
        <v/>
      </c>
      <c r="J254" s="10" t="str">
        <f>IFERROR((IF(VLOOKUP(A254,'ECN-ECO_DATA'!B:Q,14,FALSE)="","",VLOOKUP(A254,'ECN-ECO_DATA'!B:Q,14,FALSE))),"")</f>
        <v/>
      </c>
      <c r="K254" s="10" t="str">
        <f>IFERROR((IF(VLOOKUP(A254,'ECN-ECO_DATA'!B:Q,15,FALSE)="","",VLOOKUP(A254,'ECN-ECO_DATA'!B:Q,15,FALSE))),"")</f>
        <v/>
      </c>
      <c r="L254" s="10" t="str">
        <f>IFERROR((IF(VLOOKUP(A254,'ECN-ECO_DATA'!B:Q,16,FALSE)="","",VLOOKUP(A254,'ECN-ECO_DATA'!B:Q,16,FALSE))),"")</f>
        <v/>
      </c>
      <c r="M254" s="9" t="str">
        <f>IFERROR((IF(VLOOKUP(A254,'ECN-ECO_DATA'!B:V,18,FALSE)=0/1/1900,"",VLOOKUP(A254,'ECN-ECO_DATA'!B:V,18,FALSE))),"")</f>
        <v/>
      </c>
      <c r="N254" s="9" t="str">
        <f>IFERROR((IF(VLOOKUP(A254,'ECN-ECO_DATA'!B:V,19,FALSE)=0/1/1900,"",VLOOKUP(A254,'ECN-ECO_DATA'!B:V,19,FALSE))),"")</f>
        <v/>
      </c>
      <c r="O254" s="9" t="str">
        <f>IFERROR((IF(VLOOKUP(A254,'ECN-ECO_DATA'!B:V,20,FALSE)=0/1/1900,"",VLOOKUP(A254,'ECN-ECO_DATA'!B:V,20,FALSE))),"")</f>
        <v/>
      </c>
      <c r="P254" s="9" t="str">
        <f>IFERROR((IF(VLOOKUP(A254,'ECN-ECO_DATA'!B:V,21,FALSE)=0/1/1900,"",VLOOKUP(A254,'ECN-ECO_DATA'!B:V,21,FALSE))),"")</f>
        <v/>
      </c>
      <c r="Q254" s="10" t="str">
        <f t="shared" ca="1" si="15"/>
        <v/>
      </c>
      <c r="R254" s="4" t="str">
        <f t="shared" si="16"/>
        <v/>
      </c>
      <c r="S254" s="4" t="str">
        <f t="shared" si="17"/>
        <v/>
      </c>
      <c r="T254" s="4" t="str">
        <f t="shared" si="18"/>
        <v/>
      </c>
      <c r="U254" s="10" t="str">
        <f t="shared" si="19"/>
        <v/>
      </c>
      <c r="V254" s="4"/>
    </row>
    <row r="255" spans="2:22" x14ac:dyDescent="0.25">
      <c r="B255" s="4" t="str">
        <f>IFERROR(VLOOKUP(A255,'ECN-ECO_DATA'!B:G,4,FALSE),"")</f>
        <v/>
      </c>
      <c r="C255" s="9" t="str">
        <f>IFERROR(VLOOKUP(A255,'ECN-ECO_DATA'!B:G,5,FALSE),"")</f>
        <v/>
      </c>
      <c r="D255" s="9" t="str">
        <f ca="1">IFERROR((IF(VLOOKUP(A255,'ECN-ECO_DATA'!B:G,6,FALSE)=0/1/1900,TODAY(),VLOOKUP(A255,'ECN-ECO_DATA'!B:G,6,FALSE))),"")</f>
        <v/>
      </c>
      <c r="E255" s="9" t="str">
        <f>IFERROR((IF(VLOOKUP(A255,'ECN-ECO_DATA'!B:G,6,FALSE)=0/1/1900,"",VLOOKUP(A255,'ECN-ECO_DATA'!B:G,6,FALSE))),"")</f>
        <v/>
      </c>
      <c r="F255" s="9" t="str">
        <f>IFERROR((IF(VLOOKUP(A255,'ECN-ECO_DATA'!B:J,7,FALSE)=0/1/1900,"",VLOOKUP(A255,'ECN-ECO_DATA'!B:J,7,FALSE))),"")</f>
        <v/>
      </c>
      <c r="G255" s="9" t="str">
        <f>IFERROR((IF(VLOOKUP(A255,'ECN-ECO_DATA'!B:J,8,FALSE)=0/1/1900,"",VLOOKUP(A255,'ECN-ECO_DATA'!B:J,8,FALSE))),"")</f>
        <v/>
      </c>
      <c r="H255" s="9" t="str">
        <f>IFERROR((IF(VLOOKUP(A255,'ECN-ECO_DATA'!B:J,9,FALSE)=0/1/1900,"",VLOOKUP(A255,'ECN-ECO_DATA'!B:J,9,FALSE))),"")</f>
        <v/>
      </c>
      <c r="I255" s="10" t="str">
        <f>IFERROR((IF(VLOOKUP(A255,'ECN-ECO_DATA'!B:Q,13,FALSE)="","",VLOOKUP(A255,'ECN-ECO_DATA'!B:Q,13,FALSE))),"")</f>
        <v/>
      </c>
      <c r="J255" s="10" t="str">
        <f>IFERROR((IF(VLOOKUP(A255,'ECN-ECO_DATA'!B:Q,14,FALSE)="","",VLOOKUP(A255,'ECN-ECO_DATA'!B:Q,14,FALSE))),"")</f>
        <v/>
      </c>
      <c r="K255" s="10" t="str">
        <f>IFERROR((IF(VLOOKUP(A255,'ECN-ECO_DATA'!B:Q,15,FALSE)="","",VLOOKUP(A255,'ECN-ECO_DATA'!B:Q,15,FALSE))),"")</f>
        <v/>
      </c>
      <c r="L255" s="10" t="str">
        <f>IFERROR((IF(VLOOKUP(A255,'ECN-ECO_DATA'!B:Q,16,FALSE)="","",VLOOKUP(A255,'ECN-ECO_DATA'!B:Q,16,FALSE))),"")</f>
        <v/>
      </c>
      <c r="M255" s="9" t="str">
        <f>IFERROR((IF(VLOOKUP(A255,'ECN-ECO_DATA'!B:V,18,FALSE)=0/1/1900,"",VLOOKUP(A255,'ECN-ECO_DATA'!B:V,18,FALSE))),"")</f>
        <v/>
      </c>
      <c r="N255" s="9" t="str">
        <f>IFERROR((IF(VLOOKUP(A255,'ECN-ECO_DATA'!B:V,19,FALSE)=0/1/1900,"",VLOOKUP(A255,'ECN-ECO_DATA'!B:V,19,FALSE))),"")</f>
        <v/>
      </c>
      <c r="O255" s="9" t="str">
        <f>IFERROR((IF(VLOOKUP(A255,'ECN-ECO_DATA'!B:V,20,FALSE)=0/1/1900,"",VLOOKUP(A255,'ECN-ECO_DATA'!B:V,20,FALSE))),"")</f>
        <v/>
      </c>
      <c r="P255" s="9" t="str">
        <f>IFERROR((IF(VLOOKUP(A255,'ECN-ECO_DATA'!B:V,21,FALSE)=0/1/1900,"",VLOOKUP(A255,'ECN-ECO_DATA'!B:V,21,FALSE))),"")</f>
        <v/>
      </c>
      <c r="Q255" s="10" t="str">
        <f t="shared" ca="1" si="15"/>
        <v/>
      </c>
      <c r="R255" s="4" t="str">
        <f t="shared" si="16"/>
        <v/>
      </c>
      <c r="S255" s="4" t="str">
        <f t="shared" si="17"/>
        <v/>
      </c>
      <c r="T255" s="4" t="str">
        <f t="shared" si="18"/>
        <v/>
      </c>
      <c r="U255" s="10" t="str">
        <f t="shared" si="19"/>
        <v/>
      </c>
      <c r="V255" s="4"/>
    </row>
    <row r="256" spans="2:22" x14ac:dyDescent="0.25">
      <c r="B256" s="4" t="str">
        <f>IFERROR(VLOOKUP(A256,'ECN-ECO_DATA'!B:G,4,FALSE),"")</f>
        <v/>
      </c>
      <c r="C256" s="9" t="str">
        <f>IFERROR(VLOOKUP(A256,'ECN-ECO_DATA'!B:G,5,FALSE),"")</f>
        <v/>
      </c>
      <c r="D256" s="9" t="str">
        <f ca="1">IFERROR((IF(VLOOKUP(A256,'ECN-ECO_DATA'!B:G,6,FALSE)=0/1/1900,TODAY(),VLOOKUP(A256,'ECN-ECO_DATA'!B:G,6,FALSE))),"")</f>
        <v/>
      </c>
      <c r="E256" s="9" t="str">
        <f>IFERROR((IF(VLOOKUP(A256,'ECN-ECO_DATA'!B:G,6,FALSE)=0/1/1900,"",VLOOKUP(A256,'ECN-ECO_DATA'!B:G,6,FALSE))),"")</f>
        <v/>
      </c>
      <c r="F256" s="9" t="str">
        <f>IFERROR((IF(VLOOKUP(A256,'ECN-ECO_DATA'!B:J,7,FALSE)=0/1/1900,"",VLOOKUP(A256,'ECN-ECO_DATA'!B:J,7,FALSE))),"")</f>
        <v/>
      </c>
      <c r="G256" s="9" t="str">
        <f>IFERROR((IF(VLOOKUP(A256,'ECN-ECO_DATA'!B:J,8,FALSE)=0/1/1900,"",VLOOKUP(A256,'ECN-ECO_DATA'!B:J,8,FALSE))),"")</f>
        <v/>
      </c>
      <c r="H256" s="9" t="str">
        <f>IFERROR((IF(VLOOKUP(A256,'ECN-ECO_DATA'!B:J,9,FALSE)=0/1/1900,"",VLOOKUP(A256,'ECN-ECO_DATA'!B:J,9,FALSE))),"")</f>
        <v/>
      </c>
      <c r="I256" s="10" t="str">
        <f>IFERROR((IF(VLOOKUP(A256,'ECN-ECO_DATA'!B:Q,13,FALSE)="","",VLOOKUP(A256,'ECN-ECO_DATA'!B:Q,13,FALSE))),"")</f>
        <v/>
      </c>
      <c r="J256" s="10" t="str">
        <f>IFERROR((IF(VLOOKUP(A256,'ECN-ECO_DATA'!B:Q,14,FALSE)="","",VLOOKUP(A256,'ECN-ECO_DATA'!B:Q,14,FALSE))),"")</f>
        <v/>
      </c>
      <c r="K256" s="10" t="str">
        <f>IFERROR((IF(VLOOKUP(A256,'ECN-ECO_DATA'!B:Q,15,FALSE)="","",VLOOKUP(A256,'ECN-ECO_DATA'!B:Q,15,FALSE))),"")</f>
        <v/>
      </c>
      <c r="L256" s="10" t="str">
        <f>IFERROR((IF(VLOOKUP(A256,'ECN-ECO_DATA'!B:Q,16,FALSE)="","",VLOOKUP(A256,'ECN-ECO_DATA'!B:Q,16,FALSE))),"")</f>
        <v/>
      </c>
      <c r="M256" s="9" t="str">
        <f>IFERROR((IF(VLOOKUP(A256,'ECN-ECO_DATA'!B:V,18,FALSE)=0/1/1900,"",VLOOKUP(A256,'ECN-ECO_DATA'!B:V,18,FALSE))),"")</f>
        <v/>
      </c>
      <c r="N256" s="9" t="str">
        <f>IFERROR((IF(VLOOKUP(A256,'ECN-ECO_DATA'!B:V,19,FALSE)=0/1/1900,"",VLOOKUP(A256,'ECN-ECO_DATA'!B:V,19,FALSE))),"")</f>
        <v/>
      </c>
      <c r="O256" s="9" t="str">
        <f>IFERROR((IF(VLOOKUP(A256,'ECN-ECO_DATA'!B:V,20,FALSE)=0/1/1900,"",VLOOKUP(A256,'ECN-ECO_DATA'!B:V,20,FALSE))),"")</f>
        <v/>
      </c>
      <c r="P256" s="9" t="str">
        <f>IFERROR((IF(VLOOKUP(A256,'ECN-ECO_DATA'!B:V,21,FALSE)=0/1/1900,"",VLOOKUP(A256,'ECN-ECO_DATA'!B:V,21,FALSE))),"")</f>
        <v/>
      </c>
      <c r="Q256" s="10" t="str">
        <f t="shared" ca="1" si="15"/>
        <v/>
      </c>
      <c r="R256" s="4" t="str">
        <f t="shared" si="16"/>
        <v/>
      </c>
      <c r="S256" s="4" t="str">
        <f t="shared" si="17"/>
        <v/>
      </c>
      <c r="T256" s="4" t="str">
        <f t="shared" si="18"/>
        <v/>
      </c>
      <c r="U256" s="10" t="str">
        <f t="shared" si="19"/>
        <v/>
      </c>
      <c r="V256" s="4"/>
    </row>
    <row r="257" spans="2:22" x14ac:dyDescent="0.25">
      <c r="B257" s="4" t="str">
        <f>IFERROR(VLOOKUP(A257,'ECN-ECO_DATA'!B:G,4,FALSE),"")</f>
        <v/>
      </c>
      <c r="C257" s="9" t="str">
        <f>IFERROR(VLOOKUP(A257,'ECN-ECO_DATA'!B:G,5,FALSE),"")</f>
        <v/>
      </c>
      <c r="D257" s="9" t="str">
        <f ca="1">IFERROR((IF(VLOOKUP(A257,'ECN-ECO_DATA'!B:G,6,FALSE)=0/1/1900,TODAY(),VLOOKUP(A257,'ECN-ECO_DATA'!B:G,6,FALSE))),"")</f>
        <v/>
      </c>
      <c r="E257" s="9" t="str">
        <f>IFERROR((IF(VLOOKUP(A257,'ECN-ECO_DATA'!B:G,6,FALSE)=0/1/1900,"",VLOOKUP(A257,'ECN-ECO_DATA'!B:G,6,FALSE))),"")</f>
        <v/>
      </c>
      <c r="F257" s="9" t="str">
        <f>IFERROR((IF(VLOOKUP(A257,'ECN-ECO_DATA'!B:J,7,FALSE)=0/1/1900,"",VLOOKUP(A257,'ECN-ECO_DATA'!B:J,7,FALSE))),"")</f>
        <v/>
      </c>
      <c r="G257" s="9" t="str">
        <f>IFERROR((IF(VLOOKUP(A257,'ECN-ECO_DATA'!B:J,8,FALSE)=0/1/1900,"",VLOOKUP(A257,'ECN-ECO_DATA'!B:J,8,FALSE))),"")</f>
        <v/>
      </c>
      <c r="H257" s="9" t="str">
        <f>IFERROR((IF(VLOOKUP(A257,'ECN-ECO_DATA'!B:J,9,FALSE)=0/1/1900,"",VLOOKUP(A257,'ECN-ECO_DATA'!B:J,9,FALSE))),"")</f>
        <v/>
      </c>
      <c r="I257" s="10" t="str">
        <f>IFERROR((IF(VLOOKUP(A257,'ECN-ECO_DATA'!B:Q,13,FALSE)="","",VLOOKUP(A257,'ECN-ECO_DATA'!B:Q,13,FALSE))),"")</f>
        <v/>
      </c>
      <c r="J257" s="10" t="str">
        <f>IFERROR((IF(VLOOKUP(A257,'ECN-ECO_DATA'!B:Q,14,FALSE)="","",VLOOKUP(A257,'ECN-ECO_DATA'!B:Q,14,FALSE))),"")</f>
        <v/>
      </c>
      <c r="K257" s="10" t="str">
        <f>IFERROR((IF(VLOOKUP(A257,'ECN-ECO_DATA'!B:Q,15,FALSE)="","",VLOOKUP(A257,'ECN-ECO_DATA'!B:Q,15,FALSE))),"")</f>
        <v/>
      </c>
      <c r="L257" s="10" t="str">
        <f>IFERROR((IF(VLOOKUP(A257,'ECN-ECO_DATA'!B:Q,16,FALSE)="","",VLOOKUP(A257,'ECN-ECO_DATA'!B:Q,16,FALSE))),"")</f>
        <v/>
      </c>
      <c r="M257" s="9" t="str">
        <f>IFERROR((IF(VLOOKUP(A257,'ECN-ECO_DATA'!B:V,18,FALSE)=0/1/1900,"",VLOOKUP(A257,'ECN-ECO_DATA'!B:V,18,FALSE))),"")</f>
        <v/>
      </c>
      <c r="N257" s="9" t="str">
        <f>IFERROR((IF(VLOOKUP(A257,'ECN-ECO_DATA'!B:V,19,FALSE)=0/1/1900,"",VLOOKUP(A257,'ECN-ECO_DATA'!B:V,19,FALSE))),"")</f>
        <v/>
      </c>
      <c r="O257" s="9" t="str">
        <f>IFERROR((IF(VLOOKUP(A257,'ECN-ECO_DATA'!B:V,20,FALSE)=0/1/1900,"",VLOOKUP(A257,'ECN-ECO_DATA'!B:V,20,FALSE))),"")</f>
        <v/>
      </c>
      <c r="P257" s="9" t="str">
        <f>IFERROR((IF(VLOOKUP(A257,'ECN-ECO_DATA'!B:V,21,FALSE)=0/1/1900,"",VLOOKUP(A257,'ECN-ECO_DATA'!B:V,21,FALSE))),"")</f>
        <v/>
      </c>
      <c r="Q257" s="10" t="str">
        <f t="shared" ca="1" si="15"/>
        <v/>
      </c>
      <c r="R257" s="4" t="str">
        <f t="shared" si="16"/>
        <v/>
      </c>
      <c r="S257" s="4" t="str">
        <f t="shared" si="17"/>
        <v/>
      </c>
      <c r="T257" s="4" t="str">
        <f t="shared" si="18"/>
        <v/>
      </c>
      <c r="U257" s="10" t="str">
        <f t="shared" si="19"/>
        <v/>
      </c>
      <c r="V257" s="4"/>
    </row>
    <row r="258" spans="2:22" x14ac:dyDescent="0.25">
      <c r="B258" s="4" t="str">
        <f>IFERROR(VLOOKUP(A258,'ECN-ECO_DATA'!B:G,4,FALSE),"")</f>
        <v/>
      </c>
      <c r="C258" s="9" t="str">
        <f>IFERROR(VLOOKUP(A258,'ECN-ECO_DATA'!B:G,5,FALSE),"")</f>
        <v/>
      </c>
      <c r="D258" s="9" t="str">
        <f ca="1">IFERROR((IF(VLOOKUP(A258,'ECN-ECO_DATA'!B:G,6,FALSE)=0/1/1900,TODAY(),VLOOKUP(A258,'ECN-ECO_DATA'!B:G,6,FALSE))),"")</f>
        <v/>
      </c>
      <c r="E258" s="9" t="str">
        <f>IFERROR((IF(VLOOKUP(A258,'ECN-ECO_DATA'!B:G,6,FALSE)=0/1/1900,"",VLOOKUP(A258,'ECN-ECO_DATA'!B:G,6,FALSE))),"")</f>
        <v/>
      </c>
      <c r="F258" s="9" t="str">
        <f>IFERROR((IF(VLOOKUP(A258,'ECN-ECO_DATA'!B:J,7,FALSE)=0/1/1900,"",VLOOKUP(A258,'ECN-ECO_DATA'!B:J,7,FALSE))),"")</f>
        <v/>
      </c>
      <c r="G258" s="9" t="str">
        <f>IFERROR((IF(VLOOKUP(A258,'ECN-ECO_DATA'!B:J,8,FALSE)=0/1/1900,"",VLOOKUP(A258,'ECN-ECO_DATA'!B:J,8,FALSE))),"")</f>
        <v/>
      </c>
      <c r="H258" s="9" t="str">
        <f>IFERROR((IF(VLOOKUP(A258,'ECN-ECO_DATA'!B:J,9,FALSE)=0/1/1900,"",VLOOKUP(A258,'ECN-ECO_DATA'!B:J,9,FALSE))),"")</f>
        <v/>
      </c>
      <c r="I258" s="10" t="str">
        <f>IFERROR((IF(VLOOKUP(A258,'ECN-ECO_DATA'!B:Q,13,FALSE)="","",VLOOKUP(A258,'ECN-ECO_DATA'!B:Q,13,FALSE))),"")</f>
        <v/>
      </c>
      <c r="J258" s="10" t="str">
        <f>IFERROR((IF(VLOOKUP(A258,'ECN-ECO_DATA'!B:Q,14,FALSE)="","",VLOOKUP(A258,'ECN-ECO_DATA'!B:Q,14,FALSE))),"")</f>
        <v/>
      </c>
      <c r="K258" s="10" t="str">
        <f>IFERROR((IF(VLOOKUP(A258,'ECN-ECO_DATA'!B:Q,15,FALSE)="","",VLOOKUP(A258,'ECN-ECO_DATA'!B:Q,15,FALSE))),"")</f>
        <v/>
      </c>
      <c r="L258" s="10" t="str">
        <f>IFERROR((IF(VLOOKUP(A258,'ECN-ECO_DATA'!B:Q,16,FALSE)="","",VLOOKUP(A258,'ECN-ECO_DATA'!B:Q,16,FALSE))),"")</f>
        <v/>
      </c>
      <c r="M258" s="9" t="str">
        <f>IFERROR((IF(VLOOKUP(A258,'ECN-ECO_DATA'!B:V,18,FALSE)=0/1/1900,"",VLOOKUP(A258,'ECN-ECO_DATA'!B:V,18,FALSE))),"")</f>
        <v/>
      </c>
      <c r="N258" s="9" t="str">
        <f>IFERROR((IF(VLOOKUP(A258,'ECN-ECO_DATA'!B:V,19,FALSE)=0/1/1900,"",VLOOKUP(A258,'ECN-ECO_DATA'!B:V,19,FALSE))),"")</f>
        <v/>
      </c>
      <c r="O258" s="9" t="str">
        <f>IFERROR((IF(VLOOKUP(A258,'ECN-ECO_DATA'!B:V,20,FALSE)=0/1/1900,"",VLOOKUP(A258,'ECN-ECO_DATA'!B:V,20,FALSE))),"")</f>
        <v/>
      </c>
      <c r="P258" s="9" t="str">
        <f>IFERROR((IF(VLOOKUP(A258,'ECN-ECO_DATA'!B:V,21,FALSE)=0/1/1900,"",VLOOKUP(A258,'ECN-ECO_DATA'!B:V,21,FALSE))),"")</f>
        <v/>
      </c>
      <c r="Q258" s="10" t="str">
        <f t="shared" ca="1" si="15"/>
        <v/>
      </c>
      <c r="R258" s="4" t="str">
        <f t="shared" si="16"/>
        <v/>
      </c>
      <c r="S258" s="4" t="str">
        <f t="shared" si="17"/>
        <v/>
      </c>
      <c r="T258" s="4" t="str">
        <f t="shared" si="18"/>
        <v/>
      </c>
      <c r="U258" s="10" t="str">
        <f t="shared" si="19"/>
        <v/>
      </c>
      <c r="V258" s="4"/>
    </row>
    <row r="259" spans="2:22" x14ac:dyDescent="0.25">
      <c r="B259" s="4" t="str">
        <f>IFERROR(VLOOKUP(A259,'ECN-ECO_DATA'!B:G,4,FALSE),"")</f>
        <v/>
      </c>
      <c r="C259" s="9" t="str">
        <f>IFERROR(VLOOKUP(A259,'ECN-ECO_DATA'!B:G,5,FALSE),"")</f>
        <v/>
      </c>
      <c r="D259" s="9" t="str">
        <f ca="1">IFERROR((IF(VLOOKUP(A259,'ECN-ECO_DATA'!B:G,6,FALSE)=0/1/1900,TODAY(),VLOOKUP(A259,'ECN-ECO_DATA'!B:G,6,FALSE))),"")</f>
        <v/>
      </c>
      <c r="E259" s="9" t="str">
        <f>IFERROR((IF(VLOOKUP(A259,'ECN-ECO_DATA'!B:G,6,FALSE)=0/1/1900,"",VLOOKUP(A259,'ECN-ECO_DATA'!B:G,6,FALSE))),"")</f>
        <v/>
      </c>
      <c r="F259" s="9" t="str">
        <f>IFERROR((IF(VLOOKUP(A259,'ECN-ECO_DATA'!B:J,7,FALSE)=0/1/1900,"",VLOOKUP(A259,'ECN-ECO_DATA'!B:J,7,FALSE))),"")</f>
        <v/>
      </c>
      <c r="G259" s="9" t="str">
        <f>IFERROR((IF(VLOOKUP(A259,'ECN-ECO_DATA'!B:J,8,FALSE)=0/1/1900,"",VLOOKUP(A259,'ECN-ECO_DATA'!B:J,8,FALSE))),"")</f>
        <v/>
      </c>
      <c r="H259" s="9" t="str">
        <f>IFERROR((IF(VLOOKUP(A259,'ECN-ECO_DATA'!B:J,9,FALSE)=0/1/1900,"",VLOOKUP(A259,'ECN-ECO_DATA'!B:J,9,FALSE))),"")</f>
        <v/>
      </c>
      <c r="I259" s="10" t="str">
        <f>IFERROR((IF(VLOOKUP(A259,'ECN-ECO_DATA'!B:Q,13,FALSE)="","",VLOOKUP(A259,'ECN-ECO_DATA'!B:Q,13,FALSE))),"")</f>
        <v/>
      </c>
      <c r="J259" s="10" t="str">
        <f>IFERROR((IF(VLOOKUP(A259,'ECN-ECO_DATA'!B:Q,14,FALSE)="","",VLOOKUP(A259,'ECN-ECO_DATA'!B:Q,14,FALSE))),"")</f>
        <v/>
      </c>
      <c r="K259" s="10" t="str">
        <f>IFERROR((IF(VLOOKUP(A259,'ECN-ECO_DATA'!B:Q,15,FALSE)="","",VLOOKUP(A259,'ECN-ECO_DATA'!B:Q,15,FALSE))),"")</f>
        <v/>
      </c>
      <c r="L259" s="10" t="str">
        <f>IFERROR((IF(VLOOKUP(A259,'ECN-ECO_DATA'!B:Q,16,FALSE)="","",VLOOKUP(A259,'ECN-ECO_DATA'!B:Q,16,FALSE))),"")</f>
        <v/>
      </c>
      <c r="M259" s="9" t="str">
        <f>IFERROR((IF(VLOOKUP(A259,'ECN-ECO_DATA'!B:V,18,FALSE)=0/1/1900,"",VLOOKUP(A259,'ECN-ECO_DATA'!B:V,18,FALSE))),"")</f>
        <v/>
      </c>
      <c r="N259" s="9" t="str">
        <f>IFERROR((IF(VLOOKUP(A259,'ECN-ECO_DATA'!B:V,19,FALSE)=0/1/1900,"",VLOOKUP(A259,'ECN-ECO_DATA'!B:V,19,FALSE))),"")</f>
        <v/>
      </c>
      <c r="O259" s="9" t="str">
        <f>IFERROR((IF(VLOOKUP(A259,'ECN-ECO_DATA'!B:V,20,FALSE)=0/1/1900,"",VLOOKUP(A259,'ECN-ECO_DATA'!B:V,20,FALSE))),"")</f>
        <v/>
      </c>
      <c r="P259" s="9" t="str">
        <f>IFERROR((IF(VLOOKUP(A259,'ECN-ECO_DATA'!B:V,21,FALSE)=0/1/1900,"",VLOOKUP(A259,'ECN-ECO_DATA'!B:V,21,FALSE))),"")</f>
        <v/>
      </c>
      <c r="Q259" s="10" t="str">
        <f t="shared" ref="Q259:Q322" ca="1" si="20">IFERROR(D259-C259,"")</f>
        <v/>
      </c>
      <c r="R259" s="4" t="str">
        <f t="shared" ref="R259:R322" si="21">IFERROR(H259-E259,"")</f>
        <v/>
      </c>
      <c r="S259" s="4" t="str">
        <f t="shared" ref="S259:S322" si="22">IFERROR(N259-H259,"")</f>
        <v/>
      </c>
      <c r="T259" s="4" t="str">
        <f t="shared" ref="T259:T322" si="23">IFERROR(O259-N259,"")</f>
        <v/>
      </c>
      <c r="U259" s="10" t="str">
        <f t="shared" ref="U259:U322" si="24">IF(O259="","",IF(SUM(Q259:T259)=0,"",SUM(Q259:T259)))</f>
        <v/>
      </c>
      <c r="V259" s="4"/>
    </row>
    <row r="260" spans="2:22" x14ac:dyDescent="0.25">
      <c r="B260" s="4" t="str">
        <f>IFERROR(VLOOKUP(A260,'ECN-ECO_DATA'!B:G,4,FALSE),"")</f>
        <v/>
      </c>
      <c r="C260" s="9" t="str">
        <f>IFERROR(VLOOKUP(A260,'ECN-ECO_DATA'!B:G,5,FALSE),"")</f>
        <v/>
      </c>
      <c r="D260" s="9" t="str">
        <f ca="1">IFERROR((IF(VLOOKUP(A260,'ECN-ECO_DATA'!B:G,6,FALSE)=0/1/1900,TODAY(),VLOOKUP(A260,'ECN-ECO_DATA'!B:G,6,FALSE))),"")</f>
        <v/>
      </c>
      <c r="E260" s="9" t="str">
        <f>IFERROR((IF(VLOOKUP(A260,'ECN-ECO_DATA'!B:G,6,FALSE)=0/1/1900,"",VLOOKUP(A260,'ECN-ECO_DATA'!B:G,6,FALSE))),"")</f>
        <v/>
      </c>
      <c r="F260" s="9" t="str">
        <f>IFERROR((IF(VLOOKUP(A260,'ECN-ECO_DATA'!B:J,7,FALSE)=0/1/1900,"",VLOOKUP(A260,'ECN-ECO_DATA'!B:J,7,FALSE))),"")</f>
        <v/>
      </c>
      <c r="G260" s="9" t="str">
        <f>IFERROR((IF(VLOOKUP(A260,'ECN-ECO_DATA'!B:J,8,FALSE)=0/1/1900,"",VLOOKUP(A260,'ECN-ECO_DATA'!B:J,8,FALSE))),"")</f>
        <v/>
      </c>
      <c r="H260" s="9" t="str">
        <f>IFERROR((IF(VLOOKUP(A260,'ECN-ECO_DATA'!B:J,9,FALSE)=0/1/1900,"",VLOOKUP(A260,'ECN-ECO_DATA'!B:J,9,FALSE))),"")</f>
        <v/>
      </c>
      <c r="I260" s="10" t="str">
        <f>IFERROR((IF(VLOOKUP(A260,'ECN-ECO_DATA'!B:Q,13,FALSE)="","",VLOOKUP(A260,'ECN-ECO_DATA'!B:Q,13,FALSE))),"")</f>
        <v/>
      </c>
      <c r="J260" s="10" t="str">
        <f>IFERROR((IF(VLOOKUP(A260,'ECN-ECO_DATA'!B:Q,14,FALSE)="","",VLOOKUP(A260,'ECN-ECO_DATA'!B:Q,14,FALSE))),"")</f>
        <v/>
      </c>
      <c r="K260" s="10" t="str">
        <f>IFERROR((IF(VLOOKUP(A260,'ECN-ECO_DATA'!B:Q,15,FALSE)="","",VLOOKUP(A260,'ECN-ECO_DATA'!B:Q,15,FALSE))),"")</f>
        <v/>
      </c>
      <c r="L260" s="10" t="str">
        <f>IFERROR((IF(VLOOKUP(A260,'ECN-ECO_DATA'!B:Q,16,FALSE)="","",VLOOKUP(A260,'ECN-ECO_DATA'!B:Q,16,FALSE))),"")</f>
        <v/>
      </c>
      <c r="M260" s="9" t="str">
        <f>IFERROR((IF(VLOOKUP(A260,'ECN-ECO_DATA'!B:V,18,FALSE)=0/1/1900,"",VLOOKUP(A260,'ECN-ECO_DATA'!B:V,18,FALSE))),"")</f>
        <v/>
      </c>
      <c r="N260" s="9" t="str">
        <f>IFERROR((IF(VLOOKUP(A260,'ECN-ECO_DATA'!B:V,19,FALSE)=0/1/1900,"",VLOOKUP(A260,'ECN-ECO_DATA'!B:V,19,FALSE))),"")</f>
        <v/>
      </c>
      <c r="O260" s="9" t="str">
        <f>IFERROR((IF(VLOOKUP(A260,'ECN-ECO_DATA'!B:V,20,FALSE)=0/1/1900,"",VLOOKUP(A260,'ECN-ECO_DATA'!B:V,20,FALSE))),"")</f>
        <v/>
      </c>
      <c r="P260" s="9" t="str">
        <f>IFERROR((IF(VLOOKUP(A260,'ECN-ECO_DATA'!B:V,21,FALSE)=0/1/1900,"",VLOOKUP(A260,'ECN-ECO_DATA'!B:V,21,FALSE))),"")</f>
        <v/>
      </c>
      <c r="Q260" s="10" t="str">
        <f t="shared" ca="1" si="20"/>
        <v/>
      </c>
      <c r="R260" s="4" t="str">
        <f t="shared" si="21"/>
        <v/>
      </c>
      <c r="S260" s="4" t="str">
        <f t="shared" si="22"/>
        <v/>
      </c>
      <c r="T260" s="4" t="str">
        <f t="shared" si="23"/>
        <v/>
      </c>
      <c r="U260" s="10" t="str">
        <f t="shared" si="24"/>
        <v/>
      </c>
      <c r="V260" s="4"/>
    </row>
    <row r="261" spans="2:22" x14ac:dyDescent="0.25">
      <c r="B261" s="4" t="str">
        <f>IFERROR(VLOOKUP(A261,'ECN-ECO_DATA'!B:G,4,FALSE),"")</f>
        <v/>
      </c>
      <c r="C261" s="9" t="str">
        <f>IFERROR(VLOOKUP(A261,'ECN-ECO_DATA'!B:G,5,FALSE),"")</f>
        <v/>
      </c>
      <c r="D261" s="9" t="str">
        <f ca="1">IFERROR((IF(VLOOKUP(A261,'ECN-ECO_DATA'!B:G,6,FALSE)=0/1/1900,TODAY(),VLOOKUP(A261,'ECN-ECO_DATA'!B:G,6,FALSE))),"")</f>
        <v/>
      </c>
      <c r="E261" s="9" t="str">
        <f>IFERROR((IF(VLOOKUP(A261,'ECN-ECO_DATA'!B:G,6,FALSE)=0/1/1900,"",VLOOKUP(A261,'ECN-ECO_DATA'!B:G,6,FALSE))),"")</f>
        <v/>
      </c>
      <c r="F261" s="9" t="str">
        <f>IFERROR((IF(VLOOKUP(A261,'ECN-ECO_DATA'!B:J,7,FALSE)=0/1/1900,"",VLOOKUP(A261,'ECN-ECO_DATA'!B:J,7,FALSE))),"")</f>
        <v/>
      </c>
      <c r="G261" s="9" t="str">
        <f>IFERROR((IF(VLOOKUP(A261,'ECN-ECO_DATA'!B:J,8,FALSE)=0/1/1900,"",VLOOKUP(A261,'ECN-ECO_DATA'!B:J,8,FALSE))),"")</f>
        <v/>
      </c>
      <c r="H261" s="9" t="str">
        <f>IFERROR((IF(VLOOKUP(A261,'ECN-ECO_DATA'!B:J,9,FALSE)=0/1/1900,"",VLOOKUP(A261,'ECN-ECO_DATA'!B:J,9,FALSE))),"")</f>
        <v/>
      </c>
      <c r="I261" s="10" t="str">
        <f>IFERROR((IF(VLOOKUP(A261,'ECN-ECO_DATA'!B:Q,13,FALSE)="","",VLOOKUP(A261,'ECN-ECO_DATA'!B:Q,13,FALSE))),"")</f>
        <v/>
      </c>
      <c r="J261" s="10" t="str">
        <f>IFERROR((IF(VLOOKUP(A261,'ECN-ECO_DATA'!B:Q,14,FALSE)="","",VLOOKUP(A261,'ECN-ECO_DATA'!B:Q,14,FALSE))),"")</f>
        <v/>
      </c>
      <c r="K261" s="10" t="str">
        <f>IFERROR((IF(VLOOKUP(A261,'ECN-ECO_DATA'!B:Q,15,FALSE)="","",VLOOKUP(A261,'ECN-ECO_DATA'!B:Q,15,FALSE))),"")</f>
        <v/>
      </c>
      <c r="L261" s="10" t="str">
        <f>IFERROR((IF(VLOOKUP(A261,'ECN-ECO_DATA'!B:Q,16,FALSE)="","",VLOOKUP(A261,'ECN-ECO_DATA'!B:Q,16,FALSE))),"")</f>
        <v/>
      </c>
      <c r="M261" s="9" t="str">
        <f>IFERROR((IF(VLOOKUP(A261,'ECN-ECO_DATA'!B:V,18,FALSE)=0/1/1900,"",VLOOKUP(A261,'ECN-ECO_DATA'!B:V,18,FALSE))),"")</f>
        <v/>
      </c>
      <c r="N261" s="9" t="str">
        <f>IFERROR((IF(VLOOKUP(A261,'ECN-ECO_DATA'!B:V,19,FALSE)=0/1/1900,"",VLOOKUP(A261,'ECN-ECO_DATA'!B:V,19,FALSE))),"")</f>
        <v/>
      </c>
      <c r="O261" s="9" t="str">
        <f>IFERROR((IF(VLOOKUP(A261,'ECN-ECO_DATA'!B:V,20,FALSE)=0/1/1900,"",VLOOKUP(A261,'ECN-ECO_DATA'!B:V,20,FALSE))),"")</f>
        <v/>
      </c>
      <c r="P261" s="9" t="str">
        <f>IFERROR((IF(VLOOKUP(A261,'ECN-ECO_DATA'!B:V,21,FALSE)=0/1/1900,"",VLOOKUP(A261,'ECN-ECO_DATA'!B:V,21,FALSE))),"")</f>
        <v/>
      </c>
      <c r="Q261" s="10" t="str">
        <f t="shared" ca="1" si="20"/>
        <v/>
      </c>
      <c r="R261" s="4" t="str">
        <f t="shared" si="21"/>
        <v/>
      </c>
      <c r="S261" s="4" t="str">
        <f t="shared" si="22"/>
        <v/>
      </c>
      <c r="T261" s="4" t="str">
        <f t="shared" si="23"/>
        <v/>
      </c>
      <c r="U261" s="10" t="str">
        <f t="shared" si="24"/>
        <v/>
      </c>
      <c r="V261" s="4"/>
    </row>
    <row r="262" spans="2:22" x14ac:dyDescent="0.25">
      <c r="B262" s="4" t="str">
        <f>IFERROR(VLOOKUP(A262,'ECN-ECO_DATA'!B:G,4,FALSE),"")</f>
        <v/>
      </c>
      <c r="C262" s="9" t="str">
        <f>IFERROR(VLOOKUP(A262,'ECN-ECO_DATA'!B:G,5,FALSE),"")</f>
        <v/>
      </c>
      <c r="D262" s="9" t="str">
        <f ca="1">IFERROR((IF(VLOOKUP(A262,'ECN-ECO_DATA'!B:G,6,FALSE)=0/1/1900,TODAY(),VLOOKUP(A262,'ECN-ECO_DATA'!B:G,6,FALSE))),"")</f>
        <v/>
      </c>
      <c r="E262" s="9" t="str">
        <f>IFERROR((IF(VLOOKUP(A262,'ECN-ECO_DATA'!B:G,6,FALSE)=0/1/1900,"",VLOOKUP(A262,'ECN-ECO_DATA'!B:G,6,FALSE))),"")</f>
        <v/>
      </c>
      <c r="F262" s="9" t="str">
        <f>IFERROR((IF(VLOOKUP(A262,'ECN-ECO_DATA'!B:J,7,FALSE)=0/1/1900,"",VLOOKUP(A262,'ECN-ECO_DATA'!B:J,7,FALSE))),"")</f>
        <v/>
      </c>
      <c r="G262" s="9" t="str">
        <f>IFERROR((IF(VLOOKUP(A262,'ECN-ECO_DATA'!B:J,8,FALSE)=0/1/1900,"",VLOOKUP(A262,'ECN-ECO_DATA'!B:J,8,FALSE))),"")</f>
        <v/>
      </c>
      <c r="H262" s="9" t="str">
        <f>IFERROR((IF(VLOOKUP(A262,'ECN-ECO_DATA'!B:J,9,FALSE)=0/1/1900,"",VLOOKUP(A262,'ECN-ECO_DATA'!B:J,9,FALSE))),"")</f>
        <v/>
      </c>
      <c r="I262" s="10" t="str">
        <f>IFERROR((IF(VLOOKUP(A262,'ECN-ECO_DATA'!B:Q,13,FALSE)="","",VLOOKUP(A262,'ECN-ECO_DATA'!B:Q,13,FALSE))),"")</f>
        <v/>
      </c>
      <c r="J262" s="10" t="str">
        <f>IFERROR((IF(VLOOKUP(A262,'ECN-ECO_DATA'!B:Q,14,FALSE)="","",VLOOKUP(A262,'ECN-ECO_DATA'!B:Q,14,FALSE))),"")</f>
        <v/>
      </c>
      <c r="K262" s="10" t="str">
        <f>IFERROR((IF(VLOOKUP(A262,'ECN-ECO_DATA'!B:Q,15,FALSE)="","",VLOOKUP(A262,'ECN-ECO_DATA'!B:Q,15,FALSE))),"")</f>
        <v/>
      </c>
      <c r="L262" s="10" t="str">
        <f>IFERROR((IF(VLOOKUP(A262,'ECN-ECO_DATA'!B:Q,16,FALSE)="","",VLOOKUP(A262,'ECN-ECO_DATA'!B:Q,16,FALSE))),"")</f>
        <v/>
      </c>
      <c r="M262" s="9" t="str">
        <f>IFERROR((IF(VLOOKUP(A262,'ECN-ECO_DATA'!B:V,18,FALSE)=0/1/1900,"",VLOOKUP(A262,'ECN-ECO_DATA'!B:V,18,FALSE))),"")</f>
        <v/>
      </c>
      <c r="N262" s="9" t="str">
        <f>IFERROR((IF(VLOOKUP(A262,'ECN-ECO_DATA'!B:V,19,FALSE)=0/1/1900,"",VLOOKUP(A262,'ECN-ECO_DATA'!B:V,19,FALSE))),"")</f>
        <v/>
      </c>
      <c r="O262" s="9" t="str">
        <f>IFERROR((IF(VLOOKUP(A262,'ECN-ECO_DATA'!B:V,20,FALSE)=0/1/1900,"",VLOOKUP(A262,'ECN-ECO_DATA'!B:V,20,FALSE))),"")</f>
        <v/>
      </c>
      <c r="P262" s="9" t="str">
        <f>IFERROR((IF(VLOOKUP(A262,'ECN-ECO_DATA'!B:V,21,FALSE)=0/1/1900,"",VLOOKUP(A262,'ECN-ECO_DATA'!B:V,21,FALSE))),"")</f>
        <v/>
      </c>
      <c r="Q262" s="10" t="str">
        <f t="shared" ca="1" si="20"/>
        <v/>
      </c>
      <c r="R262" s="4" t="str">
        <f t="shared" si="21"/>
        <v/>
      </c>
      <c r="S262" s="4" t="str">
        <f t="shared" si="22"/>
        <v/>
      </c>
      <c r="T262" s="4" t="str">
        <f t="shared" si="23"/>
        <v/>
      </c>
      <c r="U262" s="10" t="str">
        <f t="shared" si="24"/>
        <v/>
      </c>
      <c r="V262" s="4"/>
    </row>
    <row r="263" spans="2:22" x14ac:dyDescent="0.25">
      <c r="B263" s="4" t="str">
        <f>IFERROR(VLOOKUP(A263,'ECN-ECO_DATA'!B:G,4,FALSE),"")</f>
        <v/>
      </c>
      <c r="C263" s="9" t="str">
        <f>IFERROR(VLOOKUP(A263,'ECN-ECO_DATA'!B:G,5,FALSE),"")</f>
        <v/>
      </c>
      <c r="D263" s="9" t="str">
        <f ca="1">IFERROR((IF(VLOOKUP(A263,'ECN-ECO_DATA'!B:G,6,FALSE)=0/1/1900,TODAY(),VLOOKUP(A263,'ECN-ECO_DATA'!B:G,6,FALSE))),"")</f>
        <v/>
      </c>
      <c r="E263" s="9" t="str">
        <f>IFERROR((IF(VLOOKUP(A263,'ECN-ECO_DATA'!B:G,6,FALSE)=0/1/1900,"",VLOOKUP(A263,'ECN-ECO_DATA'!B:G,6,FALSE))),"")</f>
        <v/>
      </c>
      <c r="F263" s="9" t="str">
        <f>IFERROR((IF(VLOOKUP(A263,'ECN-ECO_DATA'!B:J,7,FALSE)=0/1/1900,"",VLOOKUP(A263,'ECN-ECO_DATA'!B:J,7,FALSE))),"")</f>
        <v/>
      </c>
      <c r="G263" s="9" t="str">
        <f>IFERROR((IF(VLOOKUP(A263,'ECN-ECO_DATA'!B:J,8,FALSE)=0/1/1900,"",VLOOKUP(A263,'ECN-ECO_DATA'!B:J,8,FALSE))),"")</f>
        <v/>
      </c>
      <c r="H263" s="9" t="str">
        <f>IFERROR((IF(VLOOKUP(A263,'ECN-ECO_DATA'!B:J,9,FALSE)=0/1/1900,"",VLOOKUP(A263,'ECN-ECO_DATA'!B:J,9,FALSE))),"")</f>
        <v/>
      </c>
      <c r="I263" s="10" t="str">
        <f>IFERROR((IF(VLOOKUP(A263,'ECN-ECO_DATA'!B:Q,13,FALSE)="","",VLOOKUP(A263,'ECN-ECO_DATA'!B:Q,13,FALSE))),"")</f>
        <v/>
      </c>
      <c r="J263" s="10" t="str">
        <f>IFERROR((IF(VLOOKUP(A263,'ECN-ECO_DATA'!B:Q,14,FALSE)="","",VLOOKUP(A263,'ECN-ECO_DATA'!B:Q,14,FALSE))),"")</f>
        <v/>
      </c>
      <c r="K263" s="10" t="str">
        <f>IFERROR((IF(VLOOKUP(A263,'ECN-ECO_DATA'!B:Q,15,FALSE)="","",VLOOKUP(A263,'ECN-ECO_DATA'!B:Q,15,FALSE))),"")</f>
        <v/>
      </c>
      <c r="L263" s="10" t="str">
        <f>IFERROR((IF(VLOOKUP(A263,'ECN-ECO_DATA'!B:Q,16,FALSE)="","",VLOOKUP(A263,'ECN-ECO_DATA'!B:Q,16,FALSE))),"")</f>
        <v/>
      </c>
      <c r="M263" s="9" t="str">
        <f>IFERROR((IF(VLOOKUP(A263,'ECN-ECO_DATA'!B:V,18,FALSE)=0/1/1900,"",VLOOKUP(A263,'ECN-ECO_DATA'!B:V,18,FALSE))),"")</f>
        <v/>
      </c>
      <c r="N263" s="9" t="str">
        <f>IFERROR((IF(VLOOKUP(A263,'ECN-ECO_DATA'!B:V,19,FALSE)=0/1/1900,"",VLOOKUP(A263,'ECN-ECO_DATA'!B:V,19,FALSE))),"")</f>
        <v/>
      </c>
      <c r="O263" s="9" t="str">
        <f>IFERROR((IF(VLOOKUP(A263,'ECN-ECO_DATA'!B:V,20,FALSE)=0/1/1900,"",VLOOKUP(A263,'ECN-ECO_DATA'!B:V,20,FALSE))),"")</f>
        <v/>
      </c>
      <c r="P263" s="9" t="str">
        <f>IFERROR((IF(VLOOKUP(A263,'ECN-ECO_DATA'!B:V,21,FALSE)=0/1/1900,"",VLOOKUP(A263,'ECN-ECO_DATA'!B:V,21,FALSE))),"")</f>
        <v/>
      </c>
      <c r="Q263" s="10" t="str">
        <f t="shared" ca="1" si="20"/>
        <v/>
      </c>
      <c r="R263" s="4" t="str">
        <f t="shared" si="21"/>
        <v/>
      </c>
      <c r="S263" s="4" t="str">
        <f t="shared" si="22"/>
        <v/>
      </c>
      <c r="T263" s="4" t="str">
        <f t="shared" si="23"/>
        <v/>
      </c>
      <c r="U263" s="10" t="str">
        <f t="shared" si="24"/>
        <v/>
      </c>
      <c r="V263" s="4"/>
    </row>
    <row r="264" spans="2:22" x14ac:dyDescent="0.25">
      <c r="B264" s="4" t="str">
        <f>IFERROR(VLOOKUP(A264,'ECN-ECO_DATA'!B:G,4,FALSE),"")</f>
        <v/>
      </c>
      <c r="C264" s="9" t="str">
        <f>IFERROR(VLOOKUP(A264,'ECN-ECO_DATA'!B:G,5,FALSE),"")</f>
        <v/>
      </c>
      <c r="D264" s="9" t="str">
        <f ca="1">IFERROR((IF(VLOOKUP(A264,'ECN-ECO_DATA'!B:G,6,FALSE)=0/1/1900,TODAY(),VLOOKUP(A264,'ECN-ECO_DATA'!B:G,6,FALSE))),"")</f>
        <v/>
      </c>
      <c r="E264" s="9" t="str">
        <f>IFERROR((IF(VLOOKUP(A264,'ECN-ECO_DATA'!B:G,6,FALSE)=0/1/1900,"",VLOOKUP(A264,'ECN-ECO_DATA'!B:G,6,FALSE))),"")</f>
        <v/>
      </c>
      <c r="F264" s="9" t="str">
        <f>IFERROR((IF(VLOOKUP(A264,'ECN-ECO_DATA'!B:J,7,FALSE)=0/1/1900,"",VLOOKUP(A264,'ECN-ECO_DATA'!B:J,7,FALSE))),"")</f>
        <v/>
      </c>
      <c r="G264" s="9" t="str">
        <f>IFERROR((IF(VLOOKUP(A264,'ECN-ECO_DATA'!B:J,8,FALSE)=0/1/1900,"",VLOOKUP(A264,'ECN-ECO_DATA'!B:J,8,FALSE))),"")</f>
        <v/>
      </c>
      <c r="H264" s="9" t="str">
        <f>IFERROR((IF(VLOOKUP(A264,'ECN-ECO_DATA'!B:J,9,FALSE)=0/1/1900,"",VLOOKUP(A264,'ECN-ECO_DATA'!B:J,9,FALSE))),"")</f>
        <v/>
      </c>
      <c r="I264" s="10" t="str">
        <f>IFERROR((IF(VLOOKUP(A264,'ECN-ECO_DATA'!B:Q,13,FALSE)="","",VLOOKUP(A264,'ECN-ECO_DATA'!B:Q,13,FALSE))),"")</f>
        <v/>
      </c>
      <c r="J264" s="10" t="str">
        <f>IFERROR((IF(VLOOKUP(A264,'ECN-ECO_DATA'!B:Q,14,FALSE)="","",VLOOKUP(A264,'ECN-ECO_DATA'!B:Q,14,FALSE))),"")</f>
        <v/>
      </c>
      <c r="K264" s="10" t="str">
        <f>IFERROR((IF(VLOOKUP(A264,'ECN-ECO_DATA'!B:Q,15,FALSE)="","",VLOOKUP(A264,'ECN-ECO_DATA'!B:Q,15,FALSE))),"")</f>
        <v/>
      </c>
      <c r="L264" s="10" t="str">
        <f>IFERROR((IF(VLOOKUP(A264,'ECN-ECO_DATA'!B:Q,16,FALSE)="","",VLOOKUP(A264,'ECN-ECO_DATA'!B:Q,16,FALSE))),"")</f>
        <v/>
      </c>
      <c r="M264" s="9" t="str">
        <f>IFERROR((IF(VLOOKUP(A264,'ECN-ECO_DATA'!B:V,18,FALSE)=0/1/1900,"",VLOOKUP(A264,'ECN-ECO_DATA'!B:V,18,FALSE))),"")</f>
        <v/>
      </c>
      <c r="N264" s="9" t="str">
        <f>IFERROR((IF(VLOOKUP(A264,'ECN-ECO_DATA'!B:V,19,FALSE)=0/1/1900,"",VLOOKUP(A264,'ECN-ECO_DATA'!B:V,19,FALSE))),"")</f>
        <v/>
      </c>
      <c r="O264" s="9" t="str">
        <f>IFERROR((IF(VLOOKUP(A264,'ECN-ECO_DATA'!B:V,20,FALSE)=0/1/1900,"",VLOOKUP(A264,'ECN-ECO_DATA'!B:V,20,FALSE))),"")</f>
        <v/>
      </c>
      <c r="P264" s="9" t="str">
        <f>IFERROR((IF(VLOOKUP(A264,'ECN-ECO_DATA'!B:V,21,FALSE)=0/1/1900,"",VLOOKUP(A264,'ECN-ECO_DATA'!B:V,21,FALSE))),"")</f>
        <v/>
      </c>
      <c r="Q264" s="10" t="str">
        <f t="shared" ca="1" si="20"/>
        <v/>
      </c>
      <c r="R264" s="4" t="str">
        <f t="shared" si="21"/>
        <v/>
      </c>
      <c r="S264" s="4" t="str">
        <f t="shared" si="22"/>
        <v/>
      </c>
      <c r="T264" s="4" t="str">
        <f t="shared" si="23"/>
        <v/>
      </c>
      <c r="U264" s="10" t="str">
        <f t="shared" si="24"/>
        <v/>
      </c>
      <c r="V264" s="4"/>
    </row>
    <row r="265" spans="2:22" x14ac:dyDescent="0.25">
      <c r="B265" s="4" t="str">
        <f>IFERROR(VLOOKUP(A265,'ECN-ECO_DATA'!B:G,4,FALSE),"")</f>
        <v/>
      </c>
      <c r="C265" s="9" t="str">
        <f>IFERROR(VLOOKUP(A265,'ECN-ECO_DATA'!B:G,5,FALSE),"")</f>
        <v/>
      </c>
      <c r="D265" s="9" t="str">
        <f ca="1">IFERROR((IF(VLOOKUP(A265,'ECN-ECO_DATA'!B:G,6,FALSE)=0/1/1900,TODAY(),VLOOKUP(A265,'ECN-ECO_DATA'!B:G,6,FALSE))),"")</f>
        <v/>
      </c>
      <c r="E265" s="9" t="str">
        <f>IFERROR((IF(VLOOKUP(A265,'ECN-ECO_DATA'!B:G,6,FALSE)=0/1/1900,"",VLOOKUP(A265,'ECN-ECO_DATA'!B:G,6,FALSE))),"")</f>
        <v/>
      </c>
      <c r="F265" s="9" t="str">
        <f>IFERROR((IF(VLOOKUP(A265,'ECN-ECO_DATA'!B:J,7,FALSE)=0/1/1900,"",VLOOKUP(A265,'ECN-ECO_DATA'!B:J,7,FALSE))),"")</f>
        <v/>
      </c>
      <c r="G265" s="9" t="str">
        <f>IFERROR((IF(VLOOKUP(A265,'ECN-ECO_DATA'!B:J,8,FALSE)=0/1/1900,"",VLOOKUP(A265,'ECN-ECO_DATA'!B:J,8,FALSE))),"")</f>
        <v/>
      </c>
      <c r="H265" s="9" t="str">
        <f>IFERROR((IF(VLOOKUP(A265,'ECN-ECO_DATA'!B:J,9,FALSE)=0/1/1900,"",VLOOKUP(A265,'ECN-ECO_DATA'!B:J,9,FALSE))),"")</f>
        <v/>
      </c>
      <c r="I265" s="10" t="str">
        <f>IFERROR((IF(VLOOKUP(A265,'ECN-ECO_DATA'!B:Q,13,FALSE)="","",VLOOKUP(A265,'ECN-ECO_DATA'!B:Q,13,FALSE))),"")</f>
        <v/>
      </c>
      <c r="J265" s="10" t="str">
        <f>IFERROR((IF(VLOOKUP(A265,'ECN-ECO_DATA'!B:Q,14,FALSE)="","",VLOOKUP(A265,'ECN-ECO_DATA'!B:Q,14,FALSE))),"")</f>
        <v/>
      </c>
      <c r="K265" s="10" t="str">
        <f>IFERROR((IF(VLOOKUP(A265,'ECN-ECO_DATA'!B:Q,15,FALSE)="","",VLOOKUP(A265,'ECN-ECO_DATA'!B:Q,15,FALSE))),"")</f>
        <v/>
      </c>
      <c r="L265" s="10" t="str">
        <f>IFERROR((IF(VLOOKUP(A265,'ECN-ECO_DATA'!B:Q,16,FALSE)="","",VLOOKUP(A265,'ECN-ECO_DATA'!B:Q,16,FALSE))),"")</f>
        <v/>
      </c>
      <c r="M265" s="9" t="str">
        <f>IFERROR((IF(VLOOKUP(A265,'ECN-ECO_DATA'!B:V,18,FALSE)=0/1/1900,"",VLOOKUP(A265,'ECN-ECO_DATA'!B:V,18,FALSE))),"")</f>
        <v/>
      </c>
      <c r="N265" s="9" t="str">
        <f>IFERROR((IF(VLOOKUP(A265,'ECN-ECO_DATA'!B:V,19,FALSE)=0/1/1900,"",VLOOKUP(A265,'ECN-ECO_DATA'!B:V,19,FALSE))),"")</f>
        <v/>
      </c>
      <c r="O265" s="9" t="str">
        <f>IFERROR((IF(VLOOKUP(A265,'ECN-ECO_DATA'!B:V,20,FALSE)=0/1/1900,"",VLOOKUP(A265,'ECN-ECO_DATA'!B:V,20,FALSE))),"")</f>
        <v/>
      </c>
      <c r="P265" s="9" t="str">
        <f>IFERROR((IF(VLOOKUP(A265,'ECN-ECO_DATA'!B:V,21,FALSE)=0/1/1900,"",VLOOKUP(A265,'ECN-ECO_DATA'!B:V,21,FALSE))),"")</f>
        <v/>
      </c>
      <c r="Q265" s="10" t="str">
        <f t="shared" ca="1" si="20"/>
        <v/>
      </c>
      <c r="R265" s="4" t="str">
        <f t="shared" si="21"/>
        <v/>
      </c>
      <c r="S265" s="4" t="str">
        <f t="shared" si="22"/>
        <v/>
      </c>
      <c r="T265" s="4" t="str">
        <f t="shared" si="23"/>
        <v/>
      </c>
      <c r="U265" s="10" t="str">
        <f t="shared" si="24"/>
        <v/>
      </c>
      <c r="V265" s="4"/>
    </row>
    <row r="266" spans="2:22" x14ac:dyDescent="0.25">
      <c r="B266" s="4" t="str">
        <f>IFERROR(VLOOKUP(A266,'ECN-ECO_DATA'!B:G,4,FALSE),"")</f>
        <v/>
      </c>
      <c r="C266" s="9" t="str">
        <f>IFERROR(VLOOKUP(A266,'ECN-ECO_DATA'!B:G,5,FALSE),"")</f>
        <v/>
      </c>
      <c r="D266" s="9" t="str">
        <f ca="1">IFERROR((IF(VLOOKUP(A266,'ECN-ECO_DATA'!B:G,6,FALSE)=0/1/1900,TODAY(),VLOOKUP(A266,'ECN-ECO_DATA'!B:G,6,FALSE))),"")</f>
        <v/>
      </c>
      <c r="E266" s="9" t="str">
        <f>IFERROR((IF(VLOOKUP(A266,'ECN-ECO_DATA'!B:G,6,FALSE)=0/1/1900,"",VLOOKUP(A266,'ECN-ECO_DATA'!B:G,6,FALSE))),"")</f>
        <v/>
      </c>
      <c r="F266" s="9" t="str">
        <f>IFERROR((IF(VLOOKUP(A266,'ECN-ECO_DATA'!B:J,7,FALSE)=0/1/1900,"",VLOOKUP(A266,'ECN-ECO_DATA'!B:J,7,FALSE))),"")</f>
        <v/>
      </c>
      <c r="G266" s="9" t="str">
        <f>IFERROR((IF(VLOOKUP(A266,'ECN-ECO_DATA'!B:J,8,FALSE)=0/1/1900,"",VLOOKUP(A266,'ECN-ECO_DATA'!B:J,8,FALSE))),"")</f>
        <v/>
      </c>
      <c r="H266" s="9" t="str">
        <f>IFERROR((IF(VLOOKUP(A266,'ECN-ECO_DATA'!B:J,9,FALSE)=0/1/1900,"",VLOOKUP(A266,'ECN-ECO_DATA'!B:J,9,FALSE))),"")</f>
        <v/>
      </c>
      <c r="I266" s="10" t="str">
        <f>IFERROR((IF(VLOOKUP(A266,'ECN-ECO_DATA'!B:Q,13,FALSE)="","",VLOOKUP(A266,'ECN-ECO_DATA'!B:Q,13,FALSE))),"")</f>
        <v/>
      </c>
      <c r="J266" s="10" t="str">
        <f>IFERROR((IF(VLOOKUP(A266,'ECN-ECO_DATA'!B:Q,14,FALSE)="","",VLOOKUP(A266,'ECN-ECO_DATA'!B:Q,14,FALSE))),"")</f>
        <v/>
      </c>
      <c r="K266" s="10" t="str">
        <f>IFERROR((IF(VLOOKUP(A266,'ECN-ECO_DATA'!B:Q,15,FALSE)="","",VLOOKUP(A266,'ECN-ECO_DATA'!B:Q,15,FALSE))),"")</f>
        <v/>
      </c>
      <c r="L266" s="10" t="str">
        <f>IFERROR((IF(VLOOKUP(A266,'ECN-ECO_DATA'!B:Q,16,FALSE)="","",VLOOKUP(A266,'ECN-ECO_DATA'!B:Q,16,FALSE))),"")</f>
        <v/>
      </c>
      <c r="M266" s="9" t="str">
        <f>IFERROR((IF(VLOOKUP(A266,'ECN-ECO_DATA'!B:V,18,FALSE)=0/1/1900,"",VLOOKUP(A266,'ECN-ECO_DATA'!B:V,18,FALSE))),"")</f>
        <v/>
      </c>
      <c r="N266" s="9" t="str">
        <f>IFERROR((IF(VLOOKUP(A266,'ECN-ECO_DATA'!B:V,19,FALSE)=0/1/1900,"",VLOOKUP(A266,'ECN-ECO_DATA'!B:V,19,FALSE))),"")</f>
        <v/>
      </c>
      <c r="O266" s="9" t="str">
        <f>IFERROR((IF(VLOOKUP(A266,'ECN-ECO_DATA'!B:V,20,FALSE)=0/1/1900,"",VLOOKUP(A266,'ECN-ECO_DATA'!B:V,20,FALSE))),"")</f>
        <v/>
      </c>
      <c r="P266" s="9" t="str">
        <f>IFERROR((IF(VLOOKUP(A266,'ECN-ECO_DATA'!B:V,21,FALSE)=0/1/1900,"",VLOOKUP(A266,'ECN-ECO_DATA'!B:V,21,FALSE))),"")</f>
        <v/>
      </c>
      <c r="Q266" s="10" t="str">
        <f t="shared" ca="1" si="20"/>
        <v/>
      </c>
      <c r="R266" s="4" t="str">
        <f t="shared" si="21"/>
        <v/>
      </c>
      <c r="S266" s="4" t="str">
        <f t="shared" si="22"/>
        <v/>
      </c>
      <c r="T266" s="4" t="str">
        <f t="shared" si="23"/>
        <v/>
      </c>
      <c r="U266" s="10" t="str">
        <f t="shared" si="24"/>
        <v/>
      </c>
      <c r="V266" s="4"/>
    </row>
    <row r="267" spans="2:22" x14ac:dyDescent="0.25">
      <c r="B267" s="4" t="str">
        <f>IFERROR(VLOOKUP(A267,'ECN-ECO_DATA'!B:G,4,FALSE),"")</f>
        <v/>
      </c>
      <c r="C267" s="9" t="str">
        <f>IFERROR(VLOOKUP(A267,'ECN-ECO_DATA'!B:G,5,FALSE),"")</f>
        <v/>
      </c>
      <c r="D267" s="9" t="str">
        <f ca="1">IFERROR((IF(VLOOKUP(A267,'ECN-ECO_DATA'!B:G,6,FALSE)=0/1/1900,TODAY(),VLOOKUP(A267,'ECN-ECO_DATA'!B:G,6,FALSE))),"")</f>
        <v/>
      </c>
      <c r="E267" s="9" t="str">
        <f>IFERROR((IF(VLOOKUP(A267,'ECN-ECO_DATA'!B:G,6,FALSE)=0/1/1900,"",VLOOKUP(A267,'ECN-ECO_DATA'!B:G,6,FALSE))),"")</f>
        <v/>
      </c>
      <c r="F267" s="9" t="str">
        <f>IFERROR((IF(VLOOKUP(A267,'ECN-ECO_DATA'!B:J,7,FALSE)=0/1/1900,"",VLOOKUP(A267,'ECN-ECO_DATA'!B:J,7,FALSE))),"")</f>
        <v/>
      </c>
      <c r="G267" s="9" t="str">
        <f>IFERROR((IF(VLOOKUP(A267,'ECN-ECO_DATA'!B:J,8,FALSE)=0/1/1900,"",VLOOKUP(A267,'ECN-ECO_DATA'!B:J,8,FALSE))),"")</f>
        <v/>
      </c>
      <c r="H267" s="9" t="str">
        <f>IFERROR((IF(VLOOKUP(A267,'ECN-ECO_DATA'!B:J,9,FALSE)=0/1/1900,"",VLOOKUP(A267,'ECN-ECO_DATA'!B:J,9,FALSE))),"")</f>
        <v/>
      </c>
      <c r="I267" s="10" t="str">
        <f>IFERROR((IF(VLOOKUP(A267,'ECN-ECO_DATA'!B:Q,13,FALSE)="","",VLOOKUP(A267,'ECN-ECO_DATA'!B:Q,13,FALSE))),"")</f>
        <v/>
      </c>
      <c r="J267" s="10" t="str">
        <f>IFERROR((IF(VLOOKUP(A267,'ECN-ECO_DATA'!B:Q,14,FALSE)="","",VLOOKUP(A267,'ECN-ECO_DATA'!B:Q,14,FALSE))),"")</f>
        <v/>
      </c>
      <c r="K267" s="10" t="str">
        <f>IFERROR((IF(VLOOKUP(A267,'ECN-ECO_DATA'!B:Q,15,FALSE)="","",VLOOKUP(A267,'ECN-ECO_DATA'!B:Q,15,FALSE))),"")</f>
        <v/>
      </c>
      <c r="L267" s="10" t="str">
        <f>IFERROR((IF(VLOOKUP(A267,'ECN-ECO_DATA'!B:Q,16,FALSE)="","",VLOOKUP(A267,'ECN-ECO_DATA'!B:Q,16,FALSE))),"")</f>
        <v/>
      </c>
      <c r="M267" s="9" t="str">
        <f>IFERROR((IF(VLOOKUP(A267,'ECN-ECO_DATA'!B:V,18,FALSE)=0/1/1900,"",VLOOKUP(A267,'ECN-ECO_DATA'!B:V,18,FALSE))),"")</f>
        <v/>
      </c>
      <c r="N267" s="9" t="str">
        <f>IFERROR((IF(VLOOKUP(A267,'ECN-ECO_DATA'!B:V,19,FALSE)=0/1/1900,"",VLOOKUP(A267,'ECN-ECO_DATA'!B:V,19,FALSE))),"")</f>
        <v/>
      </c>
      <c r="O267" s="9" t="str">
        <f>IFERROR((IF(VLOOKUP(A267,'ECN-ECO_DATA'!B:V,20,FALSE)=0/1/1900,"",VLOOKUP(A267,'ECN-ECO_DATA'!B:V,20,FALSE))),"")</f>
        <v/>
      </c>
      <c r="P267" s="9" t="str">
        <f>IFERROR((IF(VLOOKUP(A267,'ECN-ECO_DATA'!B:V,21,FALSE)=0/1/1900,"",VLOOKUP(A267,'ECN-ECO_DATA'!B:V,21,FALSE))),"")</f>
        <v/>
      </c>
      <c r="Q267" s="10" t="str">
        <f t="shared" ca="1" si="20"/>
        <v/>
      </c>
      <c r="R267" s="4" t="str">
        <f t="shared" si="21"/>
        <v/>
      </c>
      <c r="S267" s="4" t="str">
        <f t="shared" si="22"/>
        <v/>
      </c>
      <c r="T267" s="4" t="str">
        <f t="shared" si="23"/>
        <v/>
      </c>
      <c r="U267" s="10" t="str">
        <f t="shared" si="24"/>
        <v/>
      </c>
      <c r="V267" s="4"/>
    </row>
    <row r="268" spans="2:22" x14ac:dyDescent="0.25">
      <c r="B268" s="4" t="str">
        <f>IFERROR(VLOOKUP(A268,'ECN-ECO_DATA'!B:G,4,FALSE),"")</f>
        <v/>
      </c>
      <c r="C268" s="9" t="str">
        <f>IFERROR(VLOOKUP(A268,'ECN-ECO_DATA'!B:G,5,FALSE),"")</f>
        <v/>
      </c>
      <c r="D268" s="9" t="str">
        <f ca="1">IFERROR((IF(VLOOKUP(A268,'ECN-ECO_DATA'!B:G,6,FALSE)=0/1/1900,TODAY(),VLOOKUP(A268,'ECN-ECO_DATA'!B:G,6,FALSE))),"")</f>
        <v/>
      </c>
      <c r="E268" s="9" t="str">
        <f>IFERROR((IF(VLOOKUP(A268,'ECN-ECO_DATA'!B:G,6,FALSE)=0/1/1900,"",VLOOKUP(A268,'ECN-ECO_DATA'!B:G,6,FALSE))),"")</f>
        <v/>
      </c>
      <c r="F268" s="9" t="str">
        <f>IFERROR((IF(VLOOKUP(A268,'ECN-ECO_DATA'!B:J,7,FALSE)=0/1/1900,"",VLOOKUP(A268,'ECN-ECO_DATA'!B:J,7,FALSE))),"")</f>
        <v/>
      </c>
      <c r="G268" s="9" t="str">
        <f>IFERROR((IF(VLOOKUP(A268,'ECN-ECO_DATA'!B:J,8,FALSE)=0/1/1900,"",VLOOKUP(A268,'ECN-ECO_DATA'!B:J,8,FALSE))),"")</f>
        <v/>
      </c>
      <c r="H268" s="9" t="str">
        <f>IFERROR((IF(VLOOKUP(A268,'ECN-ECO_DATA'!B:J,9,FALSE)=0/1/1900,"",VLOOKUP(A268,'ECN-ECO_DATA'!B:J,9,FALSE))),"")</f>
        <v/>
      </c>
      <c r="I268" s="10" t="str">
        <f>IFERROR((IF(VLOOKUP(A268,'ECN-ECO_DATA'!B:Q,13,FALSE)="","",VLOOKUP(A268,'ECN-ECO_DATA'!B:Q,13,FALSE))),"")</f>
        <v/>
      </c>
      <c r="J268" s="10" t="str">
        <f>IFERROR((IF(VLOOKUP(A268,'ECN-ECO_DATA'!B:Q,14,FALSE)="","",VLOOKUP(A268,'ECN-ECO_DATA'!B:Q,14,FALSE))),"")</f>
        <v/>
      </c>
      <c r="K268" s="10" t="str">
        <f>IFERROR((IF(VLOOKUP(A268,'ECN-ECO_DATA'!B:Q,15,FALSE)="","",VLOOKUP(A268,'ECN-ECO_DATA'!B:Q,15,FALSE))),"")</f>
        <v/>
      </c>
      <c r="L268" s="10" t="str">
        <f>IFERROR((IF(VLOOKUP(A268,'ECN-ECO_DATA'!B:Q,16,FALSE)="","",VLOOKUP(A268,'ECN-ECO_DATA'!B:Q,16,FALSE))),"")</f>
        <v/>
      </c>
      <c r="M268" s="9" t="str">
        <f>IFERROR((IF(VLOOKUP(A268,'ECN-ECO_DATA'!B:V,18,FALSE)=0/1/1900,"",VLOOKUP(A268,'ECN-ECO_DATA'!B:V,18,FALSE))),"")</f>
        <v/>
      </c>
      <c r="N268" s="9" t="str">
        <f>IFERROR((IF(VLOOKUP(A268,'ECN-ECO_DATA'!B:V,19,FALSE)=0/1/1900,"",VLOOKUP(A268,'ECN-ECO_DATA'!B:V,19,FALSE))),"")</f>
        <v/>
      </c>
      <c r="O268" s="9" t="str">
        <f>IFERROR((IF(VLOOKUP(A268,'ECN-ECO_DATA'!B:V,20,FALSE)=0/1/1900,"",VLOOKUP(A268,'ECN-ECO_DATA'!B:V,20,FALSE))),"")</f>
        <v/>
      </c>
      <c r="P268" s="9" t="str">
        <f>IFERROR((IF(VLOOKUP(A268,'ECN-ECO_DATA'!B:V,21,FALSE)=0/1/1900,"",VLOOKUP(A268,'ECN-ECO_DATA'!B:V,21,FALSE))),"")</f>
        <v/>
      </c>
      <c r="Q268" s="10" t="str">
        <f t="shared" ca="1" si="20"/>
        <v/>
      </c>
      <c r="R268" s="4" t="str">
        <f t="shared" si="21"/>
        <v/>
      </c>
      <c r="S268" s="4" t="str">
        <f t="shared" si="22"/>
        <v/>
      </c>
      <c r="T268" s="4" t="str">
        <f t="shared" si="23"/>
        <v/>
      </c>
      <c r="U268" s="10" t="str">
        <f t="shared" si="24"/>
        <v/>
      </c>
      <c r="V268" s="4"/>
    </row>
    <row r="269" spans="2:22" x14ac:dyDescent="0.25">
      <c r="B269" s="4" t="str">
        <f>IFERROR(VLOOKUP(A269,'ECN-ECO_DATA'!B:G,4,FALSE),"")</f>
        <v/>
      </c>
      <c r="C269" s="9" t="str">
        <f>IFERROR(VLOOKUP(A269,'ECN-ECO_DATA'!B:G,5,FALSE),"")</f>
        <v/>
      </c>
      <c r="D269" s="9" t="str">
        <f ca="1">IFERROR((IF(VLOOKUP(A269,'ECN-ECO_DATA'!B:G,6,FALSE)=0/1/1900,TODAY(),VLOOKUP(A269,'ECN-ECO_DATA'!B:G,6,FALSE))),"")</f>
        <v/>
      </c>
      <c r="E269" s="9" t="str">
        <f>IFERROR((IF(VLOOKUP(A269,'ECN-ECO_DATA'!B:G,6,FALSE)=0/1/1900,"",VLOOKUP(A269,'ECN-ECO_DATA'!B:G,6,FALSE))),"")</f>
        <v/>
      </c>
      <c r="F269" s="9" t="str">
        <f>IFERROR((IF(VLOOKUP(A269,'ECN-ECO_DATA'!B:J,7,FALSE)=0/1/1900,"",VLOOKUP(A269,'ECN-ECO_DATA'!B:J,7,FALSE))),"")</f>
        <v/>
      </c>
      <c r="G269" s="9" t="str">
        <f>IFERROR((IF(VLOOKUP(A269,'ECN-ECO_DATA'!B:J,8,FALSE)=0/1/1900,"",VLOOKUP(A269,'ECN-ECO_DATA'!B:J,8,FALSE))),"")</f>
        <v/>
      </c>
      <c r="H269" s="9" t="str">
        <f>IFERROR((IF(VLOOKUP(A269,'ECN-ECO_DATA'!B:J,9,FALSE)=0/1/1900,"",VLOOKUP(A269,'ECN-ECO_DATA'!B:J,9,FALSE))),"")</f>
        <v/>
      </c>
      <c r="I269" s="10" t="str">
        <f>IFERROR((IF(VLOOKUP(A269,'ECN-ECO_DATA'!B:Q,13,FALSE)="","",VLOOKUP(A269,'ECN-ECO_DATA'!B:Q,13,FALSE))),"")</f>
        <v/>
      </c>
      <c r="J269" s="10" t="str">
        <f>IFERROR((IF(VLOOKUP(A269,'ECN-ECO_DATA'!B:Q,14,FALSE)="","",VLOOKUP(A269,'ECN-ECO_DATA'!B:Q,14,FALSE))),"")</f>
        <v/>
      </c>
      <c r="K269" s="10" t="str">
        <f>IFERROR((IF(VLOOKUP(A269,'ECN-ECO_DATA'!B:Q,15,FALSE)="","",VLOOKUP(A269,'ECN-ECO_DATA'!B:Q,15,FALSE))),"")</f>
        <v/>
      </c>
      <c r="L269" s="10" t="str">
        <f>IFERROR((IF(VLOOKUP(A269,'ECN-ECO_DATA'!B:Q,16,FALSE)="","",VLOOKUP(A269,'ECN-ECO_DATA'!B:Q,16,FALSE))),"")</f>
        <v/>
      </c>
      <c r="M269" s="9" t="str">
        <f>IFERROR((IF(VLOOKUP(A269,'ECN-ECO_DATA'!B:V,18,FALSE)=0/1/1900,"",VLOOKUP(A269,'ECN-ECO_DATA'!B:V,18,FALSE))),"")</f>
        <v/>
      </c>
      <c r="N269" s="9" t="str">
        <f>IFERROR((IF(VLOOKUP(A269,'ECN-ECO_DATA'!B:V,19,FALSE)=0/1/1900,"",VLOOKUP(A269,'ECN-ECO_DATA'!B:V,19,FALSE))),"")</f>
        <v/>
      </c>
      <c r="O269" s="9" t="str">
        <f>IFERROR((IF(VLOOKUP(A269,'ECN-ECO_DATA'!B:V,20,FALSE)=0/1/1900,"",VLOOKUP(A269,'ECN-ECO_DATA'!B:V,20,FALSE))),"")</f>
        <v/>
      </c>
      <c r="P269" s="9" t="str">
        <f>IFERROR((IF(VLOOKUP(A269,'ECN-ECO_DATA'!B:V,21,FALSE)=0/1/1900,"",VLOOKUP(A269,'ECN-ECO_DATA'!B:V,21,FALSE))),"")</f>
        <v/>
      </c>
      <c r="Q269" s="10" t="str">
        <f t="shared" ca="1" si="20"/>
        <v/>
      </c>
      <c r="R269" s="4" t="str">
        <f t="shared" si="21"/>
        <v/>
      </c>
      <c r="S269" s="4" t="str">
        <f t="shared" si="22"/>
        <v/>
      </c>
      <c r="T269" s="4" t="str">
        <f t="shared" si="23"/>
        <v/>
      </c>
      <c r="U269" s="10" t="str">
        <f t="shared" si="24"/>
        <v/>
      </c>
      <c r="V269" s="4"/>
    </row>
    <row r="270" spans="2:22" x14ac:dyDescent="0.25">
      <c r="B270" s="4" t="str">
        <f>IFERROR(VLOOKUP(A270,'ECN-ECO_DATA'!B:G,4,FALSE),"")</f>
        <v/>
      </c>
      <c r="C270" s="9" t="str">
        <f>IFERROR(VLOOKUP(A270,'ECN-ECO_DATA'!B:G,5,FALSE),"")</f>
        <v/>
      </c>
      <c r="D270" s="9" t="str">
        <f ca="1">IFERROR((IF(VLOOKUP(A270,'ECN-ECO_DATA'!B:G,6,FALSE)=0/1/1900,TODAY(),VLOOKUP(A270,'ECN-ECO_DATA'!B:G,6,FALSE))),"")</f>
        <v/>
      </c>
      <c r="E270" s="9" t="str">
        <f>IFERROR((IF(VLOOKUP(A270,'ECN-ECO_DATA'!B:G,6,FALSE)=0/1/1900,"",VLOOKUP(A270,'ECN-ECO_DATA'!B:G,6,FALSE))),"")</f>
        <v/>
      </c>
      <c r="F270" s="9" t="str">
        <f>IFERROR((IF(VLOOKUP(A270,'ECN-ECO_DATA'!B:J,7,FALSE)=0/1/1900,"",VLOOKUP(A270,'ECN-ECO_DATA'!B:J,7,FALSE))),"")</f>
        <v/>
      </c>
      <c r="G270" s="9" t="str">
        <f>IFERROR((IF(VLOOKUP(A270,'ECN-ECO_DATA'!B:J,8,FALSE)=0/1/1900,"",VLOOKUP(A270,'ECN-ECO_DATA'!B:J,8,FALSE))),"")</f>
        <v/>
      </c>
      <c r="H270" s="9" t="str">
        <f>IFERROR((IF(VLOOKUP(A270,'ECN-ECO_DATA'!B:J,9,FALSE)=0/1/1900,"",VLOOKUP(A270,'ECN-ECO_DATA'!B:J,9,FALSE))),"")</f>
        <v/>
      </c>
      <c r="I270" s="10" t="str">
        <f>IFERROR((IF(VLOOKUP(A270,'ECN-ECO_DATA'!B:Q,13,FALSE)="","",VLOOKUP(A270,'ECN-ECO_DATA'!B:Q,13,FALSE))),"")</f>
        <v/>
      </c>
      <c r="J270" s="10" t="str">
        <f>IFERROR((IF(VLOOKUP(A270,'ECN-ECO_DATA'!B:Q,14,FALSE)="","",VLOOKUP(A270,'ECN-ECO_DATA'!B:Q,14,FALSE))),"")</f>
        <v/>
      </c>
      <c r="K270" s="10" t="str">
        <f>IFERROR((IF(VLOOKUP(A270,'ECN-ECO_DATA'!B:Q,15,FALSE)="","",VLOOKUP(A270,'ECN-ECO_DATA'!B:Q,15,FALSE))),"")</f>
        <v/>
      </c>
      <c r="L270" s="10" t="str">
        <f>IFERROR((IF(VLOOKUP(A270,'ECN-ECO_DATA'!B:Q,16,FALSE)="","",VLOOKUP(A270,'ECN-ECO_DATA'!B:Q,16,FALSE))),"")</f>
        <v/>
      </c>
      <c r="M270" s="9" t="str">
        <f>IFERROR((IF(VLOOKUP(A270,'ECN-ECO_DATA'!B:V,18,FALSE)=0/1/1900,"",VLOOKUP(A270,'ECN-ECO_DATA'!B:V,18,FALSE))),"")</f>
        <v/>
      </c>
      <c r="N270" s="9" t="str">
        <f>IFERROR((IF(VLOOKUP(A270,'ECN-ECO_DATA'!B:V,19,FALSE)=0/1/1900,"",VLOOKUP(A270,'ECN-ECO_DATA'!B:V,19,FALSE))),"")</f>
        <v/>
      </c>
      <c r="O270" s="9" t="str">
        <f>IFERROR((IF(VLOOKUP(A270,'ECN-ECO_DATA'!B:V,20,FALSE)=0/1/1900,"",VLOOKUP(A270,'ECN-ECO_DATA'!B:V,20,FALSE))),"")</f>
        <v/>
      </c>
      <c r="P270" s="9" t="str">
        <f>IFERROR((IF(VLOOKUP(A270,'ECN-ECO_DATA'!B:V,21,FALSE)=0/1/1900,"",VLOOKUP(A270,'ECN-ECO_DATA'!B:V,21,FALSE))),"")</f>
        <v/>
      </c>
      <c r="Q270" s="10" t="str">
        <f t="shared" ca="1" si="20"/>
        <v/>
      </c>
      <c r="R270" s="4" t="str">
        <f t="shared" si="21"/>
        <v/>
      </c>
      <c r="S270" s="4" t="str">
        <f t="shared" si="22"/>
        <v/>
      </c>
      <c r="T270" s="4" t="str">
        <f t="shared" si="23"/>
        <v/>
      </c>
      <c r="U270" s="10" t="str">
        <f t="shared" si="24"/>
        <v/>
      </c>
      <c r="V270" s="4"/>
    </row>
    <row r="271" spans="2:22" x14ac:dyDescent="0.25">
      <c r="B271" s="4" t="str">
        <f>IFERROR(VLOOKUP(A271,'ECN-ECO_DATA'!B:G,4,FALSE),"")</f>
        <v/>
      </c>
      <c r="C271" s="9" t="str">
        <f>IFERROR(VLOOKUP(A271,'ECN-ECO_DATA'!B:G,5,FALSE),"")</f>
        <v/>
      </c>
      <c r="D271" s="9" t="str">
        <f ca="1">IFERROR((IF(VLOOKUP(A271,'ECN-ECO_DATA'!B:G,6,FALSE)=0/1/1900,TODAY(),VLOOKUP(A271,'ECN-ECO_DATA'!B:G,6,FALSE))),"")</f>
        <v/>
      </c>
      <c r="E271" s="9" t="str">
        <f>IFERROR((IF(VLOOKUP(A271,'ECN-ECO_DATA'!B:G,6,FALSE)=0/1/1900,"",VLOOKUP(A271,'ECN-ECO_DATA'!B:G,6,FALSE))),"")</f>
        <v/>
      </c>
      <c r="F271" s="9" t="str">
        <f>IFERROR((IF(VLOOKUP(A271,'ECN-ECO_DATA'!B:J,7,FALSE)=0/1/1900,"",VLOOKUP(A271,'ECN-ECO_DATA'!B:J,7,FALSE))),"")</f>
        <v/>
      </c>
      <c r="G271" s="9" t="str">
        <f>IFERROR((IF(VLOOKUP(A271,'ECN-ECO_DATA'!B:J,8,FALSE)=0/1/1900,"",VLOOKUP(A271,'ECN-ECO_DATA'!B:J,8,FALSE))),"")</f>
        <v/>
      </c>
      <c r="H271" s="9" t="str">
        <f>IFERROR((IF(VLOOKUP(A271,'ECN-ECO_DATA'!B:J,9,FALSE)=0/1/1900,"",VLOOKUP(A271,'ECN-ECO_DATA'!B:J,9,FALSE))),"")</f>
        <v/>
      </c>
      <c r="I271" s="10" t="str">
        <f>IFERROR((IF(VLOOKUP(A271,'ECN-ECO_DATA'!B:Q,13,FALSE)="","",VLOOKUP(A271,'ECN-ECO_DATA'!B:Q,13,FALSE))),"")</f>
        <v/>
      </c>
      <c r="J271" s="10" t="str">
        <f>IFERROR((IF(VLOOKUP(A271,'ECN-ECO_DATA'!B:Q,14,FALSE)="","",VLOOKUP(A271,'ECN-ECO_DATA'!B:Q,14,FALSE))),"")</f>
        <v/>
      </c>
      <c r="K271" s="10" t="str">
        <f>IFERROR((IF(VLOOKUP(A271,'ECN-ECO_DATA'!B:Q,15,FALSE)="","",VLOOKUP(A271,'ECN-ECO_DATA'!B:Q,15,FALSE))),"")</f>
        <v/>
      </c>
      <c r="L271" s="10" t="str">
        <f>IFERROR((IF(VLOOKUP(A271,'ECN-ECO_DATA'!B:Q,16,FALSE)="","",VLOOKUP(A271,'ECN-ECO_DATA'!B:Q,16,FALSE))),"")</f>
        <v/>
      </c>
      <c r="M271" s="9" t="str">
        <f>IFERROR((IF(VLOOKUP(A271,'ECN-ECO_DATA'!B:V,18,FALSE)=0/1/1900,"",VLOOKUP(A271,'ECN-ECO_DATA'!B:V,18,FALSE))),"")</f>
        <v/>
      </c>
      <c r="N271" s="9" t="str">
        <f>IFERROR((IF(VLOOKUP(A271,'ECN-ECO_DATA'!B:V,19,FALSE)=0/1/1900,"",VLOOKUP(A271,'ECN-ECO_DATA'!B:V,19,FALSE))),"")</f>
        <v/>
      </c>
      <c r="O271" s="9" t="str">
        <f>IFERROR((IF(VLOOKUP(A271,'ECN-ECO_DATA'!B:V,20,FALSE)=0/1/1900,"",VLOOKUP(A271,'ECN-ECO_DATA'!B:V,20,FALSE))),"")</f>
        <v/>
      </c>
      <c r="P271" s="9" t="str">
        <f>IFERROR((IF(VLOOKUP(A271,'ECN-ECO_DATA'!B:V,21,FALSE)=0/1/1900,"",VLOOKUP(A271,'ECN-ECO_DATA'!B:V,21,FALSE))),"")</f>
        <v/>
      </c>
      <c r="Q271" s="10" t="str">
        <f t="shared" ca="1" si="20"/>
        <v/>
      </c>
      <c r="R271" s="4" t="str">
        <f t="shared" si="21"/>
        <v/>
      </c>
      <c r="S271" s="4" t="str">
        <f t="shared" si="22"/>
        <v/>
      </c>
      <c r="T271" s="4" t="str">
        <f t="shared" si="23"/>
        <v/>
      </c>
      <c r="U271" s="10" t="str">
        <f t="shared" si="24"/>
        <v/>
      </c>
      <c r="V271" s="4"/>
    </row>
    <row r="272" spans="2:22" x14ac:dyDescent="0.25">
      <c r="B272" s="4" t="str">
        <f>IFERROR(VLOOKUP(A272,'ECN-ECO_DATA'!B:G,4,FALSE),"")</f>
        <v/>
      </c>
      <c r="C272" s="9" t="str">
        <f>IFERROR(VLOOKUP(A272,'ECN-ECO_DATA'!B:G,5,FALSE),"")</f>
        <v/>
      </c>
      <c r="D272" s="9" t="str">
        <f ca="1">IFERROR((IF(VLOOKUP(A272,'ECN-ECO_DATA'!B:G,6,FALSE)=0/1/1900,TODAY(),VLOOKUP(A272,'ECN-ECO_DATA'!B:G,6,FALSE))),"")</f>
        <v/>
      </c>
      <c r="E272" s="9" t="str">
        <f>IFERROR((IF(VLOOKUP(A272,'ECN-ECO_DATA'!B:G,6,FALSE)=0/1/1900,"",VLOOKUP(A272,'ECN-ECO_DATA'!B:G,6,FALSE))),"")</f>
        <v/>
      </c>
      <c r="F272" s="9" t="str">
        <f>IFERROR((IF(VLOOKUP(A272,'ECN-ECO_DATA'!B:J,7,FALSE)=0/1/1900,"",VLOOKUP(A272,'ECN-ECO_DATA'!B:J,7,FALSE))),"")</f>
        <v/>
      </c>
      <c r="G272" s="9" t="str">
        <f>IFERROR((IF(VLOOKUP(A272,'ECN-ECO_DATA'!B:J,8,FALSE)=0/1/1900,"",VLOOKUP(A272,'ECN-ECO_DATA'!B:J,8,FALSE))),"")</f>
        <v/>
      </c>
      <c r="H272" s="9" t="str">
        <f>IFERROR((IF(VLOOKUP(A272,'ECN-ECO_DATA'!B:J,9,FALSE)=0/1/1900,"",VLOOKUP(A272,'ECN-ECO_DATA'!B:J,9,FALSE))),"")</f>
        <v/>
      </c>
      <c r="I272" s="10" t="str">
        <f>IFERROR((IF(VLOOKUP(A272,'ECN-ECO_DATA'!B:Q,13,FALSE)="","",VLOOKUP(A272,'ECN-ECO_DATA'!B:Q,13,FALSE))),"")</f>
        <v/>
      </c>
      <c r="J272" s="10" t="str">
        <f>IFERROR((IF(VLOOKUP(A272,'ECN-ECO_DATA'!B:Q,14,FALSE)="","",VLOOKUP(A272,'ECN-ECO_DATA'!B:Q,14,FALSE))),"")</f>
        <v/>
      </c>
      <c r="K272" s="10" t="str">
        <f>IFERROR((IF(VLOOKUP(A272,'ECN-ECO_DATA'!B:Q,15,FALSE)="","",VLOOKUP(A272,'ECN-ECO_DATA'!B:Q,15,FALSE))),"")</f>
        <v/>
      </c>
      <c r="L272" s="10" t="str">
        <f>IFERROR((IF(VLOOKUP(A272,'ECN-ECO_DATA'!B:Q,16,FALSE)="","",VLOOKUP(A272,'ECN-ECO_DATA'!B:Q,16,FALSE))),"")</f>
        <v/>
      </c>
      <c r="M272" s="9" t="str">
        <f>IFERROR((IF(VLOOKUP(A272,'ECN-ECO_DATA'!B:V,18,FALSE)=0/1/1900,"",VLOOKUP(A272,'ECN-ECO_DATA'!B:V,18,FALSE))),"")</f>
        <v/>
      </c>
      <c r="N272" s="9" t="str">
        <f>IFERROR((IF(VLOOKUP(A272,'ECN-ECO_DATA'!B:V,19,FALSE)=0/1/1900,"",VLOOKUP(A272,'ECN-ECO_DATA'!B:V,19,FALSE))),"")</f>
        <v/>
      </c>
      <c r="O272" s="9" t="str">
        <f>IFERROR((IF(VLOOKUP(A272,'ECN-ECO_DATA'!B:V,20,FALSE)=0/1/1900,"",VLOOKUP(A272,'ECN-ECO_DATA'!B:V,20,FALSE))),"")</f>
        <v/>
      </c>
      <c r="P272" s="9" t="str">
        <f>IFERROR((IF(VLOOKUP(A272,'ECN-ECO_DATA'!B:V,21,FALSE)=0/1/1900,"",VLOOKUP(A272,'ECN-ECO_DATA'!B:V,21,FALSE))),"")</f>
        <v/>
      </c>
      <c r="Q272" s="10" t="str">
        <f t="shared" ca="1" si="20"/>
        <v/>
      </c>
      <c r="R272" s="4" t="str">
        <f t="shared" si="21"/>
        <v/>
      </c>
      <c r="S272" s="4" t="str">
        <f t="shared" si="22"/>
        <v/>
      </c>
      <c r="T272" s="4" t="str">
        <f t="shared" si="23"/>
        <v/>
      </c>
      <c r="U272" s="10" t="str">
        <f t="shared" si="24"/>
        <v/>
      </c>
      <c r="V272" s="4"/>
    </row>
    <row r="273" spans="2:22" x14ac:dyDescent="0.25">
      <c r="B273" s="4" t="str">
        <f>IFERROR(VLOOKUP(A273,'ECN-ECO_DATA'!B:G,4,FALSE),"")</f>
        <v/>
      </c>
      <c r="C273" s="9" t="str">
        <f>IFERROR(VLOOKUP(A273,'ECN-ECO_DATA'!B:G,5,FALSE),"")</f>
        <v/>
      </c>
      <c r="D273" s="9" t="str">
        <f ca="1">IFERROR((IF(VLOOKUP(A273,'ECN-ECO_DATA'!B:G,6,FALSE)=0/1/1900,TODAY(),VLOOKUP(A273,'ECN-ECO_DATA'!B:G,6,FALSE))),"")</f>
        <v/>
      </c>
      <c r="E273" s="9" t="str">
        <f>IFERROR((IF(VLOOKUP(A273,'ECN-ECO_DATA'!B:G,6,FALSE)=0/1/1900,"",VLOOKUP(A273,'ECN-ECO_DATA'!B:G,6,FALSE))),"")</f>
        <v/>
      </c>
      <c r="F273" s="9" t="str">
        <f>IFERROR((IF(VLOOKUP(A273,'ECN-ECO_DATA'!B:J,7,FALSE)=0/1/1900,"",VLOOKUP(A273,'ECN-ECO_DATA'!B:J,7,FALSE))),"")</f>
        <v/>
      </c>
      <c r="G273" s="9" t="str">
        <f>IFERROR((IF(VLOOKUP(A273,'ECN-ECO_DATA'!B:J,8,FALSE)=0/1/1900,"",VLOOKUP(A273,'ECN-ECO_DATA'!B:J,8,FALSE))),"")</f>
        <v/>
      </c>
      <c r="H273" s="9" t="str">
        <f>IFERROR((IF(VLOOKUP(A273,'ECN-ECO_DATA'!B:J,9,FALSE)=0/1/1900,"",VLOOKUP(A273,'ECN-ECO_DATA'!B:J,9,FALSE))),"")</f>
        <v/>
      </c>
      <c r="I273" s="10" t="str">
        <f>IFERROR((IF(VLOOKUP(A273,'ECN-ECO_DATA'!B:Q,13,FALSE)="","",VLOOKUP(A273,'ECN-ECO_DATA'!B:Q,13,FALSE))),"")</f>
        <v/>
      </c>
      <c r="J273" s="10" t="str">
        <f>IFERROR((IF(VLOOKUP(A273,'ECN-ECO_DATA'!B:Q,14,FALSE)="","",VLOOKUP(A273,'ECN-ECO_DATA'!B:Q,14,FALSE))),"")</f>
        <v/>
      </c>
      <c r="K273" s="10" t="str">
        <f>IFERROR((IF(VLOOKUP(A273,'ECN-ECO_DATA'!B:Q,15,FALSE)="","",VLOOKUP(A273,'ECN-ECO_DATA'!B:Q,15,FALSE))),"")</f>
        <v/>
      </c>
      <c r="L273" s="10" t="str">
        <f>IFERROR((IF(VLOOKUP(A273,'ECN-ECO_DATA'!B:Q,16,FALSE)="","",VLOOKUP(A273,'ECN-ECO_DATA'!B:Q,16,FALSE))),"")</f>
        <v/>
      </c>
      <c r="M273" s="9" t="str">
        <f>IFERROR((IF(VLOOKUP(A273,'ECN-ECO_DATA'!B:V,18,FALSE)=0/1/1900,"",VLOOKUP(A273,'ECN-ECO_DATA'!B:V,18,FALSE))),"")</f>
        <v/>
      </c>
      <c r="N273" s="9" t="str">
        <f>IFERROR((IF(VLOOKUP(A273,'ECN-ECO_DATA'!B:V,19,FALSE)=0/1/1900,"",VLOOKUP(A273,'ECN-ECO_DATA'!B:V,19,FALSE))),"")</f>
        <v/>
      </c>
      <c r="O273" s="9" t="str">
        <f>IFERROR((IF(VLOOKUP(A273,'ECN-ECO_DATA'!B:V,20,FALSE)=0/1/1900,"",VLOOKUP(A273,'ECN-ECO_DATA'!B:V,20,FALSE))),"")</f>
        <v/>
      </c>
      <c r="P273" s="9" t="str">
        <f>IFERROR((IF(VLOOKUP(A273,'ECN-ECO_DATA'!B:V,21,FALSE)=0/1/1900,"",VLOOKUP(A273,'ECN-ECO_DATA'!B:V,21,FALSE))),"")</f>
        <v/>
      </c>
      <c r="Q273" s="10" t="str">
        <f t="shared" ca="1" si="20"/>
        <v/>
      </c>
      <c r="R273" s="4" t="str">
        <f t="shared" si="21"/>
        <v/>
      </c>
      <c r="S273" s="4" t="str">
        <f t="shared" si="22"/>
        <v/>
      </c>
      <c r="T273" s="4" t="str">
        <f t="shared" si="23"/>
        <v/>
      </c>
      <c r="U273" s="10" t="str">
        <f t="shared" si="24"/>
        <v/>
      </c>
      <c r="V273" s="4"/>
    </row>
    <row r="274" spans="2:22" x14ac:dyDescent="0.25">
      <c r="B274" s="4" t="str">
        <f>IFERROR(VLOOKUP(A274,'ECN-ECO_DATA'!B:G,4,FALSE),"")</f>
        <v/>
      </c>
      <c r="C274" s="9" t="str">
        <f>IFERROR(VLOOKUP(A274,'ECN-ECO_DATA'!B:G,5,FALSE),"")</f>
        <v/>
      </c>
      <c r="D274" s="9" t="str">
        <f ca="1">IFERROR((IF(VLOOKUP(A274,'ECN-ECO_DATA'!B:G,6,FALSE)=0/1/1900,TODAY(),VLOOKUP(A274,'ECN-ECO_DATA'!B:G,6,FALSE))),"")</f>
        <v/>
      </c>
      <c r="E274" s="9" t="str">
        <f>IFERROR((IF(VLOOKUP(A274,'ECN-ECO_DATA'!B:G,6,FALSE)=0/1/1900,"",VLOOKUP(A274,'ECN-ECO_DATA'!B:G,6,FALSE))),"")</f>
        <v/>
      </c>
      <c r="F274" s="9" t="str">
        <f>IFERROR((IF(VLOOKUP(A274,'ECN-ECO_DATA'!B:J,7,FALSE)=0/1/1900,"",VLOOKUP(A274,'ECN-ECO_DATA'!B:J,7,FALSE))),"")</f>
        <v/>
      </c>
      <c r="G274" s="9" t="str">
        <f>IFERROR((IF(VLOOKUP(A274,'ECN-ECO_DATA'!B:J,8,FALSE)=0/1/1900,"",VLOOKUP(A274,'ECN-ECO_DATA'!B:J,8,FALSE))),"")</f>
        <v/>
      </c>
      <c r="H274" s="9" t="str">
        <f>IFERROR((IF(VLOOKUP(A274,'ECN-ECO_DATA'!B:J,9,FALSE)=0/1/1900,"",VLOOKUP(A274,'ECN-ECO_DATA'!B:J,9,FALSE))),"")</f>
        <v/>
      </c>
      <c r="I274" s="10" t="str">
        <f>IFERROR((IF(VLOOKUP(A274,'ECN-ECO_DATA'!B:Q,13,FALSE)="","",VLOOKUP(A274,'ECN-ECO_DATA'!B:Q,13,FALSE))),"")</f>
        <v/>
      </c>
      <c r="J274" s="10" t="str">
        <f>IFERROR((IF(VLOOKUP(A274,'ECN-ECO_DATA'!B:Q,14,FALSE)="","",VLOOKUP(A274,'ECN-ECO_DATA'!B:Q,14,FALSE))),"")</f>
        <v/>
      </c>
      <c r="K274" s="10" t="str">
        <f>IFERROR((IF(VLOOKUP(A274,'ECN-ECO_DATA'!B:Q,15,FALSE)="","",VLOOKUP(A274,'ECN-ECO_DATA'!B:Q,15,FALSE))),"")</f>
        <v/>
      </c>
      <c r="L274" s="10" t="str">
        <f>IFERROR((IF(VLOOKUP(A274,'ECN-ECO_DATA'!B:Q,16,FALSE)="","",VLOOKUP(A274,'ECN-ECO_DATA'!B:Q,16,FALSE))),"")</f>
        <v/>
      </c>
      <c r="M274" s="9" t="str">
        <f>IFERROR((IF(VLOOKUP(A274,'ECN-ECO_DATA'!B:V,18,FALSE)=0/1/1900,"",VLOOKUP(A274,'ECN-ECO_DATA'!B:V,18,FALSE))),"")</f>
        <v/>
      </c>
      <c r="N274" s="9" t="str">
        <f>IFERROR((IF(VLOOKUP(A274,'ECN-ECO_DATA'!B:V,19,FALSE)=0/1/1900,"",VLOOKUP(A274,'ECN-ECO_DATA'!B:V,19,FALSE))),"")</f>
        <v/>
      </c>
      <c r="O274" s="9" t="str">
        <f>IFERROR((IF(VLOOKUP(A274,'ECN-ECO_DATA'!B:V,20,FALSE)=0/1/1900,"",VLOOKUP(A274,'ECN-ECO_DATA'!B:V,20,FALSE))),"")</f>
        <v/>
      </c>
      <c r="P274" s="9" t="str">
        <f>IFERROR((IF(VLOOKUP(A274,'ECN-ECO_DATA'!B:V,21,FALSE)=0/1/1900,"",VLOOKUP(A274,'ECN-ECO_DATA'!B:V,21,FALSE))),"")</f>
        <v/>
      </c>
      <c r="Q274" s="10" t="str">
        <f t="shared" ca="1" si="20"/>
        <v/>
      </c>
      <c r="R274" s="4" t="str">
        <f t="shared" si="21"/>
        <v/>
      </c>
      <c r="S274" s="4" t="str">
        <f t="shared" si="22"/>
        <v/>
      </c>
      <c r="T274" s="4" t="str">
        <f t="shared" si="23"/>
        <v/>
      </c>
      <c r="U274" s="10" t="str">
        <f t="shared" si="24"/>
        <v/>
      </c>
      <c r="V274" s="4"/>
    </row>
    <row r="275" spans="2:22" x14ac:dyDescent="0.25">
      <c r="B275" s="4" t="str">
        <f>IFERROR(VLOOKUP(A275,'ECN-ECO_DATA'!B:G,4,FALSE),"")</f>
        <v/>
      </c>
      <c r="C275" s="9" t="str">
        <f>IFERROR(VLOOKUP(A275,'ECN-ECO_DATA'!B:G,5,FALSE),"")</f>
        <v/>
      </c>
      <c r="D275" s="9" t="str">
        <f ca="1">IFERROR((IF(VLOOKUP(A275,'ECN-ECO_DATA'!B:G,6,FALSE)=0/1/1900,TODAY(),VLOOKUP(A275,'ECN-ECO_DATA'!B:G,6,FALSE))),"")</f>
        <v/>
      </c>
      <c r="E275" s="9" t="str">
        <f>IFERROR((IF(VLOOKUP(A275,'ECN-ECO_DATA'!B:G,6,FALSE)=0/1/1900,"",VLOOKUP(A275,'ECN-ECO_DATA'!B:G,6,FALSE))),"")</f>
        <v/>
      </c>
      <c r="F275" s="9" t="str">
        <f>IFERROR((IF(VLOOKUP(A275,'ECN-ECO_DATA'!B:J,7,FALSE)=0/1/1900,"",VLOOKUP(A275,'ECN-ECO_DATA'!B:J,7,FALSE))),"")</f>
        <v/>
      </c>
      <c r="G275" s="9" t="str">
        <f>IFERROR((IF(VLOOKUP(A275,'ECN-ECO_DATA'!B:J,8,FALSE)=0/1/1900,"",VLOOKUP(A275,'ECN-ECO_DATA'!B:J,8,FALSE))),"")</f>
        <v/>
      </c>
      <c r="H275" s="9" t="str">
        <f>IFERROR((IF(VLOOKUP(A275,'ECN-ECO_DATA'!B:J,9,FALSE)=0/1/1900,"",VLOOKUP(A275,'ECN-ECO_DATA'!B:J,9,FALSE))),"")</f>
        <v/>
      </c>
      <c r="I275" s="10" t="str">
        <f>IFERROR((IF(VLOOKUP(A275,'ECN-ECO_DATA'!B:Q,13,FALSE)="","",VLOOKUP(A275,'ECN-ECO_DATA'!B:Q,13,FALSE))),"")</f>
        <v/>
      </c>
      <c r="J275" s="10" t="str">
        <f>IFERROR((IF(VLOOKUP(A275,'ECN-ECO_DATA'!B:Q,14,FALSE)="","",VLOOKUP(A275,'ECN-ECO_DATA'!B:Q,14,FALSE))),"")</f>
        <v/>
      </c>
      <c r="K275" s="10" t="str">
        <f>IFERROR((IF(VLOOKUP(A275,'ECN-ECO_DATA'!B:Q,15,FALSE)="","",VLOOKUP(A275,'ECN-ECO_DATA'!B:Q,15,FALSE))),"")</f>
        <v/>
      </c>
      <c r="L275" s="10" t="str">
        <f>IFERROR((IF(VLOOKUP(A275,'ECN-ECO_DATA'!B:Q,16,FALSE)="","",VLOOKUP(A275,'ECN-ECO_DATA'!B:Q,16,FALSE))),"")</f>
        <v/>
      </c>
      <c r="M275" s="9" t="str">
        <f>IFERROR((IF(VLOOKUP(A275,'ECN-ECO_DATA'!B:V,18,FALSE)=0/1/1900,"",VLOOKUP(A275,'ECN-ECO_DATA'!B:V,18,FALSE))),"")</f>
        <v/>
      </c>
      <c r="N275" s="9" t="str">
        <f>IFERROR((IF(VLOOKUP(A275,'ECN-ECO_DATA'!B:V,19,FALSE)=0/1/1900,"",VLOOKUP(A275,'ECN-ECO_DATA'!B:V,19,FALSE))),"")</f>
        <v/>
      </c>
      <c r="O275" s="9" t="str">
        <f>IFERROR((IF(VLOOKUP(A275,'ECN-ECO_DATA'!B:V,20,FALSE)=0/1/1900,"",VLOOKUP(A275,'ECN-ECO_DATA'!B:V,20,FALSE))),"")</f>
        <v/>
      </c>
      <c r="P275" s="9" t="str">
        <f>IFERROR((IF(VLOOKUP(A275,'ECN-ECO_DATA'!B:V,21,FALSE)=0/1/1900,"",VLOOKUP(A275,'ECN-ECO_DATA'!B:V,21,FALSE))),"")</f>
        <v/>
      </c>
      <c r="Q275" s="10" t="str">
        <f t="shared" ca="1" si="20"/>
        <v/>
      </c>
      <c r="R275" s="4" t="str">
        <f t="shared" si="21"/>
        <v/>
      </c>
      <c r="S275" s="4" t="str">
        <f t="shared" si="22"/>
        <v/>
      </c>
      <c r="T275" s="4" t="str">
        <f t="shared" si="23"/>
        <v/>
      </c>
      <c r="U275" s="10" t="str">
        <f t="shared" si="24"/>
        <v/>
      </c>
      <c r="V275" s="4"/>
    </row>
    <row r="276" spans="2:22" x14ac:dyDescent="0.25">
      <c r="B276" s="4" t="str">
        <f>IFERROR(VLOOKUP(A276,'ECN-ECO_DATA'!B:G,4,FALSE),"")</f>
        <v/>
      </c>
      <c r="C276" s="9" t="str">
        <f>IFERROR(VLOOKUP(A276,'ECN-ECO_DATA'!B:G,5,FALSE),"")</f>
        <v/>
      </c>
      <c r="D276" s="9" t="str">
        <f ca="1">IFERROR((IF(VLOOKUP(A276,'ECN-ECO_DATA'!B:G,6,FALSE)=0/1/1900,TODAY(),VLOOKUP(A276,'ECN-ECO_DATA'!B:G,6,FALSE))),"")</f>
        <v/>
      </c>
      <c r="E276" s="9" t="str">
        <f>IFERROR((IF(VLOOKUP(A276,'ECN-ECO_DATA'!B:G,6,FALSE)=0/1/1900,"",VLOOKUP(A276,'ECN-ECO_DATA'!B:G,6,FALSE))),"")</f>
        <v/>
      </c>
      <c r="F276" s="9" t="str">
        <f>IFERROR((IF(VLOOKUP(A276,'ECN-ECO_DATA'!B:J,7,FALSE)=0/1/1900,"",VLOOKUP(A276,'ECN-ECO_DATA'!B:J,7,FALSE))),"")</f>
        <v/>
      </c>
      <c r="G276" s="9" t="str">
        <f>IFERROR((IF(VLOOKUP(A276,'ECN-ECO_DATA'!B:J,8,FALSE)=0/1/1900,"",VLOOKUP(A276,'ECN-ECO_DATA'!B:J,8,FALSE))),"")</f>
        <v/>
      </c>
      <c r="H276" s="9" t="str">
        <f>IFERROR((IF(VLOOKUP(A276,'ECN-ECO_DATA'!B:J,9,FALSE)=0/1/1900,"",VLOOKUP(A276,'ECN-ECO_DATA'!B:J,9,FALSE))),"")</f>
        <v/>
      </c>
      <c r="I276" s="10" t="str">
        <f>IFERROR((IF(VLOOKUP(A276,'ECN-ECO_DATA'!B:Q,13,FALSE)="","",VLOOKUP(A276,'ECN-ECO_DATA'!B:Q,13,FALSE))),"")</f>
        <v/>
      </c>
      <c r="J276" s="10" t="str">
        <f>IFERROR((IF(VLOOKUP(A276,'ECN-ECO_DATA'!B:Q,14,FALSE)="","",VLOOKUP(A276,'ECN-ECO_DATA'!B:Q,14,FALSE))),"")</f>
        <v/>
      </c>
      <c r="K276" s="10" t="str">
        <f>IFERROR((IF(VLOOKUP(A276,'ECN-ECO_DATA'!B:Q,15,FALSE)="","",VLOOKUP(A276,'ECN-ECO_DATA'!B:Q,15,FALSE))),"")</f>
        <v/>
      </c>
      <c r="L276" s="10" t="str">
        <f>IFERROR((IF(VLOOKUP(A276,'ECN-ECO_DATA'!B:Q,16,FALSE)="","",VLOOKUP(A276,'ECN-ECO_DATA'!B:Q,16,FALSE))),"")</f>
        <v/>
      </c>
      <c r="M276" s="9" t="str">
        <f>IFERROR((IF(VLOOKUP(A276,'ECN-ECO_DATA'!B:V,18,FALSE)=0/1/1900,"",VLOOKUP(A276,'ECN-ECO_DATA'!B:V,18,FALSE))),"")</f>
        <v/>
      </c>
      <c r="N276" s="9" t="str">
        <f>IFERROR((IF(VLOOKUP(A276,'ECN-ECO_DATA'!B:V,19,FALSE)=0/1/1900,"",VLOOKUP(A276,'ECN-ECO_DATA'!B:V,19,FALSE))),"")</f>
        <v/>
      </c>
      <c r="O276" s="9" t="str">
        <f>IFERROR((IF(VLOOKUP(A276,'ECN-ECO_DATA'!B:V,20,FALSE)=0/1/1900,"",VLOOKUP(A276,'ECN-ECO_DATA'!B:V,20,FALSE))),"")</f>
        <v/>
      </c>
      <c r="P276" s="9" t="str">
        <f>IFERROR((IF(VLOOKUP(A276,'ECN-ECO_DATA'!B:V,21,FALSE)=0/1/1900,"",VLOOKUP(A276,'ECN-ECO_DATA'!B:V,21,FALSE))),"")</f>
        <v/>
      </c>
      <c r="Q276" s="10" t="str">
        <f t="shared" ca="1" si="20"/>
        <v/>
      </c>
      <c r="R276" s="4" t="str">
        <f t="shared" si="21"/>
        <v/>
      </c>
      <c r="S276" s="4" t="str">
        <f t="shared" si="22"/>
        <v/>
      </c>
      <c r="T276" s="4" t="str">
        <f t="shared" si="23"/>
        <v/>
      </c>
      <c r="U276" s="10" t="str">
        <f t="shared" si="24"/>
        <v/>
      </c>
      <c r="V276" s="4"/>
    </row>
    <row r="277" spans="2:22" x14ac:dyDescent="0.25">
      <c r="B277" s="4" t="str">
        <f>IFERROR(VLOOKUP(A277,'ECN-ECO_DATA'!B:G,4,FALSE),"")</f>
        <v/>
      </c>
      <c r="C277" s="9" t="str">
        <f>IFERROR(VLOOKUP(A277,'ECN-ECO_DATA'!B:G,5,FALSE),"")</f>
        <v/>
      </c>
      <c r="D277" s="9" t="str">
        <f ca="1">IFERROR((IF(VLOOKUP(A277,'ECN-ECO_DATA'!B:G,6,FALSE)=0/1/1900,TODAY(),VLOOKUP(A277,'ECN-ECO_DATA'!B:G,6,FALSE))),"")</f>
        <v/>
      </c>
      <c r="E277" s="9" t="str">
        <f>IFERROR((IF(VLOOKUP(A277,'ECN-ECO_DATA'!B:G,6,FALSE)=0/1/1900,"",VLOOKUP(A277,'ECN-ECO_DATA'!B:G,6,FALSE))),"")</f>
        <v/>
      </c>
      <c r="F277" s="9" t="str">
        <f>IFERROR((IF(VLOOKUP(A277,'ECN-ECO_DATA'!B:J,7,FALSE)=0/1/1900,"",VLOOKUP(A277,'ECN-ECO_DATA'!B:J,7,FALSE))),"")</f>
        <v/>
      </c>
      <c r="G277" s="9" t="str">
        <f>IFERROR((IF(VLOOKUP(A277,'ECN-ECO_DATA'!B:J,8,FALSE)=0/1/1900,"",VLOOKUP(A277,'ECN-ECO_DATA'!B:J,8,FALSE))),"")</f>
        <v/>
      </c>
      <c r="H277" s="9" t="str">
        <f>IFERROR((IF(VLOOKUP(A277,'ECN-ECO_DATA'!B:J,9,FALSE)=0/1/1900,"",VLOOKUP(A277,'ECN-ECO_DATA'!B:J,9,FALSE))),"")</f>
        <v/>
      </c>
      <c r="I277" s="10" t="str">
        <f>IFERROR((IF(VLOOKUP(A277,'ECN-ECO_DATA'!B:Q,13,FALSE)="","",VLOOKUP(A277,'ECN-ECO_DATA'!B:Q,13,FALSE))),"")</f>
        <v/>
      </c>
      <c r="J277" s="10" t="str">
        <f>IFERROR((IF(VLOOKUP(A277,'ECN-ECO_DATA'!B:Q,14,FALSE)="","",VLOOKUP(A277,'ECN-ECO_DATA'!B:Q,14,FALSE))),"")</f>
        <v/>
      </c>
      <c r="K277" s="10" t="str">
        <f>IFERROR((IF(VLOOKUP(A277,'ECN-ECO_DATA'!B:Q,15,FALSE)="","",VLOOKUP(A277,'ECN-ECO_DATA'!B:Q,15,FALSE))),"")</f>
        <v/>
      </c>
      <c r="L277" s="10" t="str">
        <f>IFERROR((IF(VLOOKUP(A277,'ECN-ECO_DATA'!B:Q,16,FALSE)="","",VLOOKUP(A277,'ECN-ECO_DATA'!B:Q,16,FALSE))),"")</f>
        <v/>
      </c>
      <c r="M277" s="9" t="str">
        <f>IFERROR((IF(VLOOKUP(A277,'ECN-ECO_DATA'!B:V,18,FALSE)=0/1/1900,"",VLOOKUP(A277,'ECN-ECO_DATA'!B:V,18,FALSE))),"")</f>
        <v/>
      </c>
      <c r="N277" s="9" t="str">
        <f>IFERROR((IF(VLOOKUP(A277,'ECN-ECO_DATA'!B:V,19,FALSE)=0/1/1900,"",VLOOKUP(A277,'ECN-ECO_DATA'!B:V,19,FALSE))),"")</f>
        <v/>
      </c>
      <c r="O277" s="9" t="str">
        <f>IFERROR((IF(VLOOKUP(A277,'ECN-ECO_DATA'!B:V,20,FALSE)=0/1/1900,"",VLOOKUP(A277,'ECN-ECO_DATA'!B:V,20,FALSE))),"")</f>
        <v/>
      </c>
      <c r="P277" s="9" t="str">
        <f>IFERROR((IF(VLOOKUP(A277,'ECN-ECO_DATA'!B:V,21,FALSE)=0/1/1900,"",VLOOKUP(A277,'ECN-ECO_DATA'!B:V,21,FALSE))),"")</f>
        <v/>
      </c>
      <c r="Q277" s="10" t="str">
        <f t="shared" ca="1" si="20"/>
        <v/>
      </c>
      <c r="R277" s="4" t="str">
        <f t="shared" si="21"/>
        <v/>
      </c>
      <c r="S277" s="4" t="str">
        <f t="shared" si="22"/>
        <v/>
      </c>
      <c r="T277" s="4" t="str">
        <f t="shared" si="23"/>
        <v/>
      </c>
      <c r="U277" s="10" t="str">
        <f t="shared" si="24"/>
        <v/>
      </c>
      <c r="V277" s="4"/>
    </row>
    <row r="278" spans="2:22" x14ac:dyDescent="0.25">
      <c r="B278" s="4" t="str">
        <f>IFERROR(VLOOKUP(A278,'ECN-ECO_DATA'!B:G,4,FALSE),"")</f>
        <v/>
      </c>
      <c r="C278" s="9" t="str">
        <f>IFERROR(VLOOKUP(A278,'ECN-ECO_DATA'!B:G,5,FALSE),"")</f>
        <v/>
      </c>
      <c r="D278" s="9" t="str">
        <f ca="1">IFERROR((IF(VLOOKUP(A278,'ECN-ECO_DATA'!B:G,6,FALSE)=0/1/1900,TODAY(),VLOOKUP(A278,'ECN-ECO_DATA'!B:G,6,FALSE))),"")</f>
        <v/>
      </c>
      <c r="E278" s="9" t="str">
        <f>IFERROR((IF(VLOOKUP(A278,'ECN-ECO_DATA'!B:G,6,FALSE)=0/1/1900,"",VLOOKUP(A278,'ECN-ECO_DATA'!B:G,6,FALSE))),"")</f>
        <v/>
      </c>
      <c r="F278" s="9" t="str">
        <f>IFERROR((IF(VLOOKUP(A278,'ECN-ECO_DATA'!B:J,7,FALSE)=0/1/1900,"",VLOOKUP(A278,'ECN-ECO_DATA'!B:J,7,FALSE))),"")</f>
        <v/>
      </c>
      <c r="G278" s="9" t="str">
        <f>IFERROR((IF(VLOOKUP(A278,'ECN-ECO_DATA'!B:J,8,FALSE)=0/1/1900,"",VLOOKUP(A278,'ECN-ECO_DATA'!B:J,8,FALSE))),"")</f>
        <v/>
      </c>
      <c r="H278" s="9" t="str">
        <f>IFERROR((IF(VLOOKUP(A278,'ECN-ECO_DATA'!B:J,9,FALSE)=0/1/1900,"",VLOOKUP(A278,'ECN-ECO_DATA'!B:J,9,FALSE))),"")</f>
        <v/>
      </c>
      <c r="I278" s="10" t="str">
        <f>IFERROR((IF(VLOOKUP(A278,'ECN-ECO_DATA'!B:Q,13,FALSE)="","",VLOOKUP(A278,'ECN-ECO_DATA'!B:Q,13,FALSE))),"")</f>
        <v/>
      </c>
      <c r="J278" s="10" t="str">
        <f>IFERROR((IF(VLOOKUP(A278,'ECN-ECO_DATA'!B:Q,14,FALSE)="","",VLOOKUP(A278,'ECN-ECO_DATA'!B:Q,14,FALSE))),"")</f>
        <v/>
      </c>
      <c r="K278" s="10" t="str">
        <f>IFERROR((IF(VLOOKUP(A278,'ECN-ECO_DATA'!B:Q,15,FALSE)="","",VLOOKUP(A278,'ECN-ECO_DATA'!B:Q,15,FALSE))),"")</f>
        <v/>
      </c>
      <c r="L278" s="10" t="str">
        <f>IFERROR((IF(VLOOKUP(A278,'ECN-ECO_DATA'!B:Q,16,FALSE)="","",VLOOKUP(A278,'ECN-ECO_DATA'!B:Q,16,FALSE))),"")</f>
        <v/>
      </c>
      <c r="M278" s="9" t="str">
        <f>IFERROR((IF(VLOOKUP(A278,'ECN-ECO_DATA'!B:V,18,FALSE)=0/1/1900,"",VLOOKUP(A278,'ECN-ECO_DATA'!B:V,18,FALSE))),"")</f>
        <v/>
      </c>
      <c r="N278" s="9" t="str">
        <f>IFERROR((IF(VLOOKUP(A278,'ECN-ECO_DATA'!B:V,19,FALSE)=0/1/1900,"",VLOOKUP(A278,'ECN-ECO_DATA'!B:V,19,FALSE))),"")</f>
        <v/>
      </c>
      <c r="O278" s="9" t="str">
        <f>IFERROR((IF(VLOOKUP(A278,'ECN-ECO_DATA'!B:V,20,FALSE)=0/1/1900,"",VLOOKUP(A278,'ECN-ECO_DATA'!B:V,20,FALSE))),"")</f>
        <v/>
      </c>
      <c r="P278" s="9" t="str">
        <f>IFERROR((IF(VLOOKUP(A278,'ECN-ECO_DATA'!B:V,21,FALSE)=0/1/1900,"",VLOOKUP(A278,'ECN-ECO_DATA'!B:V,21,FALSE))),"")</f>
        <v/>
      </c>
      <c r="Q278" s="10" t="str">
        <f t="shared" ca="1" si="20"/>
        <v/>
      </c>
      <c r="R278" s="4" t="str">
        <f t="shared" si="21"/>
        <v/>
      </c>
      <c r="S278" s="4" t="str">
        <f t="shared" si="22"/>
        <v/>
      </c>
      <c r="T278" s="4" t="str">
        <f t="shared" si="23"/>
        <v/>
      </c>
      <c r="U278" s="10" t="str">
        <f t="shared" si="24"/>
        <v/>
      </c>
      <c r="V278" s="4"/>
    </row>
    <row r="279" spans="2:22" x14ac:dyDescent="0.25">
      <c r="B279" s="4" t="str">
        <f>IFERROR(VLOOKUP(A279,'ECN-ECO_DATA'!B:G,4,FALSE),"")</f>
        <v/>
      </c>
      <c r="C279" s="9" t="str">
        <f>IFERROR(VLOOKUP(A279,'ECN-ECO_DATA'!B:G,5,FALSE),"")</f>
        <v/>
      </c>
      <c r="D279" s="9" t="str">
        <f ca="1">IFERROR((IF(VLOOKUP(A279,'ECN-ECO_DATA'!B:G,6,FALSE)=0/1/1900,TODAY(),VLOOKUP(A279,'ECN-ECO_DATA'!B:G,6,FALSE))),"")</f>
        <v/>
      </c>
      <c r="E279" s="9" t="str">
        <f>IFERROR((IF(VLOOKUP(A279,'ECN-ECO_DATA'!B:G,6,FALSE)=0/1/1900,"",VLOOKUP(A279,'ECN-ECO_DATA'!B:G,6,FALSE))),"")</f>
        <v/>
      </c>
      <c r="F279" s="9" t="str">
        <f>IFERROR((IF(VLOOKUP(A279,'ECN-ECO_DATA'!B:J,7,FALSE)=0/1/1900,"",VLOOKUP(A279,'ECN-ECO_DATA'!B:J,7,FALSE))),"")</f>
        <v/>
      </c>
      <c r="G279" s="9" t="str">
        <f>IFERROR((IF(VLOOKUP(A279,'ECN-ECO_DATA'!B:J,8,FALSE)=0/1/1900,"",VLOOKUP(A279,'ECN-ECO_DATA'!B:J,8,FALSE))),"")</f>
        <v/>
      </c>
      <c r="H279" s="9" t="str">
        <f>IFERROR((IF(VLOOKUP(A279,'ECN-ECO_DATA'!B:J,9,FALSE)=0/1/1900,"",VLOOKUP(A279,'ECN-ECO_DATA'!B:J,9,FALSE))),"")</f>
        <v/>
      </c>
      <c r="I279" s="10" t="str">
        <f>IFERROR((IF(VLOOKUP(A279,'ECN-ECO_DATA'!B:Q,13,FALSE)="","",VLOOKUP(A279,'ECN-ECO_DATA'!B:Q,13,FALSE))),"")</f>
        <v/>
      </c>
      <c r="J279" s="10" t="str">
        <f>IFERROR((IF(VLOOKUP(A279,'ECN-ECO_DATA'!B:Q,14,FALSE)="","",VLOOKUP(A279,'ECN-ECO_DATA'!B:Q,14,FALSE))),"")</f>
        <v/>
      </c>
      <c r="K279" s="10" t="str">
        <f>IFERROR((IF(VLOOKUP(A279,'ECN-ECO_DATA'!B:Q,15,FALSE)="","",VLOOKUP(A279,'ECN-ECO_DATA'!B:Q,15,FALSE))),"")</f>
        <v/>
      </c>
      <c r="L279" s="10" t="str">
        <f>IFERROR((IF(VLOOKUP(A279,'ECN-ECO_DATA'!B:Q,16,FALSE)="","",VLOOKUP(A279,'ECN-ECO_DATA'!B:Q,16,FALSE))),"")</f>
        <v/>
      </c>
      <c r="M279" s="9" t="str">
        <f>IFERROR((IF(VLOOKUP(A279,'ECN-ECO_DATA'!B:V,18,FALSE)=0/1/1900,"",VLOOKUP(A279,'ECN-ECO_DATA'!B:V,18,FALSE))),"")</f>
        <v/>
      </c>
      <c r="N279" s="9" t="str">
        <f>IFERROR((IF(VLOOKUP(A279,'ECN-ECO_DATA'!B:V,19,FALSE)=0/1/1900,"",VLOOKUP(A279,'ECN-ECO_DATA'!B:V,19,FALSE))),"")</f>
        <v/>
      </c>
      <c r="O279" s="9" t="str">
        <f>IFERROR((IF(VLOOKUP(A279,'ECN-ECO_DATA'!B:V,20,FALSE)=0/1/1900,"",VLOOKUP(A279,'ECN-ECO_DATA'!B:V,20,FALSE))),"")</f>
        <v/>
      </c>
      <c r="P279" s="9" t="str">
        <f>IFERROR((IF(VLOOKUP(A279,'ECN-ECO_DATA'!B:V,21,FALSE)=0/1/1900,"",VLOOKUP(A279,'ECN-ECO_DATA'!B:V,21,FALSE))),"")</f>
        <v/>
      </c>
      <c r="Q279" s="10" t="str">
        <f t="shared" ca="1" si="20"/>
        <v/>
      </c>
      <c r="R279" s="4" t="str">
        <f t="shared" si="21"/>
        <v/>
      </c>
      <c r="S279" s="4" t="str">
        <f t="shared" si="22"/>
        <v/>
      </c>
      <c r="T279" s="4" t="str">
        <f t="shared" si="23"/>
        <v/>
      </c>
      <c r="U279" s="10" t="str">
        <f t="shared" si="24"/>
        <v/>
      </c>
      <c r="V279" s="4"/>
    </row>
    <row r="280" spans="2:22" x14ac:dyDescent="0.25">
      <c r="B280" s="4" t="str">
        <f>IFERROR(VLOOKUP(A280,'ECN-ECO_DATA'!B:G,4,FALSE),"")</f>
        <v/>
      </c>
      <c r="C280" s="9" t="str">
        <f>IFERROR(VLOOKUP(A280,'ECN-ECO_DATA'!B:G,5,FALSE),"")</f>
        <v/>
      </c>
      <c r="D280" s="9" t="str">
        <f ca="1">IFERROR((IF(VLOOKUP(A280,'ECN-ECO_DATA'!B:G,6,FALSE)=0/1/1900,TODAY(),VLOOKUP(A280,'ECN-ECO_DATA'!B:G,6,FALSE))),"")</f>
        <v/>
      </c>
      <c r="E280" s="9" t="str">
        <f>IFERROR((IF(VLOOKUP(A280,'ECN-ECO_DATA'!B:G,6,FALSE)=0/1/1900,"",VLOOKUP(A280,'ECN-ECO_DATA'!B:G,6,FALSE))),"")</f>
        <v/>
      </c>
      <c r="F280" s="9" t="str">
        <f>IFERROR((IF(VLOOKUP(A280,'ECN-ECO_DATA'!B:J,7,FALSE)=0/1/1900,"",VLOOKUP(A280,'ECN-ECO_DATA'!B:J,7,FALSE))),"")</f>
        <v/>
      </c>
      <c r="G280" s="9" t="str">
        <f>IFERROR((IF(VLOOKUP(A280,'ECN-ECO_DATA'!B:J,8,FALSE)=0/1/1900,"",VLOOKUP(A280,'ECN-ECO_DATA'!B:J,8,FALSE))),"")</f>
        <v/>
      </c>
      <c r="H280" s="9" t="str">
        <f>IFERROR((IF(VLOOKUP(A280,'ECN-ECO_DATA'!B:J,9,FALSE)=0/1/1900,"",VLOOKUP(A280,'ECN-ECO_DATA'!B:J,9,FALSE))),"")</f>
        <v/>
      </c>
      <c r="I280" s="10" t="str">
        <f>IFERROR((IF(VLOOKUP(A280,'ECN-ECO_DATA'!B:Q,13,FALSE)="","",VLOOKUP(A280,'ECN-ECO_DATA'!B:Q,13,FALSE))),"")</f>
        <v/>
      </c>
      <c r="J280" s="10" t="str">
        <f>IFERROR((IF(VLOOKUP(A280,'ECN-ECO_DATA'!B:Q,14,FALSE)="","",VLOOKUP(A280,'ECN-ECO_DATA'!B:Q,14,FALSE))),"")</f>
        <v/>
      </c>
      <c r="K280" s="10" t="str">
        <f>IFERROR((IF(VLOOKUP(A280,'ECN-ECO_DATA'!B:Q,15,FALSE)="","",VLOOKUP(A280,'ECN-ECO_DATA'!B:Q,15,FALSE))),"")</f>
        <v/>
      </c>
      <c r="L280" s="10" t="str">
        <f>IFERROR((IF(VLOOKUP(A280,'ECN-ECO_DATA'!B:Q,16,FALSE)="","",VLOOKUP(A280,'ECN-ECO_DATA'!B:Q,16,FALSE))),"")</f>
        <v/>
      </c>
      <c r="M280" s="9" t="str">
        <f>IFERROR((IF(VLOOKUP(A280,'ECN-ECO_DATA'!B:V,18,FALSE)=0/1/1900,"",VLOOKUP(A280,'ECN-ECO_DATA'!B:V,18,FALSE))),"")</f>
        <v/>
      </c>
      <c r="N280" s="9" t="str">
        <f>IFERROR((IF(VLOOKUP(A280,'ECN-ECO_DATA'!B:V,19,FALSE)=0/1/1900,"",VLOOKUP(A280,'ECN-ECO_DATA'!B:V,19,FALSE))),"")</f>
        <v/>
      </c>
      <c r="O280" s="9" t="str">
        <f>IFERROR((IF(VLOOKUP(A280,'ECN-ECO_DATA'!B:V,20,FALSE)=0/1/1900,"",VLOOKUP(A280,'ECN-ECO_DATA'!B:V,20,FALSE))),"")</f>
        <v/>
      </c>
      <c r="P280" s="9" t="str">
        <f>IFERROR((IF(VLOOKUP(A280,'ECN-ECO_DATA'!B:V,21,FALSE)=0/1/1900,"",VLOOKUP(A280,'ECN-ECO_DATA'!B:V,21,FALSE))),"")</f>
        <v/>
      </c>
      <c r="Q280" s="10" t="str">
        <f t="shared" ca="1" si="20"/>
        <v/>
      </c>
      <c r="R280" s="4" t="str">
        <f t="shared" si="21"/>
        <v/>
      </c>
      <c r="S280" s="4" t="str">
        <f t="shared" si="22"/>
        <v/>
      </c>
      <c r="T280" s="4" t="str">
        <f t="shared" si="23"/>
        <v/>
      </c>
      <c r="U280" s="10" t="str">
        <f t="shared" si="24"/>
        <v/>
      </c>
      <c r="V280" s="4"/>
    </row>
    <row r="281" spans="2:22" x14ac:dyDescent="0.25">
      <c r="B281" s="4" t="str">
        <f>IFERROR(VLOOKUP(A281,'ECN-ECO_DATA'!B:G,4,FALSE),"")</f>
        <v/>
      </c>
      <c r="C281" s="9" t="str">
        <f>IFERROR(VLOOKUP(A281,'ECN-ECO_DATA'!B:G,5,FALSE),"")</f>
        <v/>
      </c>
      <c r="D281" s="9" t="str">
        <f ca="1">IFERROR((IF(VLOOKUP(A281,'ECN-ECO_DATA'!B:G,6,FALSE)=0/1/1900,TODAY(),VLOOKUP(A281,'ECN-ECO_DATA'!B:G,6,FALSE))),"")</f>
        <v/>
      </c>
      <c r="E281" s="9" t="str">
        <f>IFERROR((IF(VLOOKUP(A281,'ECN-ECO_DATA'!B:G,6,FALSE)=0/1/1900,"",VLOOKUP(A281,'ECN-ECO_DATA'!B:G,6,FALSE))),"")</f>
        <v/>
      </c>
      <c r="F281" s="9" t="str">
        <f>IFERROR((IF(VLOOKUP(A281,'ECN-ECO_DATA'!B:J,7,FALSE)=0/1/1900,"",VLOOKUP(A281,'ECN-ECO_DATA'!B:J,7,FALSE))),"")</f>
        <v/>
      </c>
      <c r="G281" s="9" t="str">
        <f>IFERROR((IF(VLOOKUP(A281,'ECN-ECO_DATA'!B:J,8,FALSE)=0/1/1900,"",VLOOKUP(A281,'ECN-ECO_DATA'!B:J,8,FALSE))),"")</f>
        <v/>
      </c>
      <c r="H281" s="9" t="str">
        <f>IFERROR((IF(VLOOKUP(A281,'ECN-ECO_DATA'!B:J,9,FALSE)=0/1/1900,"",VLOOKUP(A281,'ECN-ECO_DATA'!B:J,9,FALSE))),"")</f>
        <v/>
      </c>
      <c r="I281" s="10" t="str">
        <f>IFERROR((IF(VLOOKUP(A281,'ECN-ECO_DATA'!B:Q,13,FALSE)="","",VLOOKUP(A281,'ECN-ECO_DATA'!B:Q,13,FALSE))),"")</f>
        <v/>
      </c>
      <c r="J281" s="10" t="str">
        <f>IFERROR((IF(VLOOKUP(A281,'ECN-ECO_DATA'!B:Q,14,FALSE)="","",VLOOKUP(A281,'ECN-ECO_DATA'!B:Q,14,FALSE))),"")</f>
        <v/>
      </c>
      <c r="K281" s="10" t="str">
        <f>IFERROR((IF(VLOOKUP(A281,'ECN-ECO_DATA'!B:Q,15,FALSE)="","",VLOOKUP(A281,'ECN-ECO_DATA'!B:Q,15,FALSE))),"")</f>
        <v/>
      </c>
      <c r="L281" s="10" t="str">
        <f>IFERROR((IF(VLOOKUP(A281,'ECN-ECO_DATA'!B:Q,16,FALSE)="","",VLOOKUP(A281,'ECN-ECO_DATA'!B:Q,16,FALSE))),"")</f>
        <v/>
      </c>
      <c r="M281" s="9" t="str">
        <f>IFERROR((IF(VLOOKUP(A281,'ECN-ECO_DATA'!B:V,18,FALSE)=0/1/1900,"",VLOOKUP(A281,'ECN-ECO_DATA'!B:V,18,FALSE))),"")</f>
        <v/>
      </c>
      <c r="N281" s="9" t="str">
        <f>IFERROR((IF(VLOOKUP(A281,'ECN-ECO_DATA'!B:V,19,FALSE)=0/1/1900,"",VLOOKUP(A281,'ECN-ECO_DATA'!B:V,19,FALSE))),"")</f>
        <v/>
      </c>
      <c r="O281" s="9" t="str">
        <f>IFERROR((IF(VLOOKUP(A281,'ECN-ECO_DATA'!B:V,20,FALSE)=0/1/1900,"",VLOOKUP(A281,'ECN-ECO_DATA'!B:V,20,FALSE))),"")</f>
        <v/>
      </c>
      <c r="P281" s="9" t="str">
        <f>IFERROR((IF(VLOOKUP(A281,'ECN-ECO_DATA'!B:V,21,FALSE)=0/1/1900,"",VLOOKUP(A281,'ECN-ECO_DATA'!B:V,21,FALSE))),"")</f>
        <v/>
      </c>
      <c r="Q281" s="10" t="str">
        <f t="shared" ca="1" si="20"/>
        <v/>
      </c>
      <c r="R281" s="4" t="str">
        <f t="shared" si="21"/>
        <v/>
      </c>
      <c r="S281" s="4" t="str">
        <f t="shared" si="22"/>
        <v/>
      </c>
      <c r="T281" s="4" t="str">
        <f t="shared" si="23"/>
        <v/>
      </c>
      <c r="U281" s="10" t="str">
        <f t="shared" si="24"/>
        <v/>
      </c>
      <c r="V281" s="4"/>
    </row>
    <row r="282" spans="2:22" x14ac:dyDescent="0.25">
      <c r="B282" s="4" t="str">
        <f>IFERROR(VLOOKUP(A282,'ECN-ECO_DATA'!B:G,4,FALSE),"")</f>
        <v/>
      </c>
      <c r="C282" s="9" t="str">
        <f>IFERROR(VLOOKUP(A282,'ECN-ECO_DATA'!B:G,5,FALSE),"")</f>
        <v/>
      </c>
      <c r="D282" s="9" t="str">
        <f ca="1">IFERROR((IF(VLOOKUP(A282,'ECN-ECO_DATA'!B:G,6,FALSE)=0/1/1900,TODAY(),VLOOKUP(A282,'ECN-ECO_DATA'!B:G,6,FALSE))),"")</f>
        <v/>
      </c>
      <c r="E282" s="9" t="str">
        <f>IFERROR((IF(VLOOKUP(A282,'ECN-ECO_DATA'!B:G,6,FALSE)=0/1/1900,"",VLOOKUP(A282,'ECN-ECO_DATA'!B:G,6,FALSE))),"")</f>
        <v/>
      </c>
      <c r="F282" s="9" t="str">
        <f>IFERROR((IF(VLOOKUP(A282,'ECN-ECO_DATA'!B:J,7,FALSE)=0/1/1900,"",VLOOKUP(A282,'ECN-ECO_DATA'!B:J,7,FALSE))),"")</f>
        <v/>
      </c>
      <c r="G282" s="9" t="str">
        <f>IFERROR((IF(VLOOKUP(A282,'ECN-ECO_DATA'!B:J,8,FALSE)=0/1/1900,"",VLOOKUP(A282,'ECN-ECO_DATA'!B:J,8,FALSE))),"")</f>
        <v/>
      </c>
      <c r="H282" s="9" t="str">
        <f>IFERROR((IF(VLOOKUP(A282,'ECN-ECO_DATA'!B:J,9,FALSE)=0/1/1900,"",VLOOKUP(A282,'ECN-ECO_DATA'!B:J,9,FALSE))),"")</f>
        <v/>
      </c>
      <c r="I282" s="10" t="str">
        <f>IFERROR((IF(VLOOKUP(A282,'ECN-ECO_DATA'!B:Q,13,FALSE)="","",VLOOKUP(A282,'ECN-ECO_DATA'!B:Q,13,FALSE))),"")</f>
        <v/>
      </c>
      <c r="J282" s="10" t="str">
        <f>IFERROR((IF(VLOOKUP(A282,'ECN-ECO_DATA'!B:Q,14,FALSE)="","",VLOOKUP(A282,'ECN-ECO_DATA'!B:Q,14,FALSE))),"")</f>
        <v/>
      </c>
      <c r="K282" s="10" t="str">
        <f>IFERROR((IF(VLOOKUP(A282,'ECN-ECO_DATA'!B:Q,15,FALSE)="","",VLOOKUP(A282,'ECN-ECO_DATA'!B:Q,15,FALSE))),"")</f>
        <v/>
      </c>
      <c r="L282" s="10" t="str">
        <f>IFERROR((IF(VLOOKUP(A282,'ECN-ECO_DATA'!B:Q,16,FALSE)="","",VLOOKUP(A282,'ECN-ECO_DATA'!B:Q,16,FALSE))),"")</f>
        <v/>
      </c>
      <c r="M282" s="9" t="str">
        <f>IFERROR((IF(VLOOKUP(A282,'ECN-ECO_DATA'!B:V,18,FALSE)=0/1/1900,"",VLOOKUP(A282,'ECN-ECO_DATA'!B:V,18,FALSE))),"")</f>
        <v/>
      </c>
      <c r="N282" s="9" t="str">
        <f>IFERROR((IF(VLOOKUP(A282,'ECN-ECO_DATA'!B:V,19,FALSE)=0/1/1900,"",VLOOKUP(A282,'ECN-ECO_DATA'!B:V,19,FALSE))),"")</f>
        <v/>
      </c>
      <c r="O282" s="9" t="str">
        <f>IFERROR((IF(VLOOKUP(A282,'ECN-ECO_DATA'!B:V,20,FALSE)=0/1/1900,"",VLOOKUP(A282,'ECN-ECO_DATA'!B:V,20,FALSE))),"")</f>
        <v/>
      </c>
      <c r="P282" s="9" t="str">
        <f>IFERROR((IF(VLOOKUP(A282,'ECN-ECO_DATA'!B:V,21,FALSE)=0/1/1900,"",VLOOKUP(A282,'ECN-ECO_DATA'!B:V,21,FALSE))),"")</f>
        <v/>
      </c>
      <c r="Q282" s="10" t="str">
        <f t="shared" ca="1" si="20"/>
        <v/>
      </c>
      <c r="R282" s="4" t="str">
        <f t="shared" si="21"/>
        <v/>
      </c>
      <c r="S282" s="4" t="str">
        <f t="shared" si="22"/>
        <v/>
      </c>
      <c r="T282" s="4" t="str">
        <f t="shared" si="23"/>
        <v/>
      </c>
      <c r="U282" s="10" t="str">
        <f t="shared" si="24"/>
        <v/>
      </c>
      <c r="V282" s="4"/>
    </row>
    <row r="283" spans="2:22" x14ac:dyDescent="0.25">
      <c r="B283" s="4" t="str">
        <f>IFERROR(VLOOKUP(A283,'ECN-ECO_DATA'!B:G,4,FALSE),"")</f>
        <v/>
      </c>
      <c r="C283" s="9" t="str">
        <f>IFERROR(VLOOKUP(A283,'ECN-ECO_DATA'!B:G,5,FALSE),"")</f>
        <v/>
      </c>
      <c r="D283" s="9" t="str">
        <f ca="1">IFERROR((IF(VLOOKUP(A283,'ECN-ECO_DATA'!B:G,6,FALSE)=0/1/1900,TODAY(),VLOOKUP(A283,'ECN-ECO_DATA'!B:G,6,FALSE))),"")</f>
        <v/>
      </c>
      <c r="E283" s="9" t="str">
        <f>IFERROR((IF(VLOOKUP(A283,'ECN-ECO_DATA'!B:G,6,FALSE)=0/1/1900,"",VLOOKUP(A283,'ECN-ECO_DATA'!B:G,6,FALSE))),"")</f>
        <v/>
      </c>
      <c r="F283" s="9" t="str">
        <f>IFERROR((IF(VLOOKUP(A283,'ECN-ECO_DATA'!B:J,7,FALSE)=0/1/1900,"",VLOOKUP(A283,'ECN-ECO_DATA'!B:J,7,FALSE))),"")</f>
        <v/>
      </c>
      <c r="G283" s="9" t="str">
        <f>IFERROR((IF(VLOOKUP(A283,'ECN-ECO_DATA'!B:J,8,FALSE)=0/1/1900,"",VLOOKUP(A283,'ECN-ECO_DATA'!B:J,8,FALSE))),"")</f>
        <v/>
      </c>
      <c r="H283" s="9" t="str">
        <f>IFERROR((IF(VLOOKUP(A283,'ECN-ECO_DATA'!B:J,9,FALSE)=0/1/1900,"",VLOOKUP(A283,'ECN-ECO_DATA'!B:J,9,FALSE))),"")</f>
        <v/>
      </c>
      <c r="I283" s="10" t="str">
        <f>IFERROR((IF(VLOOKUP(A283,'ECN-ECO_DATA'!B:Q,13,FALSE)="","",VLOOKUP(A283,'ECN-ECO_DATA'!B:Q,13,FALSE))),"")</f>
        <v/>
      </c>
      <c r="J283" s="10" t="str">
        <f>IFERROR((IF(VLOOKUP(A283,'ECN-ECO_DATA'!B:Q,14,FALSE)="","",VLOOKUP(A283,'ECN-ECO_DATA'!B:Q,14,FALSE))),"")</f>
        <v/>
      </c>
      <c r="K283" s="10" t="str">
        <f>IFERROR((IF(VLOOKUP(A283,'ECN-ECO_DATA'!B:Q,15,FALSE)="","",VLOOKUP(A283,'ECN-ECO_DATA'!B:Q,15,FALSE))),"")</f>
        <v/>
      </c>
      <c r="L283" s="10" t="str">
        <f>IFERROR((IF(VLOOKUP(A283,'ECN-ECO_DATA'!B:Q,16,FALSE)="","",VLOOKUP(A283,'ECN-ECO_DATA'!B:Q,16,FALSE))),"")</f>
        <v/>
      </c>
      <c r="M283" s="9" t="str">
        <f>IFERROR((IF(VLOOKUP(A283,'ECN-ECO_DATA'!B:V,18,FALSE)=0/1/1900,"",VLOOKUP(A283,'ECN-ECO_DATA'!B:V,18,FALSE))),"")</f>
        <v/>
      </c>
      <c r="N283" s="9" t="str">
        <f>IFERROR((IF(VLOOKUP(A283,'ECN-ECO_DATA'!B:V,19,FALSE)=0/1/1900,"",VLOOKUP(A283,'ECN-ECO_DATA'!B:V,19,FALSE))),"")</f>
        <v/>
      </c>
      <c r="O283" s="9" t="str">
        <f>IFERROR((IF(VLOOKUP(A283,'ECN-ECO_DATA'!B:V,20,FALSE)=0/1/1900,"",VLOOKUP(A283,'ECN-ECO_DATA'!B:V,20,FALSE))),"")</f>
        <v/>
      </c>
      <c r="P283" s="9" t="str">
        <f>IFERROR((IF(VLOOKUP(A283,'ECN-ECO_DATA'!B:V,21,FALSE)=0/1/1900,"",VLOOKUP(A283,'ECN-ECO_DATA'!B:V,21,FALSE))),"")</f>
        <v/>
      </c>
      <c r="Q283" s="10" t="str">
        <f t="shared" ca="1" si="20"/>
        <v/>
      </c>
      <c r="R283" s="4" t="str">
        <f t="shared" si="21"/>
        <v/>
      </c>
      <c r="S283" s="4" t="str">
        <f t="shared" si="22"/>
        <v/>
      </c>
      <c r="T283" s="4" t="str">
        <f t="shared" si="23"/>
        <v/>
      </c>
      <c r="U283" s="10" t="str">
        <f t="shared" si="24"/>
        <v/>
      </c>
      <c r="V283" s="4"/>
    </row>
    <row r="284" spans="2:22" x14ac:dyDescent="0.25">
      <c r="B284" s="4" t="str">
        <f>IFERROR(VLOOKUP(A284,'ECN-ECO_DATA'!B:G,4,FALSE),"")</f>
        <v/>
      </c>
      <c r="C284" s="9" t="str">
        <f>IFERROR(VLOOKUP(A284,'ECN-ECO_DATA'!B:G,5,FALSE),"")</f>
        <v/>
      </c>
      <c r="D284" s="9" t="str">
        <f ca="1">IFERROR((IF(VLOOKUP(A284,'ECN-ECO_DATA'!B:G,6,FALSE)=0/1/1900,TODAY(),VLOOKUP(A284,'ECN-ECO_DATA'!B:G,6,FALSE))),"")</f>
        <v/>
      </c>
      <c r="E284" s="9" t="str">
        <f>IFERROR((IF(VLOOKUP(A284,'ECN-ECO_DATA'!B:G,6,FALSE)=0/1/1900,"",VLOOKUP(A284,'ECN-ECO_DATA'!B:G,6,FALSE))),"")</f>
        <v/>
      </c>
      <c r="F284" s="9" t="str">
        <f>IFERROR((IF(VLOOKUP(A284,'ECN-ECO_DATA'!B:J,7,FALSE)=0/1/1900,"",VLOOKUP(A284,'ECN-ECO_DATA'!B:J,7,FALSE))),"")</f>
        <v/>
      </c>
      <c r="G284" s="9" t="str">
        <f>IFERROR((IF(VLOOKUP(A284,'ECN-ECO_DATA'!B:J,8,FALSE)=0/1/1900,"",VLOOKUP(A284,'ECN-ECO_DATA'!B:J,8,FALSE))),"")</f>
        <v/>
      </c>
      <c r="H284" s="9" t="str">
        <f>IFERROR((IF(VLOOKUP(A284,'ECN-ECO_DATA'!B:J,9,FALSE)=0/1/1900,"",VLOOKUP(A284,'ECN-ECO_DATA'!B:J,9,FALSE))),"")</f>
        <v/>
      </c>
      <c r="I284" s="10" t="str">
        <f>IFERROR((IF(VLOOKUP(A284,'ECN-ECO_DATA'!B:Q,13,FALSE)="","",VLOOKUP(A284,'ECN-ECO_DATA'!B:Q,13,FALSE))),"")</f>
        <v/>
      </c>
      <c r="J284" s="10" t="str">
        <f>IFERROR((IF(VLOOKUP(A284,'ECN-ECO_DATA'!B:Q,14,FALSE)="","",VLOOKUP(A284,'ECN-ECO_DATA'!B:Q,14,FALSE))),"")</f>
        <v/>
      </c>
      <c r="K284" s="10" t="str">
        <f>IFERROR((IF(VLOOKUP(A284,'ECN-ECO_DATA'!B:Q,15,FALSE)="","",VLOOKUP(A284,'ECN-ECO_DATA'!B:Q,15,FALSE))),"")</f>
        <v/>
      </c>
      <c r="L284" s="10" t="str">
        <f>IFERROR((IF(VLOOKUP(A284,'ECN-ECO_DATA'!B:Q,16,FALSE)="","",VLOOKUP(A284,'ECN-ECO_DATA'!B:Q,16,FALSE))),"")</f>
        <v/>
      </c>
      <c r="M284" s="9" t="str">
        <f>IFERROR((IF(VLOOKUP(A284,'ECN-ECO_DATA'!B:V,18,FALSE)=0/1/1900,"",VLOOKUP(A284,'ECN-ECO_DATA'!B:V,18,FALSE))),"")</f>
        <v/>
      </c>
      <c r="N284" s="9" t="str">
        <f>IFERROR((IF(VLOOKUP(A284,'ECN-ECO_DATA'!B:V,19,FALSE)=0/1/1900,"",VLOOKUP(A284,'ECN-ECO_DATA'!B:V,19,FALSE))),"")</f>
        <v/>
      </c>
      <c r="O284" s="9" t="str">
        <f>IFERROR((IF(VLOOKUP(A284,'ECN-ECO_DATA'!B:V,20,FALSE)=0/1/1900,"",VLOOKUP(A284,'ECN-ECO_DATA'!B:V,20,FALSE))),"")</f>
        <v/>
      </c>
      <c r="P284" s="9" t="str">
        <f>IFERROR((IF(VLOOKUP(A284,'ECN-ECO_DATA'!B:V,21,FALSE)=0/1/1900,"",VLOOKUP(A284,'ECN-ECO_DATA'!B:V,21,FALSE))),"")</f>
        <v/>
      </c>
      <c r="Q284" s="10" t="str">
        <f t="shared" ca="1" si="20"/>
        <v/>
      </c>
      <c r="R284" s="4" t="str">
        <f t="shared" si="21"/>
        <v/>
      </c>
      <c r="S284" s="4" t="str">
        <f t="shared" si="22"/>
        <v/>
      </c>
      <c r="T284" s="4" t="str">
        <f t="shared" si="23"/>
        <v/>
      </c>
      <c r="U284" s="10" t="str">
        <f t="shared" si="24"/>
        <v/>
      </c>
      <c r="V284" s="4"/>
    </row>
    <row r="285" spans="2:22" x14ac:dyDescent="0.25">
      <c r="B285" s="4" t="str">
        <f>IFERROR(VLOOKUP(A285,'ECN-ECO_DATA'!B:G,4,FALSE),"")</f>
        <v/>
      </c>
      <c r="C285" s="9" t="str">
        <f>IFERROR(VLOOKUP(A285,'ECN-ECO_DATA'!B:G,5,FALSE),"")</f>
        <v/>
      </c>
      <c r="D285" s="9" t="str">
        <f ca="1">IFERROR((IF(VLOOKUP(A285,'ECN-ECO_DATA'!B:G,6,FALSE)=0/1/1900,TODAY(),VLOOKUP(A285,'ECN-ECO_DATA'!B:G,6,FALSE))),"")</f>
        <v/>
      </c>
      <c r="E285" s="9" t="str">
        <f>IFERROR((IF(VLOOKUP(A285,'ECN-ECO_DATA'!B:G,6,FALSE)=0/1/1900,"",VLOOKUP(A285,'ECN-ECO_DATA'!B:G,6,FALSE))),"")</f>
        <v/>
      </c>
      <c r="F285" s="9" t="str">
        <f>IFERROR((IF(VLOOKUP(A285,'ECN-ECO_DATA'!B:J,7,FALSE)=0/1/1900,"",VLOOKUP(A285,'ECN-ECO_DATA'!B:J,7,FALSE))),"")</f>
        <v/>
      </c>
      <c r="G285" s="9" t="str">
        <f>IFERROR((IF(VLOOKUP(A285,'ECN-ECO_DATA'!B:J,8,FALSE)=0/1/1900,"",VLOOKUP(A285,'ECN-ECO_DATA'!B:J,8,FALSE))),"")</f>
        <v/>
      </c>
      <c r="H285" s="9" t="str">
        <f>IFERROR((IF(VLOOKUP(A285,'ECN-ECO_DATA'!B:J,9,FALSE)=0/1/1900,"",VLOOKUP(A285,'ECN-ECO_DATA'!B:J,9,FALSE))),"")</f>
        <v/>
      </c>
      <c r="I285" s="10" t="str">
        <f>IFERROR((IF(VLOOKUP(A285,'ECN-ECO_DATA'!B:Q,13,FALSE)="","",VLOOKUP(A285,'ECN-ECO_DATA'!B:Q,13,FALSE))),"")</f>
        <v/>
      </c>
      <c r="J285" s="10" t="str">
        <f>IFERROR((IF(VLOOKUP(A285,'ECN-ECO_DATA'!B:Q,14,FALSE)="","",VLOOKUP(A285,'ECN-ECO_DATA'!B:Q,14,FALSE))),"")</f>
        <v/>
      </c>
      <c r="K285" s="10" t="str">
        <f>IFERROR((IF(VLOOKUP(A285,'ECN-ECO_DATA'!B:Q,15,FALSE)="","",VLOOKUP(A285,'ECN-ECO_DATA'!B:Q,15,FALSE))),"")</f>
        <v/>
      </c>
      <c r="L285" s="10" t="str">
        <f>IFERROR((IF(VLOOKUP(A285,'ECN-ECO_DATA'!B:Q,16,FALSE)="","",VLOOKUP(A285,'ECN-ECO_DATA'!B:Q,16,FALSE))),"")</f>
        <v/>
      </c>
      <c r="M285" s="9" t="str">
        <f>IFERROR((IF(VLOOKUP(A285,'ECN-ECO_DATA'!B:V,18,FALSE)=0/1/1900,"",VLOOKUP(A285,'ECN-ECO_DATA'!B:V,18,FALSE))),"")</f>
        <v/>
      </c>
      <c r="N285" s="9" t="str">
        <f>IFERROR((IF(VLOOKUP(A285,'ECN-ECO_DATA'!B:V,19,FALSE)=0/1/1900,"",VLOOKUP(A285,'ECN-ECO_DATA'!B:V,19,FALSE))),"")</f>
        <v/>
      </c>
      <c r="O285" s="9" t="str">
        <f>IFERROR((IF(VLOOKUP(A285,'ECN-ECO_DATA'!B:V,20,FALSE)=0/1/1900,"",VLOOKUP(A285,'ECN-ECO_DATA'!B:V,20,FALSE))),"")</f>
        <v/>
      </c>
      <c r="P285" s="9" t="str">
        <f>IFERROR((IF(VLOOKUP(A285,'ECN-ECO_DATA'!B:V,21,FALSE)=0/1/1900,"",VLOOKUP(A285,'ECN-ECO_DATA'!B:V,21,FALSE))),"")</f>
        <v/>
      </c>
      <c r="Q285" s="10" t="str">
        <f t="shared" ca="1" si="20"/>
        <v/>
      </c>
      <c r="R285" s="4" t="str">
        <f t="shared" si="21"/>
        <v/>
      </c>
      <c r="S285" s="4" t="str">
        <f t="shared" si="22"/>
        <v/>
      </c>
      <c r="T285" s="4" t="str">
        <f t="shared" si="23"/>
        <v/>
      </c>
      <c r="U285" s="10" t="str">
        <f t="shared" si="24"/>
        <v/>
      </c>
      <c r="V285" s="4"/>
    </row>
    <row r="286" spans="2:22" x14ac:dyDescent="0.25">
      <c r="B286" s="4" t="str">
        <f>IFERROR(VLOOKUP(A286,'ECN-ECO_DATA'!B:G,4,FALSE),"")</f>
        <v/>
      </c>
      <c r="C286" s="9" t="str">
        <f>IFERROR(VLOOKUP(A286,'ECN-ECO_DATA'!B:G,5,FALSE),"")</f>
        <v/>
      </c>
      <c r="D286" s="9" t="str">
        <f ca="1">IFERROR((IF(VLOOKUP(A286,'ECN-ECO_DATA'!B:G,6,FALSE)=0/1/1900,TODAY(),VLOOKUP(A286,'ECN-ECO_DATA'!B:G,6,FALSE))),"")</f>
        <v/>
      </c>
      <c r="E286" s="9" t="str">
        <f>IFERROR((IF(VLOOKUP(A286,'ECN-ECO_DATA'!B:G,6,FALSE)=0/1/1900,"",VLOOKUP(A286,'ECN-ECO_DATA'!B:G,6,FALSE))),"")</f>
        <v/>
      </c>
      <c r="F286" s="9" t="str">
        <f>IFERROR((IF(VLOOKUP(A286,'ECN-ECO_DATA'!B:J,7,FALSE)=0/1/1900,"",VLOOKUP(A286,'ECN-ECO_DATA'!B:J,7,FALSE))),"")</f>
        <v/>
      </c>
      <c r="G286" s="9" t="str">
        <f>IFERROR((IF(VLOOKUP(A286,'ECN-ECO_DATA'!B:J,8,FALSE)=0/1/1900,"",VLOOKUP(A286,'ECN-ECO_DATA'!B:J,8,FALSE))),"")</f>
        <v/>
      </c>
      <c r="H286" s="9" t="str">
        <f>IFERROR((IF(VLOOKUP(A286,'ECN-ECO_DATA'!B:J,9,FALSE)=0/1/1900,"",VLOOKUP(A286,'ECN-ECO_DATA'!B:J,9,FALSE))),"")</f>
        <v/>
      </c>
      <c r="I286" s="10" t="str">
        <f>IFERROR((IF(VLOOKUP(A286,'ECN-ECO_DATA'!B:Q,13,FALSE)="","",VLOOKUP(A286,'ECN-ECO_DATA'!B:Q,13,FALSE))),"")</f>
        <v/>
      </c>
      <c r="J286" s="10" t="str">
        <f>IFERROR((IF(VLOOKUP(A286,'ECN-ECO_DATA'!B:Q,14,FALSE)="","",VLOOKUP(A286,'ECN-ECO_DATA'!B:Q,14,FALSE))),"")</f>
        <v/>
      </c>
      <c r="K286" s="10" t="str">
        <f>IFERROR((IF(VLOOKUP(A286,'ECN-ECO_DATA'!B:Q,15,FALSE)="","",VLOOKUP(A286,'ECN-ECO_DATA'!B:Q,15,FALSE))),"")</f>
        <v/>
      </c>
      <c r="L286" s="10" t="str">
        <f>IFERROR((IF(VLOOKUP(A286,'ECN-ECO_DATA'!B:Q,16,FALSE)="","",VLOOKUP(A286,'ECN-ECO_DATA'!B:Q,16,FALSE))),"")</f>
        <v/>
      </c>
      <c r="M286" s="9" t="str">
        <f>IFERROR((IF(VLOOKUP(A286,'ECN-ECO_DATA'!B:V,18,FALSE)=0/1/1900,"",VLOOKUP(A286,'ECN-ECO_DATA'!B:V,18,FALSE))),"")</f>
        <v/>
      </c>
      <c r="N286" s="9" t="str">
        <f>IFERROR((IF(VLOOKUP(A286,'ECN-ECO_DATA'!B:V,19,FALSE)=0/1/1900,"",VLOOKUP(A286,'ECN-ECO_DATA'!B:V,19,FALSE))),"")</f>
        <v/>
      </c>
      <c r="O286" s="9" t="str">
        <f>IFERROR((IF(VLOOKUP(A286,'ECN-ECO_DATA'!B:V,20,FALSE)=0/1/1900,"",VLOOKUP(A286,'ECN-ECO_DATA'!B:V,20,FALSE))),"")</f>
        <v/>
      </c>
      <c r="P286" s="9" t="str">
        <f>IFERROR((IF(VLOOKUP(A286,'ECN-ECO_DATA'!B:V,21,FALSE)=0/1/1900,"",VLOOKUP(A286,'ECN-ECO_DATA'!B:V,21,FALSE))),"")</f>
        <v/>
      </c>
      <c r="Q286" s="10" t="str">
        <f t="shared" ca="1" si="20"/>
        <v/>
      </c>
      <c r="R286" s="4" t="str">
        <f t="shared" si="21"/>
        <v/>
      </c>
      <c r="S286" s="4" t="str">
        <f t="shared" si="22"/>
        <v/>
      </c>
      <c r="T286" s="4" t="str">
        <f t="shared" si="23"/>
        <v/>
      </c>
      <c r="U286" s="10" t="str">
        <f t="shared" si="24"/>
        <v/>
      </c>
      <c r="V286" s="4"/>
    </row>
    <row r="287" spans="2:22" x14ac:dyDescent="0.25">
      <c r="B287" s="4" t="str">
        <f>IFERROR(VLOOKUP(A287,'ECN-ECO_DATA'!B:G,4,FALSE),"")</f>
        <v/>
      </c>
      <c r="C287" s="9" t="str">
        <f>IFERROR(VLOOKUP(A287,'ECN-ECO_DATA'!B:G,5,FALSE),"")</f>
        <v/>
      </c>
      <c r="D287" s="9" t="str">
        <f ca="1">IFERROR((IF(VLOOKUP(A287,'ECN-ECO_DATA'!B:G,6,FALSE)=0/1/1900,TODAY(),VLOOKUP(A287,'ECN-ECO_DATA'!B:G,6,FALSE))),"")</f>
        <v/>
      </c>
      <c r="E287" s="9" t="str">
        <f>IFERROR((IF(VLOOKUP(A287,'ECN-ECO_DATA'!B:G,6,FALSE)=0/1/1900,"",VLOOKUP(A287,'ECN-ECO_DATA'!B:G,6,FALSE))),"")</f>
        <v/>
      </c>
      <c r="F287" s="9" t="str">
        <f>IFERROR((IF(VLOOKUP(A287,'ECN-ECO_DATA'!B:J,7,FALSE)=0/1/1900,"",VLOOKUP(A287,'ECN-ECO_DATA'!B:J,7,FALSE))),"")</f>
        <v/>
      </c>
      <c r="G287" s="9" t="str">
        <f>IFERROR((IF(VLOOKUP(A287,'ECN-ECO_DATA'!B:J,8,FALSE)=0/1/1900,"",VLOOKUP(A287,'ECN-ECO_DATA'!B:J,8,FALSE))),"")</f>
        <v/>
      </c>
      <c r="H287" s="9" t="str">
        <f>IFERROR((IF(VLOOKUP(A287,'ECN-ECO_DATA'!B:J,9,FALSE)=0/1/1900,"",VLOOKUP(A287,'ECN-ECO_DATA'!B:J,9,FALSE))),"")</f>
        <v/>
      </c>
      <c r="I287" s="10" t="str">
        <f>IFERROR((IF(VLOOKUP(A287,'ECN-ECO_DATA'!B:Q,13,FALSE)="","",VLOOKUP(A287,'ECN-ECO_DATA'!B:Q,13,FALSE))),"")</f>
        <v/>
      </c>
      <c r="J287" s="10" t="str">
        <f>IFERROR((IF(VLOOKUP(A287,'ECN-ECO_DATA'!B:Q,14,FALSE)="","",VLOOKUP(A287,'ECN-ECO_DATA'!B:Q,14,FALSE))),"")</f>
        <v/>
      </c>
      <c r="K287" s="10" t="str">
        <f>IFERROR((IF(VLOOKUP(A287,'ECN-ECO_DATA'!B:Q,15,FALSE)="","",VLOOKUP(A287,'ECN-ECO_DATA'!B:Q,15,FALSE))),"")</f>
        <v/>
      </c>
      <c r="L287" s="10" t="str">
        <f>IFERROR((IF(VLOOKUP(A287,'ECN-ECO_DATA'!B:Q,16,FALSE)="","",VLOOKUP(A287,'ECN-ECO_DATA'!B:Q,16,FALSE))),"")</f>
        <v/>
      </c>
      <c r="M287" s="9" t="str">
        <f>IFERROR((IF(VLOOKUP(A287,'ECN-ECO_DATA'!B:V,18,FALSE)=0/1/1900,"",VLOOKUP(A287,'ECN-ECO_DATA'!B:V,18,FALSE))),"")</f>
        <v/>
      </c>
      <c r="N287" s="9" t="str">
        <f>IFERROR((IF(VLOOKUP(A287,'ECN-ECO_DATA'!B:V,19,FALSE)=0/1/1900,"",VLOOKUP(A287,'ECN-ECO_DATA'!B:V,19,FALSE))),"")</f>
        <v/>
      </c>
      <c r="O287" s="9" t="str">
        <f>IFERROR((IF(VLOOKUP(A287,'ECN-ECO_DATA'!B:V,20,FALSE)=0/1/1900,"",VLOOKUP(A287,'ECN-ECO_DATA'!B:V,20,FALSE))),"")</f>
        <v/>
      </c>
      <c r="P287" s="9" t="str">
        <f>IFERROR((IF(VLOOKUP(A287,'ECN-ECO_DATA'!B:V,21,FALSE)=0/1/1900,"",VLOOKUP(A287,'ECN-ECO_DATA'!B:V,21,FALSE))),"")</f>
        <v/>
      </c>
      <c r="Q287" s="10" t="str">
        <f t="shared" ca="1" si="20"/>
        <v/>
      </c>
      <c r="R287" s="4" t="str">
        <f t="shared" si="21"/>
        <v/>
      </c>
      <c r="S287" s="4" t="str">
        <f t="shared" si="22"/>
        <v/>
      </c>
      <c r="T287" s="4" t="str">
        <f t="shared" si="23"/>
        <v/>
      </c>
      <c r="U287" s="10" t="str">
        <f t="shared" si="24"/>
        <v/>
      </c>
      <c r="V287" s="4"/>
    </row>
    <row r="288" spans="2:22" x14ac:dyDescent="0.25">
      <c r="B288" s="4" t="str">
        <f>IFERROR(VLOOKUP(A288,'ECN-ECO_DATA'!B:G,4,FALSE),"")</f>
        <v/>
      </c>
      <c r="C288" s="9" t="str">
        <f>IFERROR(VLOOKUP(A288,'ECN-ECO_DATA'!B:G,5,FALSE),"")</f>
        <v/>
      </c>
      <c r="D288" s="9" t="str">
        <f ca="1">IFERROR((IF(VLOOKUP(A288,'ECN-ECO_DATA'!B:G,6,FALSE)=0/1/1900,TODAY(),VLOOKUP(A288,'ECN-ECO_DATA'!B:G,6,FALSE))),"")</f>
        <v/>
      </c>
      <c r="E288" s="9" t="str">
        <f>IFERROR((IF(VLOOKUP(A288,'ECN-ECO_DATA'!B:G,6,FALSE)=0/1/1900,"",VLOOKUP(A288,'ECN-ECO_DATA'!B:G,6,FALSE))),"")</f>
        <v/>
      </c>
      <c r="F288" s="9" t="str">
        <f>IFERROR((IF(VLOOKUP(A288,'ECN-ECO_DATA'!B:J,7,FALSE)=0/1/1900,"",VLOOKUP(A288,'ECN-ECO_DATA'!B:J,7,FALSE))),"")</f>
        <v/>
      </c>
      <c r="G288" s="9" t="str">
        <f>IFERROR((IF(VLOOKUP(A288,'ECN-ECO_DATA'!B:J,8,FALSE)=0/1/1900,"",VLOOKUP(A288,'ECN-ECO_DATA'!B:J,8,FALSE))),"")</f>
        <v/>
      </c>
      <c r="H288" s="9" t="str">
        <f>IFERROR((IF(VLOOKUP(A288,'ECN-ECO_DATA'!B:J,9,FALSE)=0/1/1900,"",VLOOKUP(A288,'ECN-ECO_DATA'!B:J,9,FALSE))),"")</f>
        <v/>
      </c>
      <c r="I288" s="10" t="str">
        <f>IFERROR((IF(VLOOKUP(A288,'ECN-ECO_DATA'!B:Q,13,FALSE)="","",VLOOKUP(A288,'ECN-ECO_DATA'!B:Q,13,FALSE))),"")</f>
        <v/>
      </c>
      <c r="J288" s="10" t="str">
        <f>IFERROR((IF(VLOOKUP(A288,'ECN-ECO_DATA'!B:Q,14,FALSE)="","",VLOOKUP(A288,'ECN-ECO_DATA'!B:Q,14,FALSE))),"")</f>
        <v/>
      </c>
      <c r="K288" s="10" t="str">
        <f>IFERROR((IF(VLOOKUP(A288,'ECN-ECO_DATA'!B:Q,15,FALSE)="","",VLOOKUP(A288,'ECN-ECO_DATA'!B:Q,15,FALSE))),"")</f>
        <v/>
      </c>
      <c r="L288" s="10" t="str">
        <f>IFERROR((IF(VLOOKUP(A288,'ECN-ECO_DATA'!B:Q,16,FALSE)="","",VLOOKUP(A288,'ECN-ECO_DATA'!B:Q,16,FALSE))),"")</f>
        <v/>
      </c>
      <c r="M288" s="9" t="str">
        <f>IFERROR((IF(VLOOKUP(A288,'ECN-ECO_DATA'!B:V,18,FALSE)=0/1/1900,"",VLOOKUP(A288,'ECN-ECO_DATA'!B:V,18,FALSE))),"")</f>
        <v/>
      </c>
      <c r="N288" s="9" t="str">
        <f>IFERROR((IF(VLOOKUP(A288,'ECN-ECO_DATA'!B:V,19,FALSE)=0/1/1900,"",VLOOKUP(A288,'ECN-ECO_DATA'!B:V,19,FALSE))),"")</f>
        <v/>
      </c>
      <c r="O288" s="9" t="str">
        <f>IFERROR((IF(VLOOKUP(A288,'ECN-ECO_DATA'!B:V,20,FALSE)=0/1/1900,"",VLOOKUP(A288,'ECN-ECO_DATA'!B:V,20,FALSE))),"")</f>
        <v/>
      </c>
      <c r="P288" s="9" t="str">
        <f>IFERROR((IF(VLOOKUP(A288,'ECN-ECO_DATA'!B:V,21,FALSE)=0/1/1900,"",VLOOKUP(A288,'ECN-ECO_DATA'!B:V,21,FALSE))),"")</f>
        <v/>
      </c>
      <c r="Q288" s="10" t="str">
        <f t="shared" ca="1" si="20"/>
        <v/>
      </c>
      <c r="R288" s="4" t="str">
        <f t="shared" si="21"/>
        <v/>
      </c>
      <c r="S288" s="4" t="str">
        <f t="shared" si="22"/>
        <v/>
      </c>
      <c r="T288" s="4" t="str">
        <f t="shared" si="23"/>
        <v/>
      </c>
      <c r="U288" s="10" t="str">
        <f t="shared" si="24"/>
        <v/>
      </c>
      <c r="V288" s="4"/>
    </row>
    <row r="289" spans="2:22" x14ac:dyDescent="0.25">
      <c r="B289" s="4" t="str">
        <f>IFERROR(VLOOKUP(A289,'ECN-ECO_DATA'!B:G,4,FALSE),"")</f>
        <v/>
      </c>
      <c r="C289" s="9" t="str">
        <f>IFERROR(VLOOKUP(A289,'ECN-ECO_DATA'!B:G,5,FALSE),"")</f>
        <v/>
      </c>
      <c r="D289" s="9" t="str">
        <f ca="1">IFERROR((IF(VLOOKUP(A289,'ECN-ECO_DATA'!B:G,6,FALSE)=0/1/1900,TODAY(),VLOOKUP(A289,'ECN-ECO_DATA'!B:G,6,FALSE))),"")</f>
        <v/>
      </c>
      <c r="E289" s="9" t="str">
        <f>IFERROR((IF(VLOOKUP(A289,'ECN-ECO_DATA'!B:G,6,FALSE)=0/1/1900,"",VLOOKUP(A289,'ECN-ECO_DATA'!B:G,6,FALSE))),"")</f>
        <v/>
      </c>
      <c r="F289" s="9" t="str">
        <f>IFERROR((IF(VLOOKUP(A289,'ECN-ECO_DATA'!B:J,7,FALSE)=0/1/1900,"",VLOOKUP(A289,'ECN-ECO_DATA'!B:J,7,FALSE))),"")</f>
        <v/>
      </c>
      <c r="G289" s="9" t="str">
        <f>IFERROR((IF(VLOOKUP(A289,'ECN-ECO_DATA'!B:J,8,FALSE)=0/1/1900,"",VLOOKUP(A289,'ECN-ECO_DATA'!B:J,8,FALSE))),"")</f>
        <v/>
      </c>
      <c r="H289" s="9" t="str">
        <f>IFERROR((IF(VLOOKUP(A289,'ECN-ECO_DATA'!B:J,9,FALSE)=0/1/1900,"",VLOOKUP(A289,'ECN-ECO_DATA'!B:J,9,FALSE))),"")</f>
        <v/>
      </c>
      <c r="I289" s="10" t="str">
        <f>IFERROR((IF(VLOOKUP(A289,'ECN-ECO_DATA'!B:Q,13,FALSE)="","",VLOOKUP(A289,'ECN-ECO_DATA'!B:Q,13,FALSE))),"")</f>
        <v/>
      </c>
      <c r="J289" s="10" t="str">
        <f>IFERROR((IF(VLOOKUP(A289,'ECN-ECO_DATA'!B:Q,14,FALSE)="","",VLOOKUP(A289,'ECN-ECO_DATA'!B:Q,14,FALSE))),"")</f>
        <v/>
      </c>
      <c r="K289" s="10" t="str">
        <f>IFERROR((IF(VLOOKUP(A289,'ECN-ECO_DATA'!B:Q,15,FALSE)="","",VLOOKUP(A289,'ECN-ECO_DATA'!B:Q,15,FALSE))),"")</f>
        <v/>
      </c>
      <c r="L289" s="10" t="str">
        <f>IFERROR((IF(VLOOKUP(A289,'ECN-ECO_DATA'!B:Q,16,FALSE)="","",VLOOKUP(A289,'ECN-ECO_DATA'!B:Q,16,FALSE))),"")</f>
        <v/>
      </c>
      <c r="M289" s="9" t="str">
        <f>IFERROR((IF(VLOOKUP(A289,'ECN-ECO_DATA'!B:V,18,FALSE)=0/1/1900,"",VLOOKUP(A289,'ECN-ECO_DATA'!B:V,18,FALSE))),"")</f>
        <v/>
      </c>
      <c r="N289" s="9" t="str">
        <f>IFERROR((IF(VLOOKUP(A289,'ECN-ECO_DATA'!B:V,19,FALSE)=0/1/1900,"",VLOOKUP(A289,'ECN-ECO_DATA'!B:V,19,FALSE))),"")</f>
        <v/>
      </c>
      <c r="O289" s="9" t="str">
        <f>IFERROR((IF(VLOOKUP(A289,'ECN-ECO_DATA'!B:V,20,FALSE)=0/1/1900,"",VLOOKUP(A289,'ECN-ECO_DATA'!B:V,20,FALSE))),"")</f>
        <v/>
      </c>
      <c r="P289" s="9" t="str">
        <f>IFERROR((IF(VLOOKUP(A289,'ECN-ECO_DATA'!B:V,21,FALSE)=0/1/1900,"",VLOOKUP(A289,'ECN-ECO_DATA'!B:V,21,FALSE))),"")</f>
        <v/>
      </c>
      <c r="Q289" s="10" t="str">
        <f t="shared" ca="1" si="20"/>
        <v/>
      </c>
      <c r="R289" s="4" t="str">
        <f t="shared" si="21"/>
        <v/>
      </c>
      <c r="S289" s="4" t="str">
        <f t="shared" si="22"/>
        <v/>
      </c>
      <c r="T289" s="4" t="str">
        <f t="shared" si="23"/>
        <v/>
      </c>
      <c r="U289" s="10" t="str">
        <f t="shared" si="24"/>
        <v/>
      </c>
      <c r="V289" s="4"/>
    </row>
    <row r="290" spans="2:22" x14ac:dyDescent="0.25">
      <c r="B290" s="4" t="str">
        <f>IFERROR(VLOOKUP(A290,'ECN-ECO_DATA'!B:G,4,FALSE),"")</f>
        <v/>
      </c>
      <c r="C290" s="9" t="str">
        <f>IFERROR(VLOOKUP(A290,'ECN-ECO_DATA'!B:G,5,FALSE),"")</f>
        <v/>
      </c>
      <c r="D290" s="9" t="str">
        <f ca="1">IFERROR((IF(VLOOKUP(A290,'ECN-ECO_DATA'!B:G,6,FALSE)=0/1/1900,TODAY(),VLOOKUP(A290,'ECN-ECO_DATA'!B:G,6,FALSE))),"")</f>
        <v/>
      </c>
      <c r="E290" s="9" t="str">
        <f>IFERROR((IF(VLOOKUP(A290,'ECN-ECO_DATA'!B:G,6,FALSE)=0/1/1900,"",VLOOKUP(A290,'ECN-ECO_DATA'!B:G,6,FALSE))),"")</f>
        <v/>
      </c>
      <c r="F290" s="9" t="str">
        <f>IFERROR((IF(VLOOKUP(A290,'ECN-ECO_DATA'!B:J,7,FALSE)=0/1/1900,"",VLOOKUP(A290,'ECN-ECO_DATA'!B:J,7,FALSE))),"")</f>
        <v/>
      </c>
      <c r="G290" s="9" t="str">
        <f>IFERROR((IF(VLOOKUP(A290,'ECN-ECO_DATA'!B:J,8,FALSE)=0/1/1900,"",VLOOKUP(A290,'ECN-ECO_DATA'!B:J,8,FALSE))),"")</f>
        <v/>
      </c>
      <c r="H290" s="9" t="str">
        <f>IFERROR((IF(VLOOKUP(A290,'ECN-ECO_DATA'!B:J,9,FALSE)=0/1/1900,"",VLOOKUP(A290,'ECN-ECO_DATA'!B:J,9,FALSE))),"")</f>
        <v/>
      </c>
      <c r="I290" s="10" t="str">
        <f>IFERROR((IF(VLOOKUP(A290,'ECN-ECO_DATA'!B:Q,13,FALSE)="","",VLOOKUP(A290,'ECN-ECO_DATA'!B:Q,13,FALSE))),"")</f>
        <v/>
      </c>
      <c r="J290" s="10" t="str">
        <f>IFERROR((IF(VLOOKUP(A290,'ECN-ECO_DATA'!B:Q,14,FALSE)="","",VLOOKUP(A290,'ECN-ECO_DATA'!B:Q,14,FALSE))),"")</f>
        <v/>
      </c>
      <c r="K290" s="10" t="str">
        <f>IFERROR((IF(VLOOKUP(A290,'ECN-ECO_DATA'!B:Q,15,FALSE)="","",VLOOKUP(A290,'ECN-ECO_DATA'!B:Q,15,FALSE))),"")</f>
        <v/>
      </c>
      <c r="L290" s="10" t="str">
        <f>IFERROR((IF(VLOOKUP(A290,'ECN-ECO_DATA'!B:Q,16,FALSE)="","",VLOOKUP(A290,'ECN-ECO_DATA'!B:Q,16,FALSE))),"")</f>
        <v/>
      </c>
      <c r="M290" s="9" t="str">
        <f>IFERROR((IF(VLOOKUP(A290,'ECN-ECO_DATA'!B:V,18,FALSE)=0/1/1900,"",VLOOKUP(A290,'ECN-ECO_DATA'!B:V,18,FALSE))),"")</f>
        <v/>
      </c>
      <c r="N290" s="9" t="str">
        <f>IFERROR((IF(VLOOKUP(A290,'ECN-ECO_DATA'!B:V,19,FALSE)=0/1/1900,"",VLOOKUP(A290,'ECN-ECO_DATA'!B:V,19,FALSE))),"")</f>
        <v/>
      </c>
      <c r="O290" s="9" t="str">
        <f>IFERROR((IF(VLOOKUP(A290,'ECN-ECO_DATA'!B:V,20,FALSE)=0/1/1900,"",VLOOKUP(A290,'ECN-ECO_DATA'!B:V,20,FALSE))),"")</f>
        <v/>
      </c>
      <c r="P290" s="9" t="str">
        <f>IFERROR((IF(VLOOKUP(A290,'ECN-ECO_DATA'!B:V,21,FALSE)=0/1/1900,"",VLOOKUP(A290,'ECN-ECO_DATA'!B:V,21,FALSE))),"")</f>
        <v/>
      </c>
      <c r="Q290" s="10" t="str">
        <f t="shared" ca="1" si="20"/>
        <v/>
      </c>
      <c r="R290" s="4" t="str">
        <f t="shared" si="21"/>
        <v/>
      </c>
      <c r="S290" s="4" t="str">
        <f t="shared" si="22"/>
        <v/>
      </c>
      <c r="T290" s="4" t="str">
        <f t="shared" si="23"/>
        <v/>
      </c>
      <c r="U290" s="10" t="str">
        <f t="shared" si="24"/>
        <v/>
      </c>
      <c r="V290" s="4"/>
    </row>
    <row r="291" spans="2:22" x14ac:dyDescent="0.25">
      <c r="B291" s="4" t="str">
        <f>IFERROR(VLOOKUP(A291,'ECN-ECO_DATA'!B:G,4,FALSE),"")</f>
        <v/>
      </c>
      <c r="C291" s="9" t="str">
        <f>IFERROR(VLOOKUP(A291,'ECN-ECO_DATA'!B:G,5,FALSE),"")</f>
        <v/>
      </c>
      <c r="D291" s="9" t="str">
        <f ca="1">IFERROR((IF(VLOOKUP(A291,'ECN-ECO_DATA'!B:G,6,FALSE)=0/1/1900,TODAY(),VLOOKUP(A291,'ECN-ECO_DATA'!B:G,6,FALSE))),"")</f>
        <v/>
      </c>
      <c r="E291" s="9" t="str">
        <f>IFERROR((IF(VLOOKUP(A291,'ECN-ECO_DATA'!B:G,6,FALSE)=0/1/1900,"",VLOOKUP(A291,'ECN-ECO_DATA'!B:G,6,FALSE))),"")</f>
        <v/>
      </c>
      <c r="F291" s="9" t="str">
        <f>IFERROR((IF(VLOOKUP(A291,'ECN-ECO_DATA'!B:J,7,FALSE)=0/1/1900,"",VLOOKUP(A291,'ECN-ECO_DATA'!B:J,7,FALSE))),"")</f>
        <v/>
      </c>
      <c r="G291" s="9" t="str">
        <f>IFERROR((IF(VLOOKUP(A291,'ECN-ECO_DATA'!B:J,8,FALSE)=0/1/1900,"",VLOOKUP(A291,'ECN-ECO_DATA'!B:J,8,FALSE))),"")</f>
        <v/>
      </c>
      <c r="H291" s="9" t="str">
        <f>IFERROR((IF(VLOOKUP(A291,'ECN-ECO_DATA'!B:J,9,FALSE)=0/1/1900,"",VLOOKUP(A291,'ECN-ECO_DATA'!B:J,9,FALSE))),"")</f>
        <v/>
      </c>
      <c r="I291" s="10" t="str">
        <f>IFERROR((IF(VLOOKUP(A291,'ECN-ECO_DATA'!B:Q,13,FALSE)="","",VLOOKUP(A291,'ECN-ECO_DATA'!B:Q,13,FALSE))),"")</f>
        <v/>
      </c>
      <c r="J291" s="10" t="str">
        <f>IFERROR((IF(VLOOKUP(A291,'ECN-ECO_DATA'!B:Q,14,FALSE)="","",VLOOKUP(A291,'ECN-ECO_DATA'!B:Q,14,FALSE))),"")</f>
        <v/>
      </c>
      <c r="K291" s="10" t="str">
        <f>IFERROR((IF(VLOOKUP(A291,'ECN-ECO_DATA'!B:Q,15,FALSE)="","",VLOOKUP(A291,'ECN-ECO_DATA'!B:Q,15,FALSE))),"")</f>
        <v/>
      </c>
      <c r="L291" s="10" t="str">
        <f>IFERROR((IF(VLOOKUP(A291,'ECN-ECO_DATA'!B:Q,16,FALSE)="","",VLOOKUP(A291,'ECN-ECO_DATA'!B:Q,16,FALSE))),"")</f>
        <v/>
      </c>
      <c r="M291" s="9" t="str">
        <f>IFERROR((IF(VLOOKUP(A291,'ECN-ECO_DATA'!B:V,18,FALSE)=0/1/1900,"",VLOOKUP(A291,'ECN-ECO_DATA'!B:V,18,FALSE))),"")</f>
        <v/>
      </c>
      <c r="N291" s="9" t="str">
        <f>IFERROR((IF(VLOOKUP(A291,'ECN-ECO_DATA'!B:V,19,FALSE)=0/1/1900,"",VLOOKUP(A291,'ECN-ECO_DATA'!B:V,19,FALSE))),"")</f>
        <v/>
      </c>
      <c r="O291" s="9" t="str">
        <f>IFERROR((IF(VLOOKUP(A291,'ECN-ECO_DATA'!B:V,20,FALSE)=0/1/1900,"",VLOOKUP(A291,'ECN-ECO_DATA'!B:V,20,FALSE))),"")</f>
        <v/>
      </c>
      <c r="P291" s="9" t="str">
        <f>IFERROR((IF(VLOOKUP(A291,'ECN-ECO_DATA'!B:V,21,FALSE)=0/1/1900,"",VLOOKUP(A291,'ECN-ECO_DATA'!B:V,21,FALSE))),"")</f>
        <v/>
      </c>
      <c r="Q291" s="10" t="str">
        <f t="shared" ca="1" si="20"/>
        <v/>
      </c>
      <c r="R291" s="4" t="str">
        <f t="shared" si="21"/>
        <v/>
      </c>
      <c r="S291" s="4" t="str">
        <f t="shared" si="22"/>
        <v/>
      </c>
      <c r="T291" s="4" t="str">
        <f t="shared" si="23"/>
        <v/>
      </c>
      <c r="U291" s="10" t="str">
        <f t="shared" si="24"/>
        <v/>
      </c>
      <c r="V291" s="4"/>
    </row>
    <row r="292" spans="2:22" x14ac:dyDescent="0.25">
      <c r="B292" s="4" t="str">
        <f>IFERROR(VLOOKUP(A292,'ECN-ECO_DATA'!B:G,4,FALSE),"")</f>
        <v/>
      </c>
      <c r="C292" s="9" t="str">
        <f>IFERROR(VLOOKUP(A292,'ECN-ECO_DATA'!B:G,5,FALSE),"")</f>
        <v/>
      </c>
      <c r="D292" s="9" t="str">
        <f ca="1">IFERROR((IF(VLOOKUP(A292,'ECN-ECO_DATA'!B:G,6,FALSE)=0/1/1900,TODAY(),VLOOKUP(A292,'ECN-ECO_DATA'!B:G,6,FALSE))),"")</f>
        <v/>
      </c>
      <c r="E292" s="9" t="str">
        <f>IFERROR((IF(VLOOKUP(A292,'ECN-ECO_DATA'!B:G,6,FALSE)=0/1/1900,"",VLOOKUP(A292,'ECN-ECO_DATA'!B:G,6,FALSE))),"")</f>
        <v/>
      </c>
      <c r="F292" s="9" t="str">
        <f>IFERROR((IF(VLOOKUP(A292,'ECN-ECO_DATA'!B:J,7,FALSE)=0/1/1900,"",VLOOKUP(A292,'ECN-ECO_DATA'!B:J,7,FALSE))),"")</f>
        <v/>
      </c>
      <c r="G292" s="9" t="str">
        <f>IFERROR((IF(VLOOKUP(A292,'ECN-ECO_DATA'!B:J,8,FALSE)=0/1/1900,"",VLOOKUP(A292,'ECN-ECO_DATA'!B:J,8,FALSE))),"")</f>
        <v/>
      </c>
      <c r="H292" s="9" t="str">
        <f>IFERROR((IF(VLOOKUP(A292,'ECN-ECO_DATA'!B:J,9,FALSE)=0/1/1900,"",VLOOKUP(A292,'ECN-ECO_DATA'!B:J,9,FALSE))),"")</f>
        <v/>
      </c>
      <c r="I292" s="10" t="str">
        <f>IFERROR((IF(VLOOKUP(A292,'ECN-ECO_DATA'!B:Q,13,FALSE)="","",VLOOKUP(A292,'ECN-ECO_DATA'!B:Q,13,FALSE))),"")</f>
        <v/>
      </c>
      <c r="J292" s="10" t="str">
        <f>IFERROR((IF(VLOOKUP(A292,'ECN-ECO_DATA'!B:Q,14,FALSE)="","",VLOOKUP(A292,'ECN-ECO_DATA'!B:Q,14,FALSE))),"")</f>
        <v/>
      </c>
      <c r="K292" s="10" t="str">
        <f>IFERROR((IF(VLOOKUP(A292,'ECN-ECO_DATA'!B:Q,15,FALSE)="","",VLOOKUP(A292,'ECN-ECO_DATA'!B:Q,15,FALSE))),"")</f>
        <v/>
      </c>
      <c r="L292" s="10" t="str">
        <f>IFERROR((IF(VLOOKUP(A292,'ECN-ECO_DATA'!B:Q,16,FALSE)="","",VLOOKUP(A292,'ECN-ECO_DATA'!B:Q,16,FALSE))),"")</f>
        <v/>
      </c>
      <c r="M292" s="9" t="str">
        <f>IFERROR((IF(VLOOKUP(A292,'ECN-ECO_DATA'!B:V,18,FALSE)=0/1/1900,"",VLOOKUP(A292,'ECN-ECO_DATA'!B:V,18,FALSE))),"")</f>
        <v/>
      </c>
      <c r="N292" s="9" t="str">
        <f>IFERROR((IF(VLOOKUP(A292,'ECN-ECO_DATA'!B:V,19,FALSE)=0/1/1900,"",VLOOKUP(A292,'ECN-ECO_DATA'!B:V,19,FALSE))),"")</f>
        <v/>
      </c>
      <c r="O292" s="9" t="str">
        <f>IFERROR((IF(VLOOKUP(A292,'ECN-ECO_DATA'!B:V,20,FALSE)=0/1/1900,"",VLOOKUP(A292,'ECN-ECO_DATA'!B:V,20,FALSE))),"")</f>
        <v/>
      </c>
      <c r="P292" s="9" t="str">
        <f>IFERROR((IF(VLOOKUP(A292,'ECN-ECO_DATA'!B:V,21,FALSE)=0/1/1900,"",VLOOKUP(A292,'ECN-ECO_DATA'!B:V,21,FALSE))),"")</f>
        <v/>
      </c>
      <c r="Q292" s="10" t="str">
        <f t="shared" ca="1" si="20"/>
        <v/>
      </c>
      <c r="R292" s="4" t="str">
        <f t="shared" si="21"/>
        <v/>
      </c>
      <c r="S292" s="4" t="str">
        <f t="shared" si="22"/>
        <v/>
      </c>
      <c r="T292" s="4" t="str">
        <f t="shared" si="23"/>
        <v/>
      </c>
      <c r="U292" s="10" t="str">
        <f t="shared" si="24"/>
        <v/>
      </c>
      <c r="V292" s="4"/>
    </row>
    <row r="293" spans="2:22" x14ac:dyDescent="0.25">
      <c r="B293" s="4" t="str">
        <f>IFERROR(VLOOKUP(A293,'ECN-ECO_DATA'!B:G,4,FALSE),"")</f>
        <v/>
      </c>
      <c r="C293" s="9" t="str">
        <f>IFERROR(VLOOKUP(A293,'ECN-ECO_DATA'!B:G,5,FALSE),"")</f>
        <v/>
      </c>
      <c r="D293" s="9" t="str">
        <f ca="1">IFERROR((IF(VLOOKUP(A293,'ECN-ECO_DATA'!B:G,6,FALSE)=0/1/1900,TODAY(),VLOOKUP(A293,'ECN-ECO_DATA'!B:G,6,FALSE))),"")</f>
        <v/>
      </c>
      <c r="E293" s="9" t="str">
        <f>IFERROR((IF(VLOOKUP(A293,'ECN-ECO_DATA'!B:G,6,FALSE)=0/1/1900,"",VLOOKUP(A293,'ECN-ECO_DATA'!B:G,6,FALSE))),"")</f>
        <v/>
      </c>
      <c r="F293" s="9" t="str">
        <f>IFERROR((IF(VLOOKUP(A293,'ECN-ECO_DATA'!B:J,7,FALSE)=0/1/1900,"",VLOOKUP(A293,'ECN-ECO_DATA'!B:J,7,FALSE))),"")</f>
        <v/>
      </c>
      <c r="G293" s="9" t="str">
        <f>IFERROR((IF(VLOOKUP(A293,'ECN-ECO_DATA'!B:J,8,FALSE)=0/1/1900,"",VLOOKUP(A293,'ECN-ECO_DATA'!B:J,8,FALSE))),"")</f>
        <v/>
      </c>
      <c r="H293" s="9" t="str">
        <f>IFERROR((IF(VLOOKUP(A293,'ECN-ECO_DATA'!B:J,9,FALSE)=0/1/1900,"",VLOOKUP(A293,'ECN-ECO_DATA'!B:J,9,FALSE))),"")</f>
        <v/>
      </c>
      <c r="I293" s="10" t="str">
        <f>IFERROR((IF(VLOOKUP(A293,'ECN-ECO_DATA'!B:Q,13,FALSE)="","",VLOOKUP(A293,'ECN-ECO_DATA'!B:Q,13,FALSE))),"")</f>
        <v/>
      </c>
      <c r="J293" s="10" t="str">
        <f>IFERROR((IF(VLOOKUP(A293,'ECN-ECO_DATA'!B:Q,14,FALSE)="","",VLOOKUP(A293,'ECN-ECO_DATA'!B:Q,14,FALSE))),"")</f>
        <v/>
      </c>
      <c r="K293" s="10" t="str">
        <f>IFERROR((IF(VLOOKUP(A293,'ECN-ECO_DATA'!B:Q,15,FALSE)="","",VLOOKUP(A293,'ECN-ECO_DATA'!B:Q,15,FALSE))),"")</f>
        <v/>
      </c>
      <c r="L293" s="10" t="str">
        <f>IFERROR((IF(VLOOKUP(A293,'ECN-ECO_DATA'!B:Q,16,FALSE)="","",VLOOKUP(A293,'ECN-ECO_DATA'!B:Q,16,FALSE))),"")</f>
        <v/>
      </c>
      <c r="M293" s="9" t="str">
        <f>IFERROR((IF(VLOOKUP(A293,'ECN-ECO_DATA'!B:V,18,FALSE)=0/1/1900,"",VLOOKUP(A293,'ECN-ECO_DATA'!B:V,18,FALSE))),"")</f>
        <v/>
      </c>
      <c r="N293" s="9" t="str">
        <f>IFERROR((IF(VLOOKUP(A293,'ECN-ECO_DATA'!B:V,19,FALSE)=0/1/1900,"",VLOOKUP(A293,'ECN-ECO_DATA'!B:V,19,FALSE))),"")</f>
        <v/>
      </c>
      <c r="O293" s="9" t="str">
        <f>IFERROR((IF(VLOOKUP(A293,'ECN-ECO_DATA'!B:V,20,FALSE)=0/1/1900,"",VLOOKUP(A293,'ECN-ECO_DATA'!B:V,20,FALSE))),"")</f>
        <v/>
      </c>
      <c r="P293" s="9" t="str">
        <f>IFERROR((IF(VLOOKUP(A293,'ECN-ECO_DATA'!B:V,21,FALSE)=0/1/1900,"",VLOOKUP(A293,'ECN-ECO_DATA'!B:V,21,FALSE))),"")</f>
        <v/>
      </c>
      <c r="Q293" s="10" t="str">
        <f t="shared" ca="1" si="20"/>
        <v/>
      </c>
      <c r="R293" s="4" t="str">
        <f t="shared" si="21"/>
        <v/>
      </c>
      <c r="S293" s="4" t="str">
        <f t="shared" si="22"/>
        <v/>
      </c>
      <c r="T293" s="4" t="str">
        <f t="shared" si="23"/>
        <v/>
      </c>
      <c r="U293" s="10" t="str">
        <f t="shared" si="24"/>
        <v/>
      </c>
      <c r="V293" s="4"/>
    </row>
    <row r="294" spans="2:22" x14ac:dyDescent="0.25">
      <c r="B294" s="4" t="str">
        <f>IFERROR(VLOOKUP(A294,'ECN-ECO_DATA'!B:G,4,FALSE),"")</f>
        <v/>
      </c>
      <c r="C294" s="9" t="str">
        <f>IFERROR(VLOOKUP(A294,'ECN-ECO_DATA'!B:G,5,FALSE),"")</f>
        <v/>
      </c>
      <c r="D294" s="9" t="str">
        <f ca="1">IFERROR((IF(VLOOKUP(A294,'ECN-ECO_DATA'!B:G,6,FALSE)=0/1/1900,TODAY(),VLOOKUP(A294,'ECN-ECO_DATA'!B:G,6,FALSE))),"")</f>
        <v/>
      </c>
      <c r="E294" s="9" t="str">
        <f>IFERROR((IF(VLOOKUP(A294,'ECN-ECO_DATA'!B:G,6,FALSE)=0/1/1900,"",VLOOKUP(A294,'ECN-ECO_DATA'!B:G,6,FALSE))),"")</f>
        <v/>
      </c>
      <c r="F294" s="9" t="str">
        <f>IFERROR((IF(VLOOKUP(A294,'ECN-ECO_DATA'!B:J,7,FALSE)=0/1/1900,"",VLOOKUP(A294,'ECN-ECO_DATA'!B:J,7,FALSE))),"")</f>
        <v/>
      </c>
      <c r="G294" s="9" t="str">
        <f>IFERROR((IF(VLOOKUP(A294,'ECN-ECO_DATA'!B:J,8,FALSE)=0/1/1900,"",VLOOKUP(A294,'ECN-ECO_DATA'!B:J,8,FALSE))),"")</f>
        <v/>
      </c>
      <c r="H294" s="9" t="str">
        <f>IFERROR((IF(VLOOKUP(A294,'ECN-ECO_DATA'!B:J,9,FALSE)=0/1/1900,"",VLOOKUP(A294,'ECN-ECO_DATA'!B:J,9,FALSE))),"")</f>
        <v/>
      </c>
      <c r="I294" s="10" t="str">
        <f>IFERROR((IF(VLOOKUP(A294,'ECN-ECO_DATA'!B:Q,13,FALSE)="","",VLOOKUP(A294,'ECN-ECO_DATA'!B:Q,13,FALSE))),"")</f>
        <v/>
      </c>
      <c r="J294" s="10" t="str">
        <f>IFERROR((IF(VLOOKUP(A294,'ECN-ECO_DATA'!B:Q,14,FALSE)="","",VLOOKUP(A294,'ECN-ECO_DATA'!B:Q,14,FALSE))),"")</f>
        <v/>
      </c>
      <c r="K294" s="10" t="str">
        <f>IFERROR((IF(VLOOKUP(A294,'ECN-ECO_DATA'!B:Q,15,FALSE)="","",VLOOKUP(A294,'ECN-ECO_DATA'!B:Q,15,FALSE))),"")</f>
        <v/>
      </c>
      <c r="L294" s="10" t="str">
        <f>IFERROR((IF(VLOOKUP(A294,'ECN-ECO_DATA'!B:Q,16,FALSE)="","",VLOOKUP(A294,'ECN-ECO_DATA'!B:Q,16,FALSE))),"")</f>
        <v/>
      </c>
      <c r="M294" s="9" t="str">
        <f>IFERROR((IF(VLOOKUP(A294,'ECN-ECO_DATA'!B:V,18,FALSE)=0/1/1900,"",VLOOKUP(A294,'ECN-ECO_DATA'!B:V,18,FALSE))),"")</f>
        <v/>
      </c>
      <c r="N294" s="9" t="str">
        <f>IFERROR((IF(VLOOKUP(A294,'ECN-ECO_DATA'!B:V,19,FALSE)=0/1/1900,"",VLOOKUP(A294,'ECN-ECO_DATA'!B:V,19,FALSE))),"")</f>
        <v/>
      </c>
      <c r="O294" s="9" t="str">
        <f>IFERROR((IF(VLOOKUP(A294,'ECN-ECO_DATA'!B:V,20,FALSE)=0/1/1900,"",VLOOKUP(A294,'ECN-ECO_DATA'!B:V,20,FALSE))),"")</f>
        <v/>
      </c>
      <c r="P294" s="9" t="str">
        <f>IFERROR((IF(VLOOKUP(A294,'ECN-ECO_DATA'!B:V,21,FALSE)=0/1/1900,"",VLOOKUP(A294,'ECN-ECO_DATA'!B:V,21,FALSE))),"")</f>
        <v/>
      </c>
      <c r="Q294" s="10" t="str">
        <f t="shared" ca="1" si="20"/>
        <v/>
      </c>
      <c r="R294" s="4" t="str">
        <f t="shared" si="21"/>
        <v/>
      </c>
      <c r="S294" s="4" t="str">
        <f t="shared" si="22"/>
        <v/>
      </c>
      <c r="T294" s="4" t="str">
        <f t="shared" si="23"/>
        <v/>
      </c>
      <c r="U294" s="10" t="str">
        <f t="shared" si="24"/>
        <v/>
      </c>
      <c r="V294" s="4"/>
    </row>
    <row r="295" spans="2:22" x14ac:dyDescent="0.25">
      <c r="B295" s="4" t="str">
        <f>IFERROR(VLOOKUP(A295,'ECN-ECO_DATA'!B:G,4,FALSE),"")</f>
        <v/>
      </c>
      <c r="C295" s="9" t="str">
        <f>IFERROR(VLOOKUP(A295,'ECN-ECO_DATA'!B:G,5,FALSE),"")</f>
        <v/>
      </c>
      <c r="D295" s="9" t="str">
        <f ca="1">IFERROR((IF(VLOOKUP(A295,'ECN-ECO_DATA'!B:G,6,FALSE)=0/1/1900,TODAY(),VLOOKUP(A295,'ECN-ECO_DATA'!B:G,6,FALSE))),"")</f>
        <v/>
      </c>
      <c r="E295" s="9" t="str">
        <f>IFERROR((IF(VLOOKUP(A295,'ECN-ECO_DATA'!B:G,6,FALSE)=0/1/1900,"",VLOOKUP(A295,'ECN-ECO_DATA'!B:G,6,FALSE))),"")</f>
        <v/>
      </c>
      <c r="F295" s="9" t="str">
        <f>IFERROR((IF(VLOOKUP(A295,'ECN-ECO_DATA'!B:J,7,FALSE)=0/1/1900,"",VLOOKUP(A295,'ECN-ECO_DATA'!B:J,7,FALSE))),"")</f>
        <v/>
      </c>
      <c r="G295" s="9" t="str">
        <f>IFERROR((IF(VLOOKUP(A295,'ECN-ECO_DATA'!B:J,8,FALSE)=0/1/1900,"",VLOOKUP(A295,'ECN-ECO_DATA'!B:J,8,FALSE))),"")</f>
        <v/>
      </c>
      <c r="H295" s="9" t="str">
        <f>IFERROR((IF(VLOOKUP(A295,'ECN-ECO_DATA'!B:J,9,FALSE)=0/1/1900,"",VLOOKUP(A295,'ECN-ECO_DATA'!B:J,9,FALSE))),"")</f>
        <v/>
      </c>
      <c r="I295" s="10" t="str">
        <f>IFERROR((IF(VLOOKUP(A295,'ECN-ECO_DATA'!B:Q,13,FALSE)="","",VLOOKUP(A295,'ECN-ECO_DATA'!B:Q,13,FALSE))),"")</f>
        <v/>
      </c>
      <c r="J295" s="10" t="str">
        <f>IFERROR((IF(VLOOKUP(A295,'ECN-ECO_DATA'!B:Q,14,FALSE)="","",VLOOKUP(A295,'ECN-ECO_DATA'!B:Q,14,FALSE))),"")</f>
        <v/>
      </c>
      <c r="K295" s="10" t="str">
        <f>IFERROR((IF(VLOOKUP(A295,'ECN-ECO_DATA'!B:Q,15,FALSE)="","",VLOOKUP(A295,'ECN-ECO_DATA'!B:Q,15,FALSE))),"")</f>
        <v/>
      </c>
      <c r="L295" s="10" t="str">
        <f>IFERROR((IF(VLOOKUP(A295,'ECN-ECO_DATA'!B:Q,16,FALSE)="","",VLOOKUP(A295,'ECN-ECO_DATA'!B:Q,16,FALSE))),"")</f>
        <v/>
      </c>
      <c r="M295" s="9" t="str">
        <f>IFERROR((IF(VLOOKUP(A295,'ECN-ECO_DATA'!B:V,18,FALSE)=0/1/1900,"",VLOOKUP(A295,'ECN-ECO_DATA'!B:V,18,FALSE))),"")</f>
        <v/>
      </c>
      <c r="N295" s="9" t="str">
        <f>IFERROR((IF(VLOOKUP(A295,'ECN-ECO_DATA'!B:V,19,FALSE)=0/1/1900,"",VLOOKUP(A295,'ECN-ECO_DATA'!B:V,19,FALSE))),"")</f>
        <v/>
      </c>
      <c r="O295" s="9" t="str">
        <f>IFERROR((IF(VLOOKUP(A295,'ECN-ECO_DATA'!B:V,20,FALSE)=0/1/1900,"",VLOOKUP(A295,'ECN-ECO_DATA'!B:V,20,FALSE))),"")</f>
        <v/>
      </c>
      <c r="P295" s="9" t="str">
        <f>IFERROR((IF(VLOOKUP(A295,'ECN-ECO_DATA'!B:V,21,FALSE)=0/1/1900,"",VLOOKUP(A295,'ECN-ECO_DATA'!B:V,21,FALSE))),"")</f>
        <v/>
      </c>
      <c r="Q295" s="10" t="str">
        <f t="shared" ca="1" si="20"/>
        <v/>
      </c>
      <c r="R295" s="4" t="str">
        <f t="shared" si="21"/>
        <v/>
      </c>
      <c r="S295" s="4" t="str">
        <f t="shared" si="22"/>
        <v/>
      </c>
      <c r="T295" s="4" t="str">
        <f t="shared" si="23"/>
        <v/>
      </c>
      <c r="U295" s="10" t="str">
        <f t="shared" si="24"/>
        <v/>
      </c>
      <c r="V295" s="4"/>
    </row>
    <row r="296" spans="2:22" x14ac:dyDescent="0.25">
      <c r="B296" s="4" t="str">
        <f>IFERROR(VLOOKUP(A296,'ECN-ECO_DATA'!B:G,4,FALSE),"")</f>
        <v/>
      </c>
      <c r="C296" s="9" t="str">
        <f>IFERROR(VLOOKUP(A296,'ECN-ECO_DATA'!B:G,5,FALSE),"")</f>
        <v/>
      </c>
      <c r="D296" s="9" t="str">
        <f ca="1">IFERROR((IF(VLOOKUP(A296,'ECN-ECO_DATA'!B:G,6,FALSE)=0/1/1900,TODAY(),VLOOKUP(A296,'ECN-ECO_DATA'!B:G,6,FALSE))),"")</f>
        <v/>
      </c>
      <c r="E296" s="9" t="str">
        <f>IFERROR((IF(VLOOKUP(A296,'ECN-ECO_DATA'!B:G,6,FALSE)=0/1/1900,"",VLOOKUP(A296,'ECN-ECO_DATA'!B:G,6,FALSE))),"")</f>
        <v/>
      </c>
      <c r="F296" s="9" t="str">
        <f>IFERROR((IF(VLOOKUP(A296,'ECN-ECO_DATA'!B:J,7,FALSE)=0/1/1900,"",VLOOKUP(A296,'ECN-ECO_DATA'!B:J,7,FALSE))),"")</f>
        <v/>
      </c>
      <c r="G296" s="9" t="str">
        <f>IFERROR((IF(VLOOKUP(A296,'ECN-ECO_DATA'!B:J,8,FALSE)=0/1/1900,"",VLOOKUP(A296,'ECN-ECO_DATA'!B:J,8,FALSE))),"")</f>
        <v/>
      </c>
      <c r="H296" s="9" t="str">
        <f>IFERROR((IF(VLOOKUP(A296,'ECN-ECO_DATA'!B:J,9,FALSE)=0/1/1900,"",VLOOKUP(A296,'ECN-ECO_DATA'!B:J,9,FALSE))),"")</f>
        <v/>
      </c>
      <c r="I296" s="10" t="str">
        <f>IFERROR((IF(VLOOKUP(A296,'ECN-ECO_DATA'!B:Q,13,FALSE)="","",VLOOKUP(A296,'ECN-ECO_DATA'!B:Q,13,FALSE))),"")</f>
        <v/>
      </c>
      <c r="J296" s="10" t="str">
        <f>IFERROR((IF(VLOOKUP(A296,'ECN-ECO_DATA'!B:Q,14,FALSE)="","",VLOOKUP(A296,'ECN-ECO_DATA'!B:Q,14,FALSE))),"")</f>
        <v/>
      </c>
      <c r="K296" s="10" t="str">
        <f>IFERROR((IF(VLOOKUP(A296,'ECN-ECO_DATA'!B:Q,15,FALSE)="","",VLOOKUP(A296,'ECN-ECO_DATA'!B:Q,15,FALSE))),"")</f>
        <v/>
      </c>
      <c r="L296" s="10" t="str">
        <f>IFERROR((IF(VLOOKUP(A296,'ECN-ECO_DATA'!B:Q,16,FALSE)="","",VLOOKUP(A296,'ECN-ECO_DATA'!B:Q,16,FALSE))),"")</f>
        <v/>
      </c>
      <c r="M296" s="9" t="str">
        <f>IFERROR((IF(VLOOKUP(A296,'ECN-ECO_DATA'!B:V,18,FALSE)=0/1/1900,"",VLOOKUP(A296,'ECN-ECO_DATA'!B:V,18,FALSE))),"")</f>
        <v/>
      </c>
      <c r="N296" s="9" t="str">
        <f>IFERROR((IF(VLOOKUP(A296,'ECN-ECO_DATA'!B:V,19,FALSE)=0/1/1900,"",VLOOKUP(A296,'ECN-ECO_DATA'!B:V,19,FALSE))),"")</f>
        <v/>
      </c>
      <c r="O296" s="9" t="str">
        <f>IFERROR((IF(VLOOKUP(A296,'ECN-ECO_DATA'!B:V,20,FALSE)=0/1/1900,"",VLOOKUP(A296,'ECN-ECO_DATA'!B:V,20,FALSE))),"")</f>
        <v/>
      </c>
      <c r="P296" s="9" t="str">
        <f>IFERROR((IF(VLOOKUP(A296,'ECN-ECO_DATA'!B:V,21,FALSE)=0/1/1900,"",VLOOKUP(A296,'ECN-ECO_DATA'!B:V,21,FALSE))),"")</f>
        <v/>
      </c>
      <c r="Q296" s="10" t="str">
        <f t="shared" ca="1" si="20"/>
        <v/>
      </c>
      <c r="R296" s="4" t="str">
        <f t="shared" si="21"/>
        <v/>
      </c>
      <c r="S296" s="4" t="str">
        <f t="shared" si="22"/>
        <v/>
      </c>
      <c r="T296" s="4" t="str">
        <f t="shared" si="23"/>
        <v/>
      </c>
      <c r="U296" s="10" t="str">
        <f t="shared" si="24"/>
        <v/>
      </c>
      <c r="V296" s="4"/>
    </row>
    <row r="297" spans="2:22" x14ac:dyDescent="0.25">
      <c r="B297" s="4" t="str">
        <f>IFERROR(VLOOKUP(A297,'ECN-ECO_DATA'!B:G,4,FALSE),"")</f>
        <v/>
      </c>
      <c r="C297" s="9" t="str">
        <f>IFERROR(VLOOKUP(A297,'ECN-ECO_DATA'!B:G,5,FALSE),"")</f>
        <v/>
      </c>
      <c r="D297" s="9" t="str">
        <f ca="1">IFERROR((IF(VLOOKUP(A297,'ECN-ECO_DATA'!B:G,6,FALSE)=0/1/1900,TODAY(),VLOOKUP(A297,'ECN-ECO_DATA'!B:G,6,FALSE))),"")</f>
        <v/>
      </c>
      <c r="E297" s="9" t="str">
        <f>IFERROR((IF(VLOOKUP(A297,'ECN-ECO_DATA'!B:G,6,FALSE)=0/1/1900,"",VLOOKUP(A297,'ECN-ECO_DATA'!B:G,6,FALSE))),"")</f>
        <v/>
      </c>
      <c r="F297" s="9" t="str">
        <f>IFERROR((IF(VLOOKUP(A297,'ECN-ECO_DATA'!B:J,7,FALSE)=0/1/1900,"",VLOOKUP(A297,'ECN-ECO_DATA'!B:J,7,FALSE))),"")</f>
        <v/>
      </c>
      <c r="G297" s="9" t="str">
        <f>IFERROR((IF(VLOOKUP(A297,'ECN-ECO_DATA'!B:J,8,FALSE)=0/1/1900,"",VLOOKUP(A297,'ECN-ECO_DATA'!B:J,8,FALSE))),"")</f>
        <v/>
      </c>
      <c r="H297" s="9" t="str">
        <f>IFERROR((IF(VLOOKUP(A297,'ECN-ECO_DATA'!B:J,9,FALSE)=0/1/1900,"",VLOOKUP(A297,'ECN-ECO_DATA'!B:J,9,FALSE))),"")</f>
        <v/>
      </c>
      <c r="I297" s="10" t="str">
        <f>IFERROR((IF(VLOOKUP(A297,'ECN-ECO_DATA'!B:Q,13,FALSE)="","",VLOOKUP(A297,'ECN-ECO_DATA'!B:Q,13,FALSE))),"")</f>
        <v/>
      </c>
      <c r="J297" s="10" t="str">
        <f>IFERROR((IF(VLOOKUP(A297,'ECN-ECO_DATA'!B:Q,14,FALSE)="","",VLOOKUP(A297,'ECN-ECO_DATA'!B:Q,14,FALSE))),"")</f>
        <v/>
      </c>
      <c r="K297" s="10" t="str">
        <f>IFERROR((IF(VLOOKUP(A297,'ECN-ECO_DATA'!B:Q,15,FALSE)="","",VLOOKUP(A297,'ECN-ECO_DATA'!B:Q,15,FALSE))),"")</f>
        <v/>
      </c>
      <c r="L297" s="10" t="str">
        <f>IFERROR((IF(VLOOKUP(A297,'ECN-ECO_DATA'!B:Q,16,FALSE)="","",VLOOKUP(A297,'ECN-ECO_DATA'!B:Q,16,FALSE))),"")</f>
        <v/>
      </c>
      <c r="M297" s="9" t="str">
        <f>IFERROR((IF(VLOOKUP(A297,'ECN-ECO_DATA'!B:V,18,FALSE)=0/1/1900,"",VLOOKUP(A297,'ECN-ECO_DATA'!B:V,18,FALSE))),"")</f>
        <v/>
      </c>
      <c r="N297" s="9" t="str">
        <f>IFERROR((IF(VLOOKUP(A297,'ECN-ECO_DATA'!B:V,19,FALSE)=0/1/1900,"",VLOOKUP(A297,'ECN-ECO_DATA'!B:V,19,FALSE))),"")</f>
        <v/>
      </c>
      <c r="O297" s="9" t="str">
        <f>IFERROR((IF(VLOOKUP(A297,'ECN-ECO_DATA'!B:V,20,FALSE)=0/1/1900,"",VLOOKUP(A297,'ECN-ECO_DATA'!B:V,20,FALSE))),"")</f>
        <v/>
      </c>
      <c r="P297" s="9" t="str">
        <f>IFERROR((IF(VLOOKUP(A297,'ECN-ECO_DATA'!B:V,21,FALSE)=0/1/1900,"",VLOOKUP(A297,'ECN-ECO_DATA'!B:V,21,FALSE))),"")</f>
        <v/>
      </c>
      <c r="Q297" s="10" t="str">
        <f t="shared" ca="1" si="20"/>
        <v/>
      </c>
      <c r="R297" s="4" t="str">
        <f t="shared" si="21"/>
        <v/>
      </c>
      <c r="S297" s="4" t="str">
        <f t="shared" si="22"/>
        <v/>
      </c>
      <c r="T297" s="4" t="str">
        <f t="shared" si="23"/>
        <v/>
      </c>
      <c r="U297" s="10" t="str">
        <f t="shared" si="24"/>
        <v/>
      </c>
      <c r="V297" s="4"/>
    </row>
    <row r="298" spans="2:22" x14ac:dyDescent="0.25">
      <c r="B298" s="4" t="str">
        <f>IFERROR(VLOOKUP(A298,'ECN-ECO_DATA'!B:G,4,FALSE),"")</f>
        <v/>
      </c>
      <c r="C298" s="9" t="str">
        <f>IFERROR(VLOOKUP(A298,'ECN-ECO_DATA'!B:G,5,FALSE),"")</f>
        <v/>
      </c>
      <c r="D298" s="9" t="str">
        <f ca="1">IFERROR((IF(VLOOKUP(A298,'ECN-ECO_DATA'!B:G,6,FALSE)=0/1/1900,TODAY(),VLOOKUP(A298,'ECN-ECO_DATA'!B:G,6,FALSE))),"")</f>
        <v/>
      </c>
      <c r="E298" s="9" t="str">
        <f>IFERROR((IF(VLOOKUP(A298,'ECN-ECO_DATA'!B:G,6,FALSE)=0/1/1900,"",VLOOKUP(A298,'ECN-ECO_DATA'!B:G,6,FALSE))),"")</f>
        <v/>
      </c>
      <c r="F298" s="9" t="str">
        <f>IFERROR((IF(VLOOKUP(A298,'ECN-ECO_DATA'!B:J,7,FALSE)=0/1/1900,"",VLOOKUP(A298,'ECN-ECO_DATA'!B:J,7,FALSE))),"")</f>
        <v/>
      </c>
      <c r="G298" s="9" t="str">
        <f>IFERROR((IF(VLOOKUP(A298,'ECN-ECO_DATA'!B:J,8,FALSE)=0/1/1900,"",VLOOKUP(A298,'ECN-ECO_DATA'!B:J,8,FALSE))),"")</f>
        <v/>
      </c>
      <c r="H298" s="9" t="str">
        <f>IFERROR((IF(VLOOKUP(A298,'ECN-ECO_DATA'!B:J,9,FALSE)=0/1/1900,"",VLOOKUP(A298,'ECN-ECO_DATA'!B:J,9,FALSE))),"")</f>
        <v/>
      </c>
      <c r="I298" s="10" t="str">
        <f>IFERROR((IF(VLOOKUP(A298,'ECN-ECO_DATA'!B:Q,13,FALSE)="","",VLOOKUP(A298,'ECN-ECO_DATA'!B:Q,13,FALSE))),"")</f>
        <v/>
      </c>
      <c r="J298" s="10" t="str">
        <f>IFERROR((IF(VLOOKUP(A298,'ECN-ECO_DATA'!B:Q,14,FALSE)="","",VLOOKUP(A298,'ECN-ECO_DATA'!B:Q,14,FALSE))),"")</f>
        <v/>
      </c>
      <c r="K298" s="10" t="str">
        <f>IFERROR((IF(VLOOKUP(A298,'ECN-ECO_DATA'!B:Q,15,FALSE)="","",VLOOKUP(A298,'ECN-ECO_DATA'!B:Q,15,FALSE))),"")</f>
        <v/>
      </c>
      <c r="L298" s="10" t="str">
        <f>IFERROR((IF(VLOOKUP(A298,'ECN-ECO_DATA'!B:Q,16,FALSE)="","",VLOOKUP(A298,'ECN-ECO_DATA'!B:Q,16,FALSE))),"")</f>
        <v/>
      </c>
      <c r="M298" s="9" t="str">
        <f>IFERROR((IF(VLOOKUP(A298,'ECN-ECO_DATA'!B:V,18,FALSE)=0/1/1900,"",VLOOKUP(A298,'ECN-ECO_DATA'!B:V,18,FALSE))),"")</f>
        <v/>
      </c>
      <c r="N298" s="9" t="str">
        <f>IFERROR((IF(VLOOKUP(A298,'ECN-ECO_DATA'!B:V,19,FALSE)=0/1/1900,"",VLOOKUP(A298,'ECN-ECO_DATA'!B:V,19,FALSE))),"")</f>
        <v/>
      </c>
      <c r="O298" s="9" t="str">
        <f>IFERROR((IF(VLOOKUP(A298,'ECN-ECO_DATA'!B:V,20,FALSE)=0/1/1900,"",VLOOKUP(A298,'ECN-ECO_DATA'!B:V,20,FALSE))),"")</f>
        <v/>
      </c>
      <c r="P298" s="9" t="str">
        <f>IFERROR((IF(VLOOKUP(A298,'ECN-ECO_DATA'!B:V,21,FALSE)=0/1/1900,"",VLOOKUP(A298,'ECN-ECO_DATA'!B:V,21,FALSE))),"")</f>
        <v/>
      </c>
      <c r="Q298" s="10" t="str">
        <f t="shared" ca="1" si="20"/>
        <v/>
      </c>
      <c r="R298" s="4" t="str">
        <f t="shared" si="21"/>
        <v/>
      </c>
      <c r="S298" s="4" t="str">
        <f t="shared" si="22"/>
        <v/>
      </c>
      <c r="T298" s="4" t="str">
        <f t="shared" si="23"/>
        <v/>
      </c>
      <c r="U298" s="10" t="str">
        <f t="shared" si="24"/>
        <v/>
      </c>
      <c r="V298" s="4"/>
    </row>
    <row r="299" spans="2:22" x14ac:dyDescent="0.25">
      <c r="B299" s="4" t="str">
        <f>IFERROR(VLOOKUP(A299,'ECN-ECO_DATA'!B:G,4,FALSE),"")</f>
        <v/>
      </c>
      <c r="C299" s="9" t="str">
        <f>IFERROR(VLOOKUP(A299,'ECN-ECO_DATA'!B:G,5,FALSE),"")</f>
        <v/>
      </c>
      <c r="D299" s="9" t="str">
        <f ca="1">IFERROR((IF(VLOOKUP(A299,'ECN-ECO_DATA'!B:G,6,FALSE)=0/1/1900,TODAY(),VLOOKUP(A299,'ECN-ECO_DATA'!B:G,6,FALSE))),"")</f>
        <v/>
      </c>
      <c r="E299" s="9" t="str">
        <f>IFERROR((IF(VLOOKUP(A299,'ECN-ECO_DATA'!B:G,6,FALSE)=0/1/1900,"",VLOOKUP(A299,'ECN-ECO_DATA'!B:G,6,FALSE))),"")</f>
        <v/>
      </c>
      <c r="F299" s="9" t="str">
        <f>IFERROR((IF(VLOOKUP(A299,'ECN-ECO_DATA'!B:J,7,FALSE)=0/1/1900,"",VLOOKUP(A299,'ECN-ECO_DATA'!B:J,7,FALSE))),"")</f>
        <v/>
      </c>
      <c r="G299" s="9" t="str">
        <f>IFERROR((IF(VLOOKUP(A299,'ECN-ECO_DATA'!B:J,8,FALSE)=0/1/1900,"",VLOOKUP(A299,'ECN-ECO_DATA'!B:J,8,FALSE))),"")</f>
        <v/>
      </c>
      <c r="H299" s="9" t="str">
        <f>IFERROR((IF(VLOOKUP(A299,'ECN-ECO_DATA'!B:J,9,FALSE)=0/1/1900,"",VLOOKUP(A299,'ECN-ECO_DATA'!B:J,9,FALSE))),"")</f>
        <v/>
      </c>
      <c r="I299" s="10" t="str">
        <f>IFERROR((IF(VLOOKUP(A299,'ECN-ECO_DATA'!B:Q,13,FALSE)="","",VLOOKUP(A299,'ECN-ECO_DATA'!B:Q,13,FALSE))),"")</f>
        <v/>
      </c>
      <c r="J299" s="10" t="str">
        <f>IFERROR((IF(VLOOKUP(A299,'ECN-ECO_DATA'!B:Q,14,FALSE)="","",VLOOKUP(A299,'ECN-ECO_DATA'!B:Q,14,FALSE))),"")</f>
        <v/>
      </c>
      <c r="K299" s="10" t="str">
        <f>IFERROR((IF(VLOOKUP(A299,'ECN-ECO_DATA'!B:Q,15,FALSE)="","",VLOOKUP(A299,'ECN-ECO_DATA'!B:Q,15,FALSE))),"")</f>
        <v/>
      </c>
      <c r="L299" s="10" t="str">
        <f>IFERROR((IF(VLOOKUP(A299,'ECN-ECO_DATA'!B:Q,16,FALSE)="","",VLOOKUP(A299,'ECN-ECO_DATA'!B:Q,16,FALSE))),"")</f>
        <v/>
      </c>
      <c r="M299" s="9" t="str">
        <f>IFERROR((IF(VLOOKUP(A299,'ECN-ECO_DATA'!B:V,18,FALSE)=0/1/1900,"",VLOOKUP(A299,'ECN-ECO_DATA'!B:V,18,FALSE))),"")</f>
        <v/>
      </c>
      <c r="N299" s="9" t="str">
        <f>IFERROR((IF(VLOOKUP(A299,'ECN-ECO_DATA'!B:V,19,FALSE)=0/1/1900,"",VLOOKUP(A299,'ECN-ECO_DATA'!B:V,19,FALSE))),"")</f>
        <v/>
      </c>
      <c r="O299" s="9" t="str">
        <f>IFERROR((IF(VLOOKUP(A299,'ECN-ECO_DATA'!B:V,20,FALSE)=0/1/1900,"",VLOOKUP(A299,'ECN-ECO_DATA'!B:V,20,FALSE))),"")</f>
        <v/>
      </c>
      <c r="P299" s="9" t="str">
        <f>IFERROR((IF(VLOOKUP(A299,'ECN-ECO_DATA'!B:V,21,FALSE)=0/1/1900,"",VLOOKUP(A299,'ECN-ECO_DATA'!B:V,21,FALSE))),"")</f>
        <v/>
      </c>
      <c r="Q299" s="10" t="str">
        <f t="shared" ca="1" si="20"/>
        <v/>
      </c>
      <c r="R299" s="4" t="str">
        <f t="shared" si="21"/>
        <v/>
      </c>
      <c r="S299" s="4" t="str">
        <f t="shared" si="22"/>
        <v/>
      </c>
      <c r="T299" s="4" t="str">
        <f t="shared" si="23"/>
        <v/>
      </c>
      <c r="U299" s="10" t="str">
        <f t="shared" si="24"/>
        <v/>
      </c>
      <c r="V299" s="4"/>
    </row>
    <row r="300" spans="2:22" x14ac:dyDescent="0.25">
      <c r="B300" s="4" t="str">
        <f>IFERROR(VLOOKUP(A300,'ECN-ECO_DATA'!B:G,4,FALSE),"")</f>
        <v/>
      </c>
      <c r="C300" s="9" t="str">
        <f>IFERROR(VLOOKUP(A300,'ECN-ECO_DATA'!B:G,5,FALSE),"")</f>
        <v/>
      </c>
      <c r="D300" s="9" t="str">
        <f ca="1">IFERROR((IF(VLOOKUP(A300,'ECN-ECO_DATA'!B:G,6,FALSE)=0/1/1900,TODAY(),VLOOKUP(A300,'ECN-ECO_DATA'!B:G,6,FALSE))),"")</f>
        <v/>
      </c>
      <c r="E300" s="9" t="str">
        <f>IFERROR((IF(VLOOKUP(A300,'ECN-ECO_DATA'!B:G,6,FALSE)=0/1/1900,"",VLOOKUP(A300,'ECN-ECO_DATA'!B:G,6,FALSE))),"")</f>
        <v/>
      </c>
      <c r="F300" s="9" t="str">
        <f>IFERROR((IF(VLOOKUP(A300,'ECN-ECO_DATA'!B:J,7,FALSE)=0/1/1900,"",VLOOKUP(A300,'ECN-ECO_DATA'!B:J,7,FALSE))),"")</f>
        <v/>
      </c>
      <c r="G300" s="9" t="str">
        <f>IFERROR((IF(VLOOKUP(A300,'ECN-ECO_DATA'!B:J,8,FALSE)=0/1/1900,"",VLOOKUP(A300,'ECN-ECO_DATA'!B:J,8,FALSE))),"")</f>
        <v/>
      </c>
      <c r="H300" s="9" t="str">
        <f>IFERROR((IF(VLOOKUP(A300,'ECN-ECO_DATA'!B:J,9,FALSE)=0/1/1900,"",VLOOKUP(A300,'ECN-ECO_DATA'!B:J,9,FALSE))),"")</f>
        <v/>
      </c>
      <c r="I300" s="10" t="str">
        <f>IFERROR((IF(VLOOKUP(A300,'ECN-ECO_DATA'!B:Q,13,FALSE)="","",VLOOKUP(A300,'ECN-ECO_DATA'!B:Q,13,FALSE))),"")</f>
        <v/>
      </c>
      <c r="J300" s="10" t="str">
        <f>IFERROR((IF(VLOOKUP(A300,'ECN-ECO_DATA'!B:Q,14,FALSE)="","",VLOOKUP(A300,'ECN-ECO_DATA'!B:Q,14,FALSE))),"")</f>
        <v/>
      </c>
      <c r="K300" s="10" t="str">
        <f>IFERROR((IF(VLOOKUP(A300,'ECN-ECO_DATA'!B:Q,15,FALSE)="","",VLOOKUP(A300,'ECN-ECO_DATA'!B:Q,15,FALSE))),"")</f>
        <v/>
      </c>
      <c r="L300" s="10" t="str">
        <f>IFERROR((IF(VLOOKUP(A300,'ECN-ECO_DATA'!B:Q,16,FALSE)="","",VLOOKUP(A300,'ECN-ECO_DATA'!B:Q,16,FALSE))),"")</f>
        <v/>
      </c>
      <c r="M300" s="9" t="str">
        <f>IFERROR((IF(VLOOKUP(A300,'ECN-ECO_DATA'!B:V,18,FALSE)=0/1/1900,"",VLOOKUP(A300,'ECN-ECO_DATA'!B:V,18,FALSE))),"")</f>
        <v/>
      </c>
      <c r="N300" s="9" t="str">
        <f>IFERROR((IF(VLOOKUP(A300,'ECN-ECO_DATA'!B:V,19,FALSE)=0/1/1900,"",VLOOKUP(A300,'ECN-ECO_DATA'!B:V,19,FALSE))),"")</f>
        <v/>
      </c>
      <c r="O300" s="9" t="str">
        <f>IFERROR((IF(VLOOKUP(A300,'ECN-ECO_DATA'!B:V,20,FALSE)=0/1/1900,"",VLOOKUP(A300,'ECN-ECO_DATA'!B:V,20,FALSE))),"")</f>
        <v/>
      </c>
      <c r="P300" s="9" t="str">
        <f>IFERROR((IF(VLOOKUP(A300,'ECN-ECO_DATA'!B:V,21,FALSE)=0/1/1900,"",VLOOKUP(A300,'ECN-ECO_DATA'!B:V,21,FALSE))),"")</f>
        <v/>
      </c>
      <c r="Q300" s="10" t="str">
        <f t="shared" ca="1" si="20"/>
        <v/>
      </c>
      <c r="R300" s="4" t="str">
        <f t="shared" si="21"/>
        <v/>
      </c>
      <c r="S300" s="4" t="str">
        <f t="shared" si="22"/>
        <v/>
      </c>
      <c r="T300" s="4" t="str">
        <f t="shared" si="23"/>
        <v/>
      </c>
      <c r="U300" s="10" t="str">
        <f t="shared" si="24"/>
        <v/>
      </c>
      <c r="V300" s="4"/>
    </row>
    <row r="301" spans="2:22" x14ac:dyDescent="0.25">
      <c r="B301" s="4" t="str">
        <f>IFERROR(VLOOKUP(A301,'ECN-ECO_DATA'!B:G,4,FALSE),"")</f>
        <v/>
      </c>
      <c r="C301" s="9" t="str">
        <f>IFERROR(VLOOKUP(A301,'ECN-ECO_DATA'!B:G,5,FALSE),"")</f>
        <v/>
      </c>
      <c r="D301" s="9" t="str">
        <f ca="1">IFERROR((IF(VLOOKUP(A301,'ECN-ECO_DATA'!B:G,6,FALSE)=0/1/1900,TODAY(),VLOOKUP(A301,'ECN-ECO_DATA'!B:G,6,FALSE))),"")</f>
        <v/>
      </c>
      <c r="E301" s="9" t="str">
        <f>IFERROR((IF(VLOOKUP(A301,'ECN-ECO_DATA'!B:G,6,FALSE)=0/1/1900,"",VLOOKUP(A301,'ECN-ECO_DATA'!B:G,6,FALSE))),"")</f>
        <v/>
      </c>
      <c r="F301" s="9" t="str">
        <f>IFERROR((IF(VLOOKUP(A301,'ECN-ECO_DATA'!B:J,7,FALSE)=0/1/1900,"",VLOOKUP(A301,'ECN-ECO_DATA'!B:J,7,FALSE))),"")</f>
        <v/>
      </c>
      <c r="G301" s="9" t="str">
        <f>IFERROR((IF(VLOOKUP(A301,'ECN-ECO_DATA'!B:J,8,FALSE)=0/1/1900,"",VLOOKUP(A301,'ECN-ECO_DATA'!B:J,8,FALSE))),"")</f>
        <v/>
      </c>
      <c r="H301" s="9" t="str">
        <f>IFERROR((IF(VLOOKUP(A301,'ECN-ECO_DATA'!B:J,9,FALSE)=0/1/1900,"",VLOOKUP(A301,'ECN-ECO_DATA'!B:J,9,FALSE))),"")</f>
        <v/>
      </c>
      <c r="I301" s="10" t="str">
        <f>IFERROR((IF(VLOOKUP(A301,'ECN-ECO_DATA'!B:Q,13,FALSE)="","",VLOOKUP(A301,'ECN-ECO_DATA'!B:Q,13,FALSE))),"")</f>
        <v/>
      </c>
      <c r="J301" s="10" t="str">
        <f>IFERROR((IF(VLOOKUP(A301,'ECN-ECO_DATA'!B:Q,14,FALSE)="","",VLOOKUP(A301,'ECN-ECO_DATA'!B:Q,14,FALSE))),"")</f>
        <v/>
      </c>
      <c r="K301" s="10" t="str">
        <f>IFERROR((IF(VLOOKUP(A301,'ECN-ECO_DATA'!B:Q,15,FALSE)="","",VLOOKUP(A301,'ECN-ECO_DATA'!B:Q,15,FALSE))),"")</f>
        <v/>
      </c>
      <c r="L301" s="10" t="str">
        <f>IFERROR((IF(VLOOKUP(A301,'ECN-ECO_DATA'!B:Q,16,FALSE)="","",VLOOKUP(A301,'ECN-ECO_DATA'!B:Q,16,FALSE))),"")</f>
        <v/>
      </c>
      <c r="M301" s="9" t="str">
        <f>IFERROR((IF(VLOOKUP(A301,'ECN-ECO_DATA'!B:V,18,FALSE)=0/1/1900,"",VLOOKUP(A301,'ECN-ECO_DATA'!B:V,18,FALSE))),"")</f>
        <v/>
      </c>
      <c r="N301" s="9" t="str">
        <f>IFERROR((IF(VLOOKUP(A301,'ECN-ECO_DATA'!B:V,19,FALSE)=0/1/1900,"",VLOOKUP(A301,'ECN-ECO_DATA'!B:V,19,FALSE))),"")</f>
        <v/>
      </c>
      <c r="O301" s="9" t="str">
        <f>IFERROR((IF(VLOOKUP(A301,'ECN-ECO_DATA'!B:V,20,FALSE)=0/1/1900,"",VLOOKUP(A301,'ECN-ECO_DATA'!B:V,20,FALSE))),"")</f>
        <v/>
      </c>
      <c r="P301" s="9" t="str">
        <f>IFERROR((IF(VLOOKUP(A301,'ECN-ECO_DATA'!B:V,21,FALSE)=0/1/1900,"",VLOOKUP(A301,'ECN-ECO_DATA'!B:V,21,FALSE))),"")</f>
        <v/>
      </c>
      <c r="Q301" s="10" t="str">
        <f t="shared" ca="1" si="20"/>
        <v/>
      </c>
      <c r="R301" s="4" t="str">
        <f t="shared" si="21"/>
        <v/>
      </c>
      <c r="S301" s="4" t="str">
        <f t="shared" si="22"/>
        <v/>
      </c>
      <c r="T301" s="4" t="str">
        <f t="shared" si="23"/>
        <v/>
      </c>
      <c r="U301" s="10" t="str">
        <f t="shared" si="24"/>
        <v/>
      </c>
      <c r="V301" s="4"/>
    </row>
    <row r="302" spans="2:22" x14ac:dyDescent="0.25">
      <c r="B302" s="4" t="str">
        <f>IFERROR(VLOOKUP(A302,'ECN-ECO_DATA'!B:G,4,FALSE),"")</f>
        <v/>
      </c>
      <c r="C302" s="9" t="str">
        <f>IFERROR(VLOOKUP(A302,'ECN-ECO_DATA'!B:G,5,FALSE),"")</f>
        <v/>
      </c>
      <c r="D302" s="9" t="str">
        <f ca="1">IFERROR((IF(VLOOKUP(A302,'ECN-ECO_DATA'!B:G,6,FALSE)=0/1/1900,TODAY(),VLOOKUP(A302,'ECN-ECO_DATA'!B:G,6,FALSE))),"")</f>
        <v/>
      </c>
      <c r="E302" s="9" t="str">
        <f>IFERROR((IF(VLOOKUP(A302,'ECN-ECO_DATA'!B:G,6,FALSE)=0/1/1900,"",VLOOKUP(A302,'ECN-ECO_DATA'!B:G,6,FALSE))),"")</f>
        <v/>
      </c>
      <c r="F302" s="9" t="str">
        <f>IFERROR((IF(VLOOKUP(A302,'ECN-ECO_DATA'!B:J,7,FALSE)=0/1/1900,"",VLOOKUP(A302,'ECN-ECO_DATA'!B:J,7,FALSE))),"")</f>
        <v/>
      </c>
      <c r="G302" s="9" t="str">
        <f>IFERROR((IF(VLOOKUP(A302,'ECN-ECO_DATA'!B:J,8,FALSE)=0/1/1900,"",VLOOKUP(A302,'ECN-ECO_DATA'!B:J,8,FALSE))),"")</f>
        <v/>
      </c>
      <c r="H302" s="9" t="str">
        <f>IFERROR((IF(VLOOKUP(A302,'ECN-ECO_DATA'!B:J,9,FALSE)=0/1/1900,"",VLOOKUP(A302,'ECN-ECO_DATA'!B:J,9,FALSE))),"")</f>
        <v/>
      </c>
      <c r="I302" s="10" t="str">
        <f>IFERROR((IF(VLOOKUP(A302,'ECN-ECO_DATA'!B:Q,13,FALSE)="","",VLOOKUP(A302,'ECN-ECO_DATA'!B:Q,13,FALSE))),"")</f>
        <v/>
      </c>
      <c r="J302" s="10" t="str">
        <f>IFERROR((IF(VLOOKUP(A302,'ECN-ECO_DATA'!B:Q,14,FALSE)="","",VLOOKUP(A302,'ECN-ECO_DATA'!B:Q,14,FALSE))),"")</f>
        <v/>
      </c>
      <c r="K302" s="10" t="str">
        <f>IFERROR((IF(VLOOKUP(A302,'ECN-ECO_DATA'!B:Q,15,FALSE)="","",VLOOKUP(A302,'ECN-ECO_DATA'!B:Q,15,FALSE))),"")</f>
        <v/>
      </c>
      <c r="L302" s="10" t="str">
        <f>IFERROR((IF(VLOOKUP(A302,'ECN-ECO_DATA'!B:Q,16,FALSE)="","",VLOOKUP(A302,'ECN-ECO_DATA'!B:Q,16,FALSE))),"")</f>
        <v/>
      </c>
      <c r="M302" s="9" t="str">
        <f>IFERROR((IF(VLOOKUP(A302,'ECN-ECO_DATA'!B:V,18,FALSE)=0/1/1900,"",VLOOKUP(A302,'ECN-ECO_DATA'!B:V,18,FALSE))),"")</f>
        <v/>
      </c>
      <c r="N302" s="9" t="str">
        <f>IFERROR((IF(VLOOKUP(A302,'ECN-ECO_DATA'!B:V,19,FALSE)=0/1/1900,"",VLOOKUP(A302,'ECN-ECO_DATA'!B:V,19,FALSE))),"")</f>
        <v/>
      </c>
      <c r="O302" s="9" t="str">
        <f>IFERROR((IF(VLOOKUP(A302,'ECN-ECO_DATA'!B:V,20,FALSE)=0/1/1900,"",VLOOKUP(A302,'ECN-ECO_DATA'!B:V,20,FALSE))),"")</f>
        <v/>
      </c>
      <c r="P302" s="9" t="str">
        <f>IFERROR((IF(VLOOKUP(A302,'ECN-ECO_DATA'!B:V,21,FALSE)=0/1/1900,"",VLOOKUP(A302,'ECN-ECO_DATA'!B:V,21,FALSE))),"")</f>
        <v/>
      </c>
      <c r="Q302" s="10" t="str">
        <f t="shared" ca="1" si="20"/>
        <v/>
      </c>
      <c r="R302" s="4" t="str">
        <f t="shared" si="21"/>
        <v/>
      </c>
      <c r="S302" s="4" t="str">
        <f t="shared" si="22"/>
        <v/>
      </c>
      <c r="T302" s="4" t="str">
        <f t="shared" si="23"/>
        <v/>
      </c>
      <c r="U302" s="10" t="str">
        <f t="shared" si="24"/>
        <v/>
      </c>
      <c r="V302" s="4"/>
    </row>
    <row r="303" spans="2:22" x14ac:dyDescent="0.25">
      <c r="B303" s="4" t="str">
        <f>IFERROR(VLOOKUP(A303,'ECN-ECO_DATA'!B:G,4,FALSE),"")</f>
        <v/>
      </c>
      <c r="C303" s="9" t="str">
        <f>IFERROR(VLOOKUP(A303,'ECN-ECO_DATA'!B:G,5,FALSE),"")</f>
        <v/>
      </c>
      <c r="D303" s="9" t="str">
        <f ca="1">IFERROR((IF(VLOOKUP(A303,'ECN-ECO_DATA'!B:G,6,FALSE)=0/1/1900,TODAY(),VLOOKUP(A303,'ECN-ECO_DATA'!B:G,6,FALSE))),"")</f>
        <v/>
      </c>
      <c r="E303" s="9" t="str">
        <f>IFERROR((IF(VLOOKUP(A303,'ECN-ECO_DATA'!B:G,6,FALSE)=0/1/1900,"",VLOOKUP(A303,'ECN-ECO_DATA'!B:G,6,FALSE))),"")</f>
        <v/>
      </c>
      <c r="F303" s="9" t="str">
        <f>IFERROR((IF(VLOOKUP(A303,'ECN-ECO_DATA'!B:J,7,FALSE)=0/1/1900,"",VLOOKUP(A303,'ECN-ECO_DATA'!B:J,7,FALSE))),"")</f>
        <v/>
      </c>
      <c r="G303" s="9" t="str">
        <f>IFERROR((IF(VLOOKUP(A303,'ECN-ECO_DATA'!B:J,8,FALSE)=0/1/1900,"",VLOOKUP(A303,'ECN-ECO_DATA'!B:J,8,FALSE))),"")</f>
        <v/>
      </c>
      <c r="H303" s="9" t="str">
        <f>IFERROR((IF(VLOOKUP(A303,'ECN-ECO_DATA'!B:J,9,FALSE)=0/1/1900,"",VLOOKUP(A303,'ECN-ECO_DATA'!B:J,9,FALSE))),"")</f>
        <v/>
      </c>
      <c r="I303" s="10" t="str">
        <f>IFERROR((IF(VLOOKUP(A303,'ECN-ECO_DATA'!B:Q,13,FALSE)="","",VLOOKUP(A303,'ECN-ECO_DATA'!B:Q,13,FALSE))),"")</f>
        <v/>
      </c>
      <c r="J303" s="10" t="str">
        <f>IFERROR((IF(VLOOKUP(A303,'ECN-ECO_DATA'!B:Q,14,FALSE)="","",VLOOKUP(A303,'ECN-ECO_DATA'!B:Q,14,FALSE))),"")</f>
        <v/>
      </c>
      <c r="K303" s="10" t="str">
        <f>IFERROR((IF(VLOOKUP(A303,'ECN-ECO_DATA'!B:Q,15,FALSE)="","",VLOOKUP(A303,'ECN-ECO_DATA'!B:Q,15,FALSE))),"")</f>
        <v/>
      </c>
      <c r="L303" s="10" t="str">
        <f>IFERROR((IF(VLOOKUP(A303,'ECN-ECO_DATA'!B:Q,16,FALSE)="","",VLOOKUP(A303,'ECN-ECO_DATA'!B:Q,16,FALSE))),"")</f>
        <v/>
      </c>
      <c r="M303" s="9" t="str">
        <f>IFERROR((IF(VLOOKUP(A303,'ECN-ECO_DATA'!B:V,18,FALSE)=0/1/1900,"",VLOOKUP(A303,'ECN-ECO_DATA'!B:V,18,FALSE))),"")</f>
        <v/>
      </c>
      <c r="N303" s="9" t="str">
        <f>IFERROR((IF(VLOOKUP(A303,'ECN-ECO_DATA'!B:V,19,FALSE)=0/1/1900,"",VLOOKUP(A303,'ECN-ECO_DATA'!B:V,19,FALSE))),"")</f>
        <v/>
      </c>
      <c r="O303" s="9" t="str">
        <f>IFERROR((IF(VLOOKUP(A303,'ECN-ECO_DATA'!B:V,20,FALSE)=0/1/1900,"",VLOOKUP(A303,'ECN-ECO_DATA'!B:V,20,FALSE))),"")</f>
        <v/>
      </c>
      <c r="P303" s="9" t="str">
        <f>IFERROR((IF(VLOOKUP(A303,'ECN-ECO_DATA'!B:V,21,FALSE)=0/1/1900,"",VLOOKUP(A303,'ECN-ECO_DATA'!B:V,21,FALSE))),"")</f>
        <v/>
      </c>
      <c r="Q303" s="10" t="str">
        <f t="shared" ca="1" si="20"/>
        <v/>
      </c>
      <c r="R303" s="4" t="str">
        <f t="shared" si="21"/>
        <v/>
      </c>
      <c r="S303" s="4" t="str">
        <f t="shared" si="22"/>
        <v/>
      </c>
      <c r="T303" s="4" t="str">
        <f t="shared" si="23"/>
        <v/>
      </c>
      <c r="U303" s="10" t="str">
        <f t="shared" si="24"/>
        <v/>
      </c>
      <c r="V303" s="4"/>
    </row>
    <row r="304" spans="2:22" x14ac:dyDescent="0.25">
      <c r="B304" s="4" t="str">
        <f>IFERROR(VLOOKUP(A304,'ECN-ECO_DATA'!B:G,4,FALSE),"")</f>
        <v/>
      </c>
      <c r="C304" s="9" t="str">
        <f>IFERROR(VLOOKUP(A304,'ECN-ECO_DATA'!B:G,5,FALSE),"")</f>
        <v/>
      </c>
      <c r="D304" s="9" t="str">
        <f ca="1">IFERROR((IF(VLOOKUP(A304,'ECN-ECO_DATA'!B:G,6,FALSE)=0/1/1900,TODAY(),VLOOKUP(A304,'ECN-ECO_DATA'!B:G,6,FALSE))),"")</f>
        <v/>
      </c>
      <c r="E304" s="9" t="str">
        <f>IFERROR((IF(VLOOKUP(A304,'ECN-ECO_DATA'!B:G,6,FALSE)=0/1/1900,"",VLOOKUP(A304,'ECN-ECO_DATA'!B:G,6,FALSE))),"")</f>
        <v/>
      </c>
      <c r="F304" s="9" t="str">
        <f>IFERROR((IF(VLOOKUP(A304,'ECN-ECO_DATA'!B:J,7,FALSE)=0/1/1900,"",VLOOKUP(A304,'ECN-ECO_DATA'!B:J,7,FALSE))),"")</f>
        <v/>
      </c>
      <c r="G304" s="9" t="str">
        <f>IFERROR((IF(VLOOKUP(A304,'ECN-ECO_DATA'!B:J,8,FALSE)=0/1/1900,"",VLOOKUP(A304,'ECN-ECO_DATA'!B:J,8,FALSE))),"")</f>
        <v/>
      </c>
      <c r="H304" s="9" t="str">
        <f>IFERROR((IF(VLOOKUP(A304,'ECN-ECO_DATA'!B:J,9,FALSE)=0/1/1900,"",VLOOKUP(A304,'ECN-ECO_DATA'!B:J,9,FALSE))),"")</f>
        <v/>
      </c>
      <c r="I304" s="10" t="str">
        <f>IFERROR((IF(VLOOKUP(A304,'ECN-ECO_DATA'!B:Q,13,FALSE)="","",VLOOKUP(A304,'ECN-ECO_DATA'!B:Q,13,FALSE))),"")</f>
        <v/>
      </c>
      <c r="J304" s="10" t="str">
        <f>IFERROR((IF(VLOOKUP(A304,'ECN-ECO_DATA'!B:Q,14,FALSE)="","",VLOOKUP(A304,'ECN-ECO_DATA'!B:Q,14,FALSE))),"")</f>
        <v/>
      </c>
      <c r="K304" s="10" t="str">
        <f>IFERROR((IF(VLOOKUP(A304,'ECN-ECO_DATA'!B:Q,15,FALSE)="","",VLOOKUP(A304,'ECN-ECO_DATA'!B:Q,15,FALSE))),"")</f>
        <v/>
      </c>
      <c r="L304" s="10" t="str">
        <f>IFERROR((IF(VLOOKUP(A304,'ECN-ECO_DATA'!B:Q,16,FALSE)="","",VLOOKUP(A304,'ECN-ECO_DATA'!B:Q,16,FALSE))),"")</f>
        <v/>
      </c>
      <c r="M304" s="9" t="str">
        <f>IFERROR((IF(VLOOKUP(A304,'ECN-ECO_DATA'!B:V,18,FALSE)=0/1/1900,"",VLOOKUP(A304,'ECN-ECO_DATA'!B:V,18,FALSE))),"")</f>
        <v/>
      </c>
      <c r="N304" s="9" t="str">
        <f>IFERROR((IF(VLOOKUP(A304,'ECN-ECO_DATA'!B:V,19,FALSE)=0/1/1900,"",VLOOKUP(A304,'ECN-ECO_DATA'!B:V,19,FALSE))),"")</f>
        <v/>
      </c>
      <c r="O304" s="9" t="str">
        <f>IFERROR((IF(VLOOKUP(A304,'ECN-ECO_DATA'!B:V,20,FALSE)=0/1/1900,"",VLOOKUP(A304,'ECN-ECO_DATA'!B:V,20,FALSE))),"")</f>
        <v/>
      </c>
      <c r="P304" s="9" t="str">
        <f>IFERROR((IF(VLOOKUP(A304,'ECN-ECO_DATA'!B:V,21,FALSE)=0/1/1900,"",VLOOKUP(A304,'ECN-ECO_DATA'!B:V,21,FALSE))),"")</f>
        <v/>
      </c>
      <c r="Q304" s="10" t="str">
        <f t="shared" ca="1" si="20"/>
        <v/>
      </c>
      <c r="R304" s="4" t="str">
        <f t="shared" si="21"/>
        <v/>
      </c>
      <c r="S304" s="4" t="str">
        <f t="shared" si="22"/>
        <v/>
      </c>
      <c r="T304" s="4" t="str">
        <f t="shared" si="23"/>
        <v/>
      </c>
      <c r="U304" s="10" t="str">
        <f t="shared" si="24"/>
        <v/>
      </c>
      <c r="V304" s="4"/>
    </row>
    <row r="305" spans="2:22" x14ac:dyDescent="0.25">
      <c r="B305" s="4" t="str">
        <f>IFERROR(VLOOKUP(A305,'ECN-ECO_DATA'!B:G,4,FALSE),"")</f>
        <v/>
      </c>
      <c r="C305" s="9" t="str">
        <f>IFERROR(VLOOKUP(A305,'ECN-ECO_DATA'!B:G,5,FALSE),"")</f>
        <v/>
      </c>
      <c r="D305" s="9" t="str">
        <f ca="1">IFERROR((IF(VLOOKUP(A305,'ECN-ECO_DATA'!B:G,6,FALSE)=0/1/1900,TODAY(),VLOOKUP(A305,'ECN-ECO_DATA'!B:G,6,FALSE))),"")</f>
        <v/>
      </c>
      <c r="E305" s="9" t="str">
        <f>IFERROR((IF(VLOOKUP(A305,'ECN-ECO_DATA'!B:G,6,FALSE)=0/1/1900,"",VLOOKUP(A305,'ECN-ECO_DATA'!B:G,6,FALSE))),"")</f>
        <v/>
      </c>
      <c r="F305" s="9" t="str">
        <f>IFERROR((IF(VLOOKUP(A305,'ECN-ECO_DATA'!B:J,7,FALSE)=0/1/1900,"",VLOOKUP(A305,'ECN-ECO_DATA'!B:J,7,FALSE))),"")</f>
        <v/>
      </c>
      <c r="G305" s="9" t="str">
        <f>IFERROR((IF(VLOOKUP(A305,'ECN-ECO_DATA'!B:J,8,FALSE)=0/1/1900,"",VLOOKUP(A305,'ECN-ECO_DATA'!B:J,8,FALSE))),"")</f>
        <v/>
      </c>
      <c r="H305" s="9" t="str">
        <f>IFERROR((IF(VLOOKUP(A305,'ECN-ECO_DATA'!B:J,9,FALSE)=0/1/1900,"",VLOOKUP(A305,'ECN-ECO_DATA'!B:J,9,FALSE))),"")</f>
        <v/>
      </c>
      <c r="I305" s="10" t="str">
        <f>IFERROR((IF(VLOOKUP(A305,'ECN-ECO_DATA'!B:Q,13,FALSE)="","",VLOOKUP(A305,'ECN-ECO_DATA'!B:Q,13,FALSE))),"")</f>
        <v/>
      </c>
      <c r="J305" s="10" t="str">
        <f>IFERROR((IF(VLOOKUP(A305,'ECN-ECO_DATA'!B:Q,14,FALSE)="","",VLOOKUP(A305,'ECN-ECO_DATA'!B:Q,14,FALSE))),"")</f>
        <v/>
      </c>
      <c r="K305" s="10" t="str">
        <f>IFERROR((IF(VLOOKUP(A305,'ECN-ECO_DATA'!B:Q,15,FALSE)="","",VLOOKUP(A305,'ECN-ECO_DATA'!B:Q,15,FALSE))),"")</f>
        <v/>
      </c>
      <c r="L305" s="10" t="str">
        <f>IFERROR((IF(VLOOKUP(A305,'ECN-ECO_DATA'!B:Q,16,FALSE)="","",VLOOKUP(A305,'ECN-ECO_DATA'!B:Q,16,FALSE))),"")</f>
        <v/>
      </c>
      <c r="M305" s="9" t="str">
        <f>IFERROR((IF(VLOOKUP(A305,'ECN-ECO_DATA'!B:V,18,FALSE)=0/1/1900,"",VLOOKUP(A305,'ECN-ECO_DATA'!B:V,18,FALSE))),"")</f>
        <v/>
      </c>
      <c r="N305" s="9" t="str">
        <f>IFERROR((IF(VLOOKUP(A305,'ECN-ECO_DATA'!B:V,19,FALSE)=0/1/1900,"",VLOOKUP(A305,'ECN-ECO_DATA'!B:V,19,FALSE))),"")</f>
        <v/>
      </c>
      <c r="O305" s="9" t="str">
        <f>IFERROR((IF(VLOOKUP(A305,'ECN-ECO_DATA'!B:V,20,FALSE)=0/1/1900,"",VLOOKUP(A305,'ECN-ECO_DATA'!B:V,20,FALSE))),"")</f>
        <v/>
      </c>
      <c r="P305" s="9" t="str">
        <f>IFERROR((IF(VLOOKUP(A305,'ECN-ECO_DATA'!B:V,21,FALSE)=0/1/1900,"",VLOOKUP(A305,'ECN-ECO_DATA'!B:V,21,FALSE))),"")</f>
        <v/>
      </c>
      <c r="Q305" s="10" t="str">
        <f t="shared" ca="1" si="20"/>
        <v/>
      </c>
      <c r="R305" s="4" t="str">
        <f t="shared" si="21"/>
        <v/>
      </c>
      <c r="S305" s="4" t="str">
        <f t="shared" si="22"/>
        <v/>
      </c>
      <c r="T305" s="4" t="str">
        <f t="shared" si="23"/>
        <v/>
      </c>
      <c r="U305" s="10" t="str">
        <f t="shared" si="24"/>
        <v/>
      </c>
      <c r="V305" s="4"/>
    </row>
    <row r="306" spans="2:22" x14ac:dyDescent="0.25">
      <c r="B306" s="4" t="str">
        <f>IFERROR(VLOOKUP(A306,'ECN-ECO_DATA'!B:G,4,FALSE),"")</f>
        <v/>
      </c>
      <c r="C306" s="9" t="str">
        <f>IFERROR(VLOOKUP(A306,'ECN-ECO_DATA'!B:G,5,FALSE),"")</f>
        <v/>
      </c>
      <c r="D306" s="9" t="str">
        <f ca="1">IFERROR((IF(VLOOKUP(A306,'ECN-ECO_DATA'!B:G,6,FALSE)=0/1/1900,TODAY(),VLOOKUP(A306,'ECN-ECO_DATA'!B:G,6,FALSE))),"")</f>
        <v/>
      </c>
      <c r="E306" s="9" t="str">
        <f>IFERROR((IF(VLOOKUP(A306,'ECN-ECO_DATA'!B:G,6,FALSE)=0/1/1900,"",VLOOKUP(A306,'ECN-ECO_DATA'!B:G,6,FALSE))),"")</f>
        <v/>
      </c>
      <c r="F306" s="9" t="str">
        <f>IFERROR((IF(VLOOKUP(A306,'ECN-ECO_DATA'!B:J,7,FALSE)=0/1/1900,"",VLOOKUP(A306,'ECN-ECO_DATA'!B:J,7,FALSE))),"")</f>
        <v/>
      </c>
      <c r="G306" s="9" t="str">
        <f>IFERROR((IF(VLOOKUP(A306,'ECN-ECO_DATA'!B:J,8,FALSE)=0/1/1900,"",VLOOKUP(A306,'ECN-ECO_DATA'!B:J,8,FALSE))),"")</f>
        <v/>
      </c>
      <c r="H306" s="9" t="str">
        <f>IFERROR((IF(VLOOKUP(A306,'ECN-ECO_DATA'!B:J,9,FALSE)=0/1/1900,"",VLOOKUP(A306,'ECN-ECO_DATA'!B:J,9,FALSE))),"")</f>
        <v/>
      </c>
      <c r="I306" s="10" t="str">
        <f>IFERROR((IF(VLOOKUP(A306,'ECN-ECO_DATA'!B:Q,13,FALSE)="","",VLOOKUP(A306,'ECN-ECO_DATA'!B:Q,13,FALSE))),"")</f>
        <v/>
      </c>
      <c r="J306" s="10" t="str">
        <f>IFERROR((IF(VLOOKUP(A306,'ECN-ECO_DATA'!B:Q,14,FALSE)="","",VLOOKUP(A306,'ECN-ECO_DATA'!B:Q,14,FALSE))),"")</f>
        <v/>
      </c>
      <c r="K306" s="10" t="str">
        <f>IFERROR((IF(VLOOKUP(A306,'ECN-ECO_DATA'!B:Q,15,FALSE)="","",VLOOKUP(A306,'ECN-ECO_DATA'!B:Q,15,FALSE))),"")</f>
        <v/>
      </c>
      <c r="L306" s="10" t="str">
        <f>IFERROR((IF(VLOOKUP(A306,'ECN-ECO_DATA'!B:Q,16,FALSE)="","",VLOOKUP(A306,'ECN-ECO_DATA'!B:Q,16,FALSE))),"")</f>
        <v/>
      </c>
      <c r="M306" s="9" t="str">
        <f>IFERROR((IF(VLOOKUP(A306,'ECN-ECO_DATA'!B:V,18,FALSE)=0/1/1900,"",VLOOKUP(A306,'ECN-ECO_DATA'!B:V,18,FALSE))),"")</f>
        <v/>
      </c>
      <c r="N306" s="9" t="str">
        <f>IFERROR((IF(VLOOKUP(A306,'ECN-ECO_DATA'!B:V,19,FALSE)=0/1/1900,"",VLOOKUP(A306,'ECN-ECO_DATA'!B:V,19,FALSE))),"")</f>
        <v/>
      </c>
      <c r="O306" s="9" t="str">
        <f>IFERROR((IF(VLOOKUP(A306,'ECN-ECO_DATA'!B:V,20,FALSE)=0/1/1900,"",VLOOKUP(A306,'ECN-ECO_DATA'!B:V,20,FALSE))),"")</f>
        <v/>
      </c>
      <c r="P306" s="9" t="str">
        <f>IFERROR((IF(VLOOKUP(A306,'ECN-ECO_DATA'!B:V,21,FALSE)=0/1/1900,"",VLOOKUP(A306,'ECN-ECO_DATA'!B:V,21,FALSE))),"")</f>
        <v/>
      </c>
      <c r="Q306" s="10" t="str">
        <f t="shared" ca="1" si="20"/>
        <v/>
      </c>
      <c r="R306" s="4" t="str">
        <f t="shared" si="21"/>
        <v/>
      </c>
      <c r="S306" s="4" t="str">
        <f t="shared" si="22"/>
        <v/>
      </c>
      <c r="T306" s="4" t="str">
        <f t="shared" si="23"/>
        <v/>
      </c>
      <c r="U306" s="10" t="str">
        <f t="shared" si="24"/>
        <v/>
      </c>
      <c r="V306" s="4"/>
    </row>
    <row r="307" spans="2:22" x14ac:dyDescent="0.25">
      <c r="B307" s="4" t="str">
        <f>IFERROR(VLOOKUP(A307,'ECN-ECO_DATA'!B:G,4,FALSE),"")</f>
        <v/>
      </c>
      <c r="C307" s="9" t="str">
        <f>IFERROR(VLOOKUP(A307,'ECN-ECO_DATA'!B:G,5,FALSE),"")</f>
        <v/>
      </c>
      <c r="D307" s="9" t="str">
        <f ca="1">IFERROR((IF(VLOOKUP(A307,'ECN-ECO_DATA'!B:G,6,FALSE)=0/1/1900,TODAY(),VLOOKUP(A307,'ECN-ECO_DATA'!B:G,6,FALSE))),"")</f>
        <v/>
      </c>
      <c r="E307" s="9" t="str">
        <f>IFERROR((IF(VLOOKUP(A307,'ECN-ECO_DATA'!B:G,6,FALSE)=0/1/1900,"",VLOOKUP(A307,'ECN-ECO_DATA'!B:G,6,FALSE))),"")</f>
        <v/>
      </c>
      <c r="F307" s="9" t="str">
        <f>IFERROR((IF(VLOOKUP(A307,'ECN-ECO_DATA'!B:J,7,FALSE)=0/1/1900,"",VLOOKUP(A307,'ECN-ECO_DATA'!B:J,7,FALSE))),"")</f>
        <v/>
      </c>
      <c r="G307" s="9" t="str">
        <f>IFERROR((IF(VLOOKUP(A307,'ECN-ECO_DATA'!B:J,8,FALSE)=0/1/1900,"",VLOOKUP(A307,'ECN-ECO_DATA'!B:J,8,FALSE))),"")</f>
        <v/>
      </c>
      <c r="H307" s="9" t="str">
        <f>IFERROR((IF(VLOOKUP(A307,'ECN-ECO_DATA'!B:J,9,FALSE)=0/1/1900,"",VLOOKUP(A307,'ECN-ECO_DATA'!B:J,9,FALSE))),"")</f>
        <v/>
      </c>
      <c r="I307" s="10" t="str">
        <f>IFERROR((IF(VLOOKUP(A307,'ECN-ECO_DATA'!B:Q,13,FALSE)="","",VLOOKUP(A307,'ECN-ECO_DATA'!B:Q,13,FALSE))),"")</f>
        <v/>
      </c>
      <c r="J307" s="10" t="str">
        <f>IFERROR((IF(VLOOKUP(A307,'ECN-ECO_DATA'!B:Q,14,FALSE)="","",VLOOKUP(A307,'ECN-ECO_DATA'!B:Q,14,FALSE))),"")</f>
        <v/>
      </c>
      <c r="K307" s="10" t="str">
        <f>IFERROR((IF(VLOOKUP(A307,'ECN-ECO_DATA'!B:Q,15,FALSE)="","",VLOOKUP(A307,'ECN-ECO_DATA'!B:Q,15,FALSE))),"")</f>
        <v/>
      </c>
      <c r="L307" s="10" t="str">
        <f>IFERROR((IF(VLOOKUP(A307,'ECN-ECO_DATA'!B:Q,16,FALSE)="","",VLOOKUP(A307,'ECN-ECO_DATA'!B:Q,16,FALSE))),"")</f>
        <v/>
      </c>
      <c r="M307" s="9" t="str">
        <f>IFERROR((IF(VLOOKUP(A307,'ECN-ECO_DATA'!B:V,18,FALSE)=0/1/1900,"",VLOOKUP(A307,'ECN-ECO_DATA'!B:V,18,FALSE))),"")</f>
        <v/>
      </c>
      <c r="N307" s="9" t="str">
        <f>IFERROR((IF(VLOOKUP(A307,'ECN-ECO_DATA'!B:V,19,FALSE)=0/1/1900,"",VLOOKUP(A307,'ECN-ECO_DATA'!B:V,19,FALSE))),"")</f>
        <v/>
      </c>
      <c r="O307" s="9" t="str">
        <f>IFERROR((IF(VLOOKUP(A307,'ECN-ECO_DATA'!B:V,20,FALSE)=0/1/1900,"",VLOOKUP(A307,'ECN-ECO_DATA'!B:V,20,FALSE))),"")</f>
        <v/>
      </c>
      <c r="P307" s="9" t="str">
        <f>IFERROR((IF(VLOOKUP(A307,'ECN-ECO_DATA'!B:V,21,FALSE)=0/1/1900,"",VLOOKUP(A307,'ECN-ECO_DATA'!B:V,21,FALSE))),"")</f>
        <v/>
      </c>
      <c r="Q307" s="10" t="str">
        <f t="shared" ca="1" si="20"/>
        <v/>
      </c>
      <c r="R307" s="4" t="str">
        <f t="shared" si="21"/>
        <v/>
      </c>
      <c r="S307" s="4" t="str">
        <f t="shared" si="22"/>
        <v/>
      </c>
      <c r="T307" s="4" t="str">
        <f t="shared" si="23"/>
        <v/>
      </c>
      <c r="U307" s="10" t="str">
        <f t="shared" si="24"/>
        <v/>
      </c>
      <c r="V307" s="4"/>
    </row>
    <row r="308" spans="2:22" x14ac:dyDescent="0.25">
      <c r="B308" s="4" t="str">
        <f>IFERROR(VLOOKUP(A308,'ECN-ECO_DATA'!B:G,4,FALSE),"")</f>
        <v/>
      </c>
      <c r="C308" s="9" t="str">
        <f>IFERROR(VLOOKUP(A308,'ECN-ECO_DATA'!B:G,5,FALSE),"")</f>
        <v/>
      </c>
      <c r="D308" s="9" t="str">
        <f ca="1">IFERROR((IF(VLOOKUP(A308,'ECN-ECO_DATA'!B:G,6,FALSE)=0/1/1900,TODAY(),VLOOKUP(A308,'ECN-ECO_DATA'!B:G,6,FALSE))),"")</f>
        <v/>
      </c>
      <c r="E308" s="9" t="str">
        <f>IFERROR((IF(VLOOKUP(A308,'ECN-ECO_DATA'!B:G,6,FALSE)=0/1/1900,"",VLOOKUP(A308,'ECN-ECO_DATA'!B:G,6,FALSE))),"")</f>
        <v/>
      </c>
      <c r="F308" s="9" t="str">
        <f>IFERROR((IF(VLOOKUP(A308,'ECN-ECO_DATA'!B:J,7,FALSE)=0/1/1900,"",VLOOKUP(A308,'ECN-ECO_DATA'!B:J,7,FALSE))),"")</f>
        <v/>
      </c>
      <c r="G308" s="9" t="str">
        <f>IFERROR((IF(VLOOKUP(A308,'ECN-ECO_DATA'!B:J,8,FALSE)=0/1/1900,"",VLOOKUP(A308,'ECN-ECO_DATA'!B:J,8,FALSE))),"")</f>
        <v/>
      </c>
      <c r="H308" s="9" t="str">
        <f>IFERROR((IF(VLOOKUP(A308,'ECN-ECO_DATA'!B:J,9,FALSE)=0/1/1900,"",VLOOKUP(A308,'ECN-ECO_DATA'!B:J,9,FALSE))),"")</f>
        <v/>
      </c>
      <c r="I308" s="10" t="str">
        <f>IFERROR((IF(VLOOKUP(A308,'ECN-ECO_DATA'!B:Q,13,FALSE)="","",VLOOKUP(A308,'ECN-ECO_DATA'!B:Q,13,FALSE))),"")</f>
        <v/>
      </c>
      <c r="J308" s="10" t="str">
        <f>IFERROR((IF(VLOOKUP(A308,'ECN-ECO_DATA'!B:Q,14,FALSE)="","",VLOOKUP(A308,'ECN-ECO_DATA'!B:Q,14,FALSE))),"")</f>
        <v/>
      </c>
      <c r="K308" s="10" t="str">
        <f>IFERROR((IF(VLOOKUP(A308,'ECN-ECO_DATA'!B:Q,15,FALSE)="","",VLOOKUP(A308,'ECN-ECO_DATA'!B:Q,15,FALSE))),"")</f>
        <v/>
      </c>
      <c r="L308" s="10" t="str">
        <f>IFERROR((IF(VLOOKUP(A308,'ECN-ECO_DATA'!B:Q,16,FALSE)="","",VLOOKUP(A308,'ECN-ECO_DATA'!B:Q,16,FALSE))),"")</f>
        <v/>
      </c>
      <c r="M308" s="9" t="str">
        <f>IFERROR((IF(VLOOKUP(A308,'ECN-ECO_DATA'!B:V,18,FALSE)=0/1/1900,"",VLOOKUP(A308,'ECN-ECO_DATA'!B:V,18,FALSE))),"")</f>
        <v/>
      </c>
      <c r="N308" s="9" t="str">
        <f>IFERROR((IF(VLOOKUP(A308,'ECN-ECO_DATA'!B:V,19,FALSE)=0/1/1900,"",VLOOKUP(A308,'ECN-ECO_DATA'!B:V,19,FALSE))),"")</f>
        <v/>
      </c>
      <c r="O308" s="9" t="str">
        <f>IFERROR((IF(VLOOKUP(A308,'ECN-ECO_DATA'!B:V,20,FALSE)=0/1/1900,"",VLOOKUP(A308,'ECN-ECO_DATA'!B:V,20,FALSE))),"")</f>
        <v/>
      </c>
      <c r="P308" s="9" t="str">
        <f>IFERROR((IF(VLOOKUP(A308,'ECN-ECO_DATA'!B:V,21,FALSE)=0/1/1900,"",VLOOKUP(A308,'ECN-ECO_DATA'!B:V,21,FALSE))),"")</f>
        <v/>
      </c>
      <c r="Q308" s="10" t="str">
        <f t="shared" ca="1" si="20"/>
        <v/>
      </c>
      <c r="R308" s="4" t="str">
        <f t="shared" si="21"/>
        <v/>
      </c>
      <c r="S308" s="4" t="str">
        <f t="shared" si="22"/>
        <v/>
      </c>
      <c r="T308" s="4" t="str">
        <f t="shared" si="23"/>
        <v/>
      </c>
      <c r="U308" s="10" t="str">
        <f t="shared" si="24"/>
        <v/>
      </c>
      <c r="V308" s="4"/>
    </row>
    <row r="309" spans="2:22" x14ac:dyDescent="0.25">
      <c r="B309" s="4" t="str">
        <f>IFERROR(VLOOKUP(A309,'ECN-ECO_DATA'!B:G,4,FALSE),"")</f>
        <v/>
      </c>
      <c r="C309" s="9" t="str">
        <f>IFERROR(VLOOKUP(A309,'ECN-ECO_DATA'!B:G,5,FALSE),"")</f>
        <v/>
      </c>
      <c r="D309" s="9" t="str">
        <f ca="1">IFERROR((IF(VLOOKUP(A309,'ECN-ECO_DATA'!B:G,6,FALSE)=0/1/1900,TODAY(),VLOOKUP(A309,'ECN-ECO_DATA'!B:G,6,FALSE))),"")</f>
        <v/>
      </c>
      <c r="E309" s="9" t="str">
        <f>IFERROR((IF(VLOOKUP(A309,'ECN-ECO_DATA'!B:G,6,FALSE)=0/1/1900,"",VLOOKUP(A309,'ECN-ECO_DATA'!B:G,6,FALSE))),"")</f>
        <v/>
      </c>
      <c r="F309" s="9" t="str">
        <f>IFERROR((IF(VLOOKUP(A309,'ECN-ECO_DATA'!B:J,7,FALSE)=0/1/1900,"",VLOOKUP(A309,'ECN-ECO_DATA'!B:J,7,FALSE))),"")</f>
        <v/>
      </c>
      <c r="G309" s="9" t="str">
        <f>IFERROR((IF(VLOOKUP(A309,'ECN-ECO_DATA'!B:J,8,FALSE)=0/1/1900,"",VLOOKUP(A309,'ECN-ECO_DATA'!B:J,8,FALSE))),"")</f>
        <v/>
      </c>
      <c r="H309" s="9" t="str">
        <f>IFERROR((IF(VLOOKUP(A309,'ECN-ECO_DATA'!B:J,9,FALSE)=0/1/1900,"",VLOOKUP(A309,'ECN-ECO_DATA'!B:J,9,FALSE))),"")</f>
        <v/>
      </c>
      <c r="I309" s="10" t="str">
        <f>IFERROR((IF(VLOOKUP(A309,'ECN-ECO_DATA'!B:Q,13,FALSE)="","",VLOOKUP(A309,'ECN-ECO_DATA'!B:Q,13,FALSE))),"")</f>
        <v/>
      </c>
      <c r="J309" s="10" t="str">
        <f>IFERROR((IF(VLOOKUP(A309,'ECN-ECO_DATA'!B:Q,14,FALSE)="","",VLOOKUP(A309,'ECN-ECO_DATA'!B:Q,14,FALSE))),"")</f>
        <v/>
      </c>
      <c r="K309" s="10" t="str">
        <f>IFERROR((IF(VLOOKUP(A309,'ECN-ECO_DATA'!B:Q,15,FALSE)="","",VLOOKUP(A309,'ECN-ECO_DATA'!B:Q,15,FALSE))),"")</f>
        <v/>
      </c>
      <c r="L309" s="10" t="str">
        <f>IFERROR((IF(VLOOKUP(A309,'ECN-ECO_DATA'!B:Q,16,FALSE)="","",VLOOKUP(A309,'ECN-ECO_DATA'!B:Q,16,FALSE))),"")</f>
        <v/>
      </c>
      <c r="M309" s="9" t="str">
        <f>IFERROR((IF(VLOOKUP(A309,'ECN-ECO_DATA'!B:V,18,FALSE)=0/1/1900,"",VLOOKUP(A309,'ECN-ECO_DATA'!B:V,18,FALSE))),"")</f>
        <v/>
      </c>
      <c r="N309" s="9" t="str">
        <f>IFERROR((IF(VLOOKUP(A309,'ECN-ECO_DATA'!B:V,19,FALSE)=0/1/1900,"",VLOOKUP(A309,'ECN-ECO_DATA'!B:V,19,FALSE))),"")</f>
        <v/>
      </c>
      <c r="O309" s="9" t="str">
        <f>IFERROR((IF(VLOOKUP(A309,'ECN-ECO_DATA'!B:V,20,FALSE)=0/1/1900,"",VLOOKUP(A309,'ECN-ECO_DATA'!B:V,20,FALSE))),"")</f>
        <v/>
      </c>
      <c r="P309" s="9" t="str">
        <f>IFERROR((IF(VLOOKUP(A309,'ECN-ECO_DATA'!B:V,21,FALSE)=0/1/1900,"",VLOOKUP(A309,'ECN-ECO_DATA'!B:V,21,FALSE))),"")</f>
        <v/>
      </c>
      <c r="Q309" s="10" t="str">
        <f t="shared" ca="1" si="20"/>
        <v/>
      </c>
      <c r="R309" s="4" t="str">
        <f t="shared" si="21"/>
        <v/>
      </c>
      <c r="S309" s="4" t="str">
        <f t="shared" si="22"/>
        <v/>
      </c>
      <c r="T309" s="4" t="str">
        <f t="shared" si="23"/>
        <v/>
      </c>
      <c r="U309" s="10" t="str">
        <f t="shared" si="24"/>
        <v/>
      </c>
      <c r="V309" s="4"/>
    </row>
    <row r="310" spans="2:22" x14ac:dyDescent="0.25">
      <c r="B310" s="4" t="str">
        <f>IFERROR(VLOOKUP(A310,'ECN-ECO_DATA'!B:G,4,FALSE),"")</f>
        <v/>
      </c>
      <c r="C310" s="9" t="str">
        <f>IFERROR(VLOOKUP(A310,'ECN-ECO_DATA'!B:G,5,FALSE),"")</f>
        <v/>
      </c>
      <c r="D310" s="9" t="str">
        <f ca="1">IFERROR((IF(VLOOKUP(A310,'ECN-ECO_DATA'!B:G,6,FALSE)=0/1/1900,TODAY(),VLOOKUP(A310,'ECN-ECO_DATA'!B:G,6,FALSE))),"")</f>
        <v/>
      </c>
      <c r="E310" s="9" t="str">
        <f>IFERROR((IF(VLOOKUP(A310,'ECN-ECO_DATA'!B:G,6,FALSE)=0/1/1900,"",VLOOKUP(A310,'ECN-ECO_DATA'!B:G,6,FALSE))),"")</f>
        <v/>
      </c>
      <c r="F310" s="9" t="str">
        <f>IFERROR((IF(VLOOKUP(A310,'ECN-ECO_DATA'!B:J,7,FALSE)=0/1/1900,"",VLOOKUP(A310,'ECN-ECO_DATA'!B:J,7,FALSE))),"")</f>
        <v/>
      </c>
      <c r="G310" s="9" t="str">
        <f>IFERROR((IF(VLOOKUP(A310,'ECN-ECO_DATA'!B:J,8,FALSE)=0/1/1900,"",VLOOKUP(A310,'ECN-ECO_DATA'!B:J,8,FALSE))),"")</f>
        <v/>
      </c>
      <c r="H310" s="9" t="str">
        <f>IFERROR((IF(VLOOKUP(A310,'ECN-ECO_DATA'!B:J,9,FALSE)=0/1/1900,"",VLOOKUP(A310,'ECN-ECO_DATA'!B:J,9,FALSE))),"")</f>
        <v/>
      </c>
      <c r="I310" s="10" t="str">
        <f>IFERROR((IF(VLOOKUP(A310,'ECN-ECO_DATA'!B:Q,13,FALSE)="","",VLOOKUP(A310,'ECN-ECO_DATA'!B:Q,13,FALSE))),"")</f>
        <v/>
      </c>
      <c r="J310" s="10" t="str">
        <f>IFERROR((IF(VLOOKUP(A310,'ECN-ECO_DATA'!B:Q,14,FALSE)="","",VLOOKUP(A310,'ECN-ECO_DATA'!B:Q,14,FALSE))),"")</f>
        <v/>
      </c>
      <c r="K310" s="10" t="str">
        <f>IFERROR((IF(VLOOKUP(A310,'ECN-ECO_DATA'!B:Q,15,FALSE)="","",VLOOKUP(A310,'ECN-ECO_DATA'!B:Q,15,FALSE))),"")</f>
        <v/>
      </c>
      <c r="L310" s="10" t="str">
        <f>IFERROR((IF(VLOOKUP(A310,'ECN-ECO_DATA'!B:Q,16,FALSE)="","",VLOOKUP(A310,'ECN-ECO_DATA'!B:Q,16,FALSE))),"")</f>
        <v/>
      </c>
      <c r="M310" s="9" t="str">
        <f>IFERROR((IF(VLOOKUP(A310,'ECN-ECO_DATA'!B:V,18,FALSE)=0/1/1900,"",VLOOKUP(A310,'ECN-ECO_DATA'!B:V,18,FALSE))),"")</f>
        <v/>
      </c>
      <c r="N310" s="9" t="str">
        <f>IFERROR((IF(VLOOKUP(A310,'ECN-ECO_DATA'!B:V,19,FALSE)=0/1/1900,"",VLOOKUP(A310,'ECN-ECO_DATA'!B:V,19,FALSE))),"")</f>
        <v/>
      </c>
      <c r="O310" s="9" t="str">
        <f>IFERROR((IF(VLOOKUP(A310,'ECN-ECO_DATA'!B:V,20,FALSE)=0/1/1900,"",VLOOKUP(A310,'ECN-ECO_DATA'!B:V,20,FALSE))),"")</f>
        <v/>
      </c>
      <c r="P310" s="9" t="str">
        <f>IFERROR((IF(VLOOKUP(A310,'ECN-ECO_DATA'!B:V,21,FALSE)=0/1/1900,"",VLOOKUP(A310,'ECN-ECO_DATA'!B:V,21,FALSE))),"")</f>
        <v/>
      </c>
      <c r="Q310" s="10" t="str">
        <f t="shared" ca="1" si="20"/>
        <v/>
      </c>
      <c r="R310" s="4" t="str">
        <f t="shared" si="21"/>
        <v/>
      </c>
      <c r="S310" s="4" t="str">
        <f t="shared" si="22"/>
        <v/>
      </c>
      <c r="T310" s="4" t="str">
        <f t="shared" si="23"/>
        <v/>
      </c>
      <c r="U310" s="10" t="str">
        <f t="shared" si="24"/>
        <v/>
      </c>
      <c r="V310" s="4"/>
    </row>
    <row r="311" spans="2:22" x14ac:dyDescent="0.25">
      <c r="B311" s="4" t="str">
        <f>IFERROR(VLOOKUP(A311,'ECN-ECO_DATA'!B:G,4,FALSE),"")</f>
        <v/>
      </c>
      <c r="C311" s="9" t="str">
        <f>IFERROR(VLOOKUP(A311,'ECN-ECO_DATA'!B:G,5,FALSE),"")</f>
        <v/>
      </c>
      <c r="D311" s="9" t="str">
        <f ca="1">IFERROR((IF(VLOOKUP(A311,'ECN-ECO_DATA'!B:G,6,FALSE)=0/1/1900,TODAY(),VLOOKUP(A311,'ECN-ECO_DATA'!B:G,6,FALSE))),"")</f>
        <v/>
      </c>
      <c r="E311" s="9" t="str">
        <f>IFERROR((IF(VLOOKUP(A311,'ECN-ECO_DATA'!B:G,6,FALSE)=0/1/1900,"",VLOOKUP(A311,'ECN-ECO_DATA'!B:G,6,FALSE))),"")</f>
        <v/>
      </c>
      <c r="F311" s="9" t="str">
        <f>IFERROR((IF(VLOOKUP(A311,'ECN-ECO_DATA'!B:J,7,FALSE)=0/1/1900,"",VLOOKUP(A311,'ECN-ECO_DATA'!B:J,7,FALSE))),"")</f>
        <v/>
      </c>
      <c r="G311" s="9" t="str">
        <f>IFERROR((IF(VLOOKUP(A311,'ECN-ECO_DATA'!B:J,8,FALSE)=0/1/1900,"",VLOOKUP(A311,'ECN-ECO_DATA'!B:J,8,FALSE))),"")</f>
        <v/>
      </c>
      <c r="H311" s="9" t="str">
        <f>IFERROR((IF(VLOOKUP(A311,'ECN-ECO_DATA'!B:J,9,FALSE)=0/1/1900,"",VLOOKUP(A311,'ECN-ECO_DATA'!B:J,9,FALSE))),"")</f>
        <v/>
      </c>
      <c r="I311" s="10" t="str">
        <f>IFERROR((IF(VLOOKUP(A311,'ECN-ECO_DATA'!B:Q,13,FALSE)="","",VLOOKUP(A311,'ECN-ECO_DATA'!B:Q,13,FALSE))),"")</f>
        <v/>
      </c>
      <c r="J311" s="10" t="str">
        <f>IFERROR((IF(VLOOKUP(A311,'ECN-ECO_DATA'!B:Q,14,FALSE)="","",VLOOKUP(A311,'ECN-ECO_DATA'!B:Q,14,FALSE))),"")</f>
        <v/>
      </c>
      <c r="K311" s="10" t="str">
        <f>IFERROR((IF(VLOOKUP(A311,'ECN-ECO_DATA'!B:Q,15,FALSE)="","",VLOOKUP(A311,'ECN-ECO_DATA'!B:Q,15,FALSE))),"")</f>
        <v/>
      </c>
      <c r="L311" s="10" t="str">
        <f>IFERROR((IF(VLOOKUP(A311,'ECN-ECO_DATA'!B:Q,16,FALSE)="","",VLOOKUP(A311,'ECN-ECO_DATA'!B:Q,16,FALSE))),"")</f>
        <v/>
      </c>
      <c r="M311" s="9" t="str">
        <f>IFERROR((IF(VLOOKUP(A311,'ECN-ECO_DATA'!B:V,18,FALSE)=0/1/1900,"",VLOOKUP(A311,'ECN-ECO_DATA'!B:V,18,FALSE))),"")</f>
        <v/>
      </c>
      <c r="N311" s="9" t="str">
        <f>IFERROR((IF(VLOOKUP(A311,'ECN-ECO_DATA'!B:V,19,FALSE)=0/1/1900,"",VLOOKUP(A311,'ECN-ECO_DATA'!B:V,19,FALSE))),"")</f>
        <v/>
      </c>
      <c r="O311" s="9" t="str">
        <f>IFERROR((IF(VLOOKUP(A311,'ECN-ECO_DATA'!B:V,20,FALSE)=0/1/1900,"",VLOOKUP(A311,'ECN-ECO_DATA'!B:V,20,FALSE))),"")</f>
        <v/>
      </c>
      <c r="P311" s="9" t="str">
        <f>IFERROR((IF(VLOOKUP(A311,'ECN-ECO_DATA'!B:V,21,FALSE)=0/1/1900,"",VLOOKUP(A311,'ECN-ECO_DATA'!B:V,21,FALSE))),"")</f>
        <v/>
      </c>
      <c r="Q311" s="10" t="str">
        <f t="shared" ca="1" si="20"/>
        <v/>
      </c>
      <c r="R311" s="4" t="str">
        <f t="shared" si="21"/>
        <v/>
      </c>
      <c r="S311" s="4" t="str">
        <f t="shared" si="22"/>
        <v/>
      </c>
      <c r="T311" s="4" t="str">
        <f t="shared" si="23"/>
        <v/>
      </c>
      <c r="U311" s="10" t="str">
        <f t="shared" si="24"/>
        <v/>
      </c>
      <c r="V311" s="4"/>
    </row>
    <row r="312" spans="2:22" x14ac:dyDescent="0.25">
      <c r="B312" s="4" t="str">
        <f>IFERROR(VLOOKUP(A312,'ECN-ECO_DATA'!B:G,4,FALSE),"")</f>
        <v/>
      </c>
      <c r="C312" s="9" t="str">
        <f>IFERROR(VLOOKUP(A312,'ECN-ECO_DATA'!B:G,5,FALSE),"")</f>
        <v/>
      </c>
      <c r="D312" s="9" t="str">
        <f ca="1">IFERROR((IF(VLOOKUP(A312,'ECN-ECO_DATA'!B:G,6,FALSE)=0/1/1900,TODAY(),VLOOKUP(A312,'ECN-ECO_DATA'!B:G,6,FALSE))),"")</f>
        <v/>
      </c>
      <c r="E312" s="9" t="str">
        <f>IFERROR((IF(VLOOKUP(A312,'ECN-ECO_DATA'!B:G,6,FALSE)=0/1/1900,"",VLOOKUP(A312,'ECN-ECO_DATA'!B:G,6,FALSE))),"")</f>
        <v/>
      </c>
      <c r="F312" s="9" t="str">
        <f>IFERROR((IF(VLOOKUP(A312,'ECN-ECO_DATA'!B:J,7,FALSE)=0/1/1900,"",VLOOKUP(A312,'ECN-ECO_DATA'!B:J,7,FALSE))),"")</f>
        <v/>
      </c>
      <c r="G312" s="9" t="str">
        <f>IFERROR((IF(VLOOKUP(A312,'ECN-ECO_DATA'!B:J,8,FALSE)=0/1/1900,"",VLOOKUP(A312,'ECN-ECO_DATA'!B:J,8,FALSE))),"")</f>
        <v/>
      </c>
      <c r="H312" s="9" t="str">
        <f>IFERROR((IF(VLOOKUP(A312,'ECN-ECO_DATA'!B:J,9,FALSE)=0/1/1900,"",VLOOKUP(A312,'ECN-ECO_DATA'!B:J,9,FALSE))),"")</f>
        <v/>
      </c>
      <c r="I312" s="10" t="str">
        <f>IFERROR((IF(VLOOKUP(A312,'ECN-ECO_DATA'!B:Q,13,FALSE)="","",VLOOKUP(A312,'ECN-ECO_DATA'!B:Q,13,FALSE))),"")</f>
        <v/>
      </c>
      <c r="J312" s="10" t="str">
        <f>IFERROR((IF(VLOOKUP(A312,'ECN-ECO_DATA'!B:Q,14,FALSE)="","",VLOOKUP(A312,'ECN-ECO_DATA'!B:Q,14,FALSE))),"")</f>
        <v/>
      </c>
      <c r="K312" s="10" t="str">
        <f>IFERROR((IF(VLOOKUP(A312,'ECN-ECO_DATA'!B:Q,15,FALSE)="","",VLOOKUP(A312,'ECN-ECO_DATA'!B:Q,15,FALSE))),"")</f>
        <v/>
      </c>
      <c r="L312" s="10" t="str">
        <f>IFERROR((IF(VLOOKUP(A312,'ECN-ECO_DATA'!B:Q,16,FALSE)="","",VLOOKUP(A312,'ECN-ECO_DATA'!B:Q,16,FALSE))),"")</f>
        <v/>
      </c>
      <c r="M312" s="9" t="str">
        <f>IFERROR((IF(VLOOKUP(A312,'ECN-ECO_DATA'!B:V,18,FALSE)=0/1/1900,"",VLOOKUP(A312,'ECN-ECO_DATA'!B:V,18,FALSE))),"")</f>
        <v/>
      </c>
      <c r="N312" s="9" t="str">
        <f>IFERROR((IF(VLOOKUP(A312,'ECN-ECO_DATA'!B:V,19,FALSE)=0/1/1900,"",VLOOKUP(A312,'ECN-ECO_DATA'!B:V,19,FALSE))),"")</f>
        <v/>
      </c>
      <c r="O312" s="9" t="str">
        <f>IFERROR((IF(VLOOKUP(A312,'ECN-ECO_DATA'!B:V,20,FALSE)=0/1/1900,"",VLOOKUP(A312,'ECN-ECO_DATA'!B:V,20,FALSE))),"")</f>
        <v/>
      </c>
      <c r="P312" s="9" t="str">
        <f>IFERROR((IF(VLOOKUP(A312,'ECN-ECO_DATA'!B:V,21,FALSE)=0/1/1900,"",VLOOKUP(A312,'ECN-ECO_DATA'!B:V,21,FALSE))),"")</f>
        <v/>
      </c>
      <c r="Q312" s="10" t="str">
        <f t="shared" ca="1" si="20"/>
        <v/>
      </c>
      <c r="R312" s="4" t="str">
        <f t="shared" si="21"/>
        <v/>
      </c>
      <c r="S312" s="4" t="str">
        <f t="shared" si="22"/>
        <v/>
      </c>
      <c r="T312" s="4" t="str">
        <f t="shared" si="23"/>
        <v/>
      </c>
      <c r="U312" s="10" t="str">
        <f t="shared" si="24"/>
        <v/>
      </c>
      <c r="V312" s="4"/>
    </row>
    <row r="313" spans="2:22" x14ac:dyDescent="0.25">
      <c r="B313" s="4" t="str">
        <f>IFERROR(VLOOKUP(A313,'ECN-ECO_DATA'!B:G,4,FALSE),"")</f>
        <v/>
      </c>
      <c r="C313" s="9" t="str">
        <f>IFERROR(VLOOKUP(A313,'ECN-ECO_DATA'!B:G,5,FALSE),"")</f>
        <v/>
      </c>
      <c r="D313" s="9" t="str">
        <f ca="1">IFERROR((IF(VLOOKUP(A313,'ECN-ECO_DATA'!B:G,6,FALSE)=0/1/1900,TODAY(),VLOOKUP(A313,'ECN-ECO_DATA'!B:G,6,FALSE))),"")</f>
        <v/>
      </c>
      <c r="E313" s="9" t="str">
        <f>IFERROR((IF(VLOOKUP(A313,'ECN-ECO_DATA'!B:G,6,FALSE)=0/1/1900,"",VLOOKUP(A313,'ECN-ECO_DATA'!B:G,6,FALSE))),"")</f>
        <v/>
      </c>
      <c r="F313" s="9" t="str">
        <f>IFERROR((IF(VLOOKUP(A313,'ECN-ECO_DATA'!B:J,7,FALSE)=0/1/1900,"",VLOOKUP(A313,'ECN-ECO_DATA'!B:J,7,FALSE))),"")</f>
        <v/>
      </c>
      <c r="G313" s="9" t="str">
        <f>IFERROR((IF(VLOOKUP(A313,'ECN-ECO_DATA'!B:J,8,FALSE)=0/1/1900,"",VLOOKUP(A313,'ECN-ECO_DATA'!B:J,8,FALSE))),"")</f>
        <v/>
      </c>
      <c r="H313" s="9" t="str">
        <f>IFERROR((IF(VLOOKUP(A313,'ECN-ECO_DATA'!B:J,9,FALSE)=0/1/1900,"",VLOOKUP(A313,'ECN-ECO_DATA'!B:J,9,FALSE))),"")</f>
        <v/>
      </c>
      <c r="I313" s="10" t="str">
        <f>IFERROR((IF(VLOOKUP(A313,'ECN-ECO_DATA'!B:Q,13,FALSE)="","",VLOOKUP(A313,'ECN-ECO_DATA'!B:Q,13,FALSE))),"")</f>
        <v/>
      </c>
      <c r="J313" s="10" t="str">
        <f>IFERROR((IF(VLOOKUP(A313,'ECN-ECO_DATA'!B:Q,14,FALSE)="","",VLOOKUP(A313,'ECN-ECO_DATA'!B:Q,14,FALSE))),"")</f>
        <v/>
      </c>
      <c r="K313" s="10" t="str">
        <f>IFERROR((IF(VLOOKUP(A313,'ECN-ECO_DATA'!B:Q,15,FALSE)="","",VLOOKUP(A313,'ECN-ECO_DATA'!B:Q,15,FALSE))),"")</f>
        <v/>
      </c>
      <c r="L313" s="10" t="str">
        <f>IFERROR((IF(VLOOKUP(A313,'ECN-ECO_DATA'!B:Q,16,FALSE)="","",VLOOKUP(A313,'ECN-ECO_DATA'!B:Q,16,FALSE))),"")</f>
        <v/>
      </c>
      <c r="M313" s="9" t="str">
        <f>IFERROR((IF(VLOOKUP(A313,'ECN-ECO_DATA'!B:V,18,FALSE)=0/1/1900,"",VLOOKUP(A313,'ECN-ECO_DATA'!B:V,18,FALSE))),"")</f>
        <v/>
      </c>
      <c r="N313" s="9" t="str">
        <f>IFERROR((IF(VLOOKUP(A313,'ECN-ECO_DATA'!B:V,19,FALSE)=0/1/1900,"",VLOOKUP(A313,'ECN-ECO_DATA'!B:V,19,FALSE))),"")</f>
        <v/>
      </c>
      <c r="O313" s="9" t="str">
        <f>IFERROR((IF(VLOOKUP(A313,'ECN-ECO_DATA'!B:V,20,FALSE)=0/1/1900,"",VLOOKUP(A313,'ECN-ECO_DATA'!B:V,20,FALSE))),"")</f>
        <v/>
      </c>
      <c r="P313" s="9" t="str">
        <f>IFERROR((IF(VLOOKUP(A313,'ECN-ECO_DATA'!B:V,21,FALSE)=0/1/1900,"",VLOOKUP(A313,'ECN-ECO_DATA'!B:V,21,FALSE))),"")</f>
        <v/>
      </c>
      <c r="Q313" s="10" t="str">
        <f t="shared" ca="1" si="20"/>
        <v/>
      </c>
      <c r="R313" s="4" t="str">
        <f t="shared" si="21"/>
        <v/>
      </c>
      <c r="S313" s="4" t="str">
        <f t="shared" si="22"/>
        <v/>
      </c>
      <c r="T313" s="4" t="str">
        <f t="shared" si="23"/>
        <v/>
      </c>
      <c r="U313" s="10" t="str">
        <f t="shared" si="24"/>
        <v/>
      </c>
      <c r="V313" s="4"/>
    </row>
    <row r="314" spans="2:22" x14ac:dyDescent="0.25">
      <c r="B314" s="4" t="str">
        <f>IFERROR(VLOOKUP(A314,'ECN-ECO_DATA'!B:G,4,FALSE),"")</f>
        <v/>
      </c>
      <c r="C314" s="9" t="str">
        <f>IFERROR(VLOOKUP(A314,'ECN-ECO_DATA'!B:G,5,FALSE),"")</f>
        <v/>
      </c>
      <c r="D314" s="9" t="str">
        <f ca="1">IFERROR((IF(VLOOKUP(A314,'ECN-ECO_DATA'!B:G,6,FALSE)=0/1/1900,TODAY(),VLOOKUP(A314,'ECN-ECO_DATA'!B:G,6,FALSE))),"")</f>
        <v/>
      </c>
      <c r="E314" s="9" t="str">
        <f>IFERROR((IF(VLOOKUP(A314,'ECN-ECO_DATA'!B:G,6,FALSE)=0/1/1900,"",VLOOKUP(A314,'ECN-ECO_DATA'!B:G,6,FALSE))),"")</f>
        <v/>
      </c>
      <c r="F314" s="9" t="str">
        <f>IFERROR((IF(VLOOKUP(A314,'ECN-ECO_DATA'!B:J,7,FALSE)=0/1/1900,"",VLOOKUP(A314,'ECN-ECO_DATA'!B:J,7,FALSE))),"")</f>
        <v/>
      </c>
      <c r="G314" s="9" t="str">
        <f>IFERROR((IF(VLOOKUP(A314,'ECN-ECO_DATA'!B:J,8,FALSE)=0/1/1900,"",VLOOKUP(A314,'ECN-ECO_DATA'!B:J,8,FALSE))),"")</f>
        <v/>
      </c>
      <c r="H314" s="9" t="str">
        <f>IFERROR((IF(VLOOKUP(A314,'ECN-ECO_DATA'!B:J,9,FALSE)=0/1/1900,"",VLOOKUP(A314,'ECN-ECO_DATA'!B:J,9,FALSE))),"")</f>
        <v/>
      </c>
      <c r="I314" s="10" t="str">
        <f>IFERROR((IF(VLOOKUP(A314,'ECN-ECO_DATA'!B:Q,13,FALSE)="","",VLOOKUP(A314,'ECN-ECO_DATA'!B:Q,13,FALSE))),"")</f>
        <v/>
      </c>
      <c r="J314" s="10" t="str">
        <f>IFERROR((IF(VLOOKUP(A314,'ECN-ECO_DATA'!B:Q,14,FALSE)="","",VLOOKUP(A314,'ECN-ECO_DATA'!B:Q,14,FALSE))),"")</f>
        <v/>
      </c>
      <c r="K314" s="10" t="str">
        <f>IFERROR((IF(VLOOKUP(A314,'ECN-ECO_DATA'!B:Q,15,FALSE)="","",VLOOKUP(A314,'ECN-ECO_DATA'!B:Q,15,FALSE))),"")</f>
        <v/>
      </c>
      <c r="L314" s="10" t="str">
        <f>IFERROR((IF(VLOOKUP(A314,'ECN-ECO_DATA'!B:Q,16,FALSE)="","",VLOOKUP(A314,'ECN-ECO_DATA'!B:Q,16,FALSE))),"")</f>
        <v/>
      </c>
      <c r="M314" s="9" t="str">
        <f>IFERROR((IF(VLOOKUP(A314,'ECN-ECO_DATA'!B:V,18,FALSE)=0/1/1900,"",VLOOKUP(A314,'ECN-ECO_DATA'!B:V,18,FALSE))),"")</f>
        <v/>
      </c>
      <c r="N314" s="9" t="str">
        <f>IFERROR((IF(VLOOKUP(A314,'ECN-ECO_DATA'!B:V,19,FALSE)=0/1/1900,"",VLOOKUP(A314,'ECN-ECO_DATA'!B:V,19,FALSE))),"")</f>
        <v/>
      </c>
      <c r="O314" s="9" t="str">
        <f>IFERROR((IF(VLOOKUP(A314,'ECN-ECO_DATA'!B:V,20,FALSE)=0/1/1900,"",VLOOKUP(A314,'ECN-ECO_DATA'!B:V,20,FALSE))),"")</f>
        <v/>
      </c>
      <c r="P314" s="9" t="str">
        <f>IFERROR((IF(VLOOKUP(A314,'ECN-ECO_DATA'!B:V,21,FALSE)=0/1/1900,"",VLOOKUP(A314,'ECN-ECO_DATA'!B:V,21,FALSE))),"")</f>
        <v/>
      </c>
      <c r="Q314" s="10" t="str">
        <f t="shared" ca="1" si="20"/>
        <v/>
      </c>
      <c r="R314" s="4" t="str">
        <f t="shared" si="21"/>
        <v/>
      </c>
      <c r="S314" s="4" t="str">
        <f t="shared" si="22"/>
        <v/>
      </c>
      <c r="T314" s="4" t="str">
        <f t="shared" si="23"/>
        <v/>
      </c>
      <c r="U314" s="10" t="str">
        <f t="shared" si="24"/>
        <v/>
      </c>
      <c r="V314" s="4"/>
    </row>
    <row r="315" spans="2:22" x14ac:dyDescent="0.25">
      <c r="B315" s="4" t="str">
        <f>IFERROR(VLOOKUP(A315,'ECN-ECO_DATA'!B:G,4,FALSE),"")</f>
        <v/>
      </c>
      <c r="C315" s="9" t="str">
        <f>IFERROR(VLOOKUP(A315,'ECN-ECO_DATA'!B:G,5,FALSE),"")</f>
        <v/>
      </c>
      <c r="D315" s="9" t="str">
        <f ca="1">IFERROR((IF(VLOOKUP(A315,'ECN-ECO_DATA'!B:G,6,FALSE)=0/1/1900,TODAY(),VLOOKUP(A315,'ECN-ECO_DATA'!B:G,6,FALSE))),"")</f>
        <v/>
      </c>
      <c r="E315" s="9" t="str">
        <f>IFERROR((IF(VLOOKUP(A315,'ECN-ECO_DATA'!B:G,6,FALSE)=0/1/1900,"",VLOOKUP(A315,'ECN-ECO_DATA'!B:G,6,FALSE))),"")</f>
        <v/>
      </c>
      <c r="F315" s="9" t="str">
        <f>IFERROR((IF(VLOOKUP(A315,'ECN-ECO_DATA'!B:J,7,FALSE)=0/1/1900,"",VLOOKUP(A315,'ECN-ECO_DATA'!B:J,7,FALSE))),"")</f>
        <v/>
      </c>
      <c r="G315" s="9" t="str">
        <f>IFERROR((IF(VLOOKUP(A315,'ECN-ECO_DATA'!B:J,8,FALSE)=0/1/1900,"",VLOOKUP(A315,'ECN-ECO_DATA'!B:J,8,FALSE))),"")</f>
        <v/>
      </c>
      <c r="H315" s="9" t="str">
        <f>IFERROR((IF(VLOOKUP(A315,'ECN-ECO_DATA'!B:J,9,FALSE)=0/1/1900,"",VLOOKUP(A315,'ECN-ECO_DATA'!B:J,9,FALSE))),"")</f>
        <v/>
      </c>
      <c r="I315" s="10" t="str">
        <f>IFERROR((IF(VLOOKUP(A315,'ECN-ECO_DATA'!B:Q,13,FALSE)="","",VLOOKUP(A315,'ECN-ECO_DATA'!B:Q,13,FALSE))),"")</f>
        <v/>
      </c>
      <c r="J315" s="10" t="str">
        <f>IFERROR((IF(VLOOKUP(A315,'ECN-ECO_DATA'!B:Q,14,FALSE)="","",VLOOKUP(A315,'ECN-ECO_DATA'!B:Q,14,FALSE))),"")</f>
        <v/>
      </c>
      <c r="K315" s="10" t="str">
        <f>IFERROR((IF(VLOOKUP(A315,'ECN-ECO_DATA'!B:Q,15,FALSE)="","",VLOOKUP(A315,'ECN-ECO_DATA'!B:Q,15,FALSE))),"")</f>
        <v/>
      </c>
      <c r="L315" s="10" t="str">
        <f>IFERROR((IF(VLOOKUP(A315,'ECN-ECO_DATA'!B:Q,16,FALSE)="","",VLOOKUP(A315,'ECN-ECO_DATA'!B:Q,16,FALSE))),"")</f>
        <v/>
      </c>
      <c r="M315" s="9" t="str">
        <f>IFERROR((IF(VLOOKUP(A315,'ECN-ECO_DATA'!B:V,18,FALSE)=0/1/1900,"",VLOOKUP(A315,'ECN-ECO_DATA'!B:V,18,FALSE))),"")</f>
        <v/>
      </c>
      <c r="N315" s="9" t="str">
        <f>IFERROR((IF(VLOOKUP(A315,'ECN-ECO_DATA'!B:V,19,FALSE)=0/1/1900,"",VLOOKUP(A315,'ECN-ECO_DATA'!B:V,19,FALSE))),"")</f>
        <v/>
      </c>
      <c r="O315" s="9" t="str">
        <f>IFERROR((IF(VLOOKUP(A315,'ECN-ECO_DATA'!B:V,20,FALSE)=0/1/1900,"",VLOOKUP(A315,'ECN-ECO_DATA'!B:V,20,FALSE))),"")</f>
        <v/>
      </c>
      <c r="P315" s="9" t="str">
        <f>IFERROR((IF(VLOOKUP(A315,'ECN-ECO_DATA'!B:V,21,FALSE)=0/1/1900,"",VLOOKUP(A315,'ECN-ECO_DATA'!B:V,21,FALSE))),"")</f>
        <v/>
      </c>
      <c r="Q315" s="10" t="str">
        <f t="shared" ca="1" si="20"/>
        <v/>
      </c>
      <c r="R315" s="4" t="str">
        <f t="shared" si="21"/>
        <v/>
      </c>
      <c r="S315" s="4" t="str">
        <f t="shared" si="22"/>
        <v/>
      </c>
      <c r="T315" s="4" t="str">
        <f t="shared" si="23"/>
        <v/>
      </c>
      <c r="U315" s="10" t="str">
        <f t="shared" si="24"/>
        <v/>
      </c>
      <c r="V315" s="4"/>
    </row>
    <row r="316" spans="2:22" x14ac:dyDescent="0.25">
      <c r="B316" s="4" t="str">
        <f>IFERROR(VLOOKUP(A316,'ECN-ECO_DATA'!B:G,4,FALSE),"")</f>
        <v/>
      </c>
      <c r="C316" s="9" t="str">
        <f>IFERROR(VLOOKUP(A316,'ECN-ECO_DATA'!B:G,5,FALSE),"")</f>
        <v/>
      </c>
      <c r="D316" s="9" t="str">
        <f ca="1">IFERROR((IF(VLOOKUP(A316,'ECN-ECO_DATA'!B:G,6,FALSE)=0/1/1900,TODAY(),VLOOKUP(A316,'ECN-ECO_DATA'!B:G,6,FALSE))),"")</f>
        <v/>
      </c>
      <c r="E316" s="9" t="str">
        <f>IFERROR((IF(VLOOKUP(A316,'ECN-ECO_DATA'!B:G,6,FALSE)=0/1/1900,"",VLOOKUP(A316,'ECN-ECO_DATA'!B:G,6,FALSE))),"")</f>
        <v/>
      </c>
      <c r="F316" s="9" t="str">
        <f>IFERROR((IF(VLOOKUP(A316,'ECN-ECO_DATA'!B:J,7,FALSE)=0/1/1900,"",VLOOKUP(A316,'ECN-ECO_DATA'!B:J,7,FALSE))),"")</f>
        <v/>
      </c>
      <c r="G316" s="9" t="str">
        <f>IFERROR((IF(VLOOKUP(A316,'ECN-ECO_DATA'!B:J,8,FALSE)=0/1/1900,"",VLOOKUP(A316,'ECN-ECO_DATA'!B:J,8,FALSE))),"")</f>
        <v/>
      </c>
      <c r="H316" s="9" t="str">
        <f>IFERROR((IF(VLOOKUP(A316,'ECN-ECO_DATA'!B:J,9,FALSE)=0/1/1900,"",VLOOKUP(A316,'ECN-ECO_DATA'!B:J,9,FALSE))),"")</f>
        <v/>
      </c>
      <c r="I316" s="10" t="str">
        <f>IFERROR((IF(VLOOKUP(A316,'ECN-ECO_DATA'!B:Q,13,FALSE)="","",VLOOKUP(A316,'ECN-ECO_DATA'!B:Q,13,FALSE))),"")</f>
        <v/>
      </c>
      <c r="J316" s="10" t="str">
        <f>IFERROR((IF(VLOOKUP(A316,'ECN-ECO_DATA'!B:Q,14,FALSE)="","",VLOOKUP(A316,'ECN-ECO_DATA'!B:Q,14,FALSE))),"")</f>
        <v/>
      </c>
      <c r="K316" s="10" t="str">
        <f>IFERROR((IF(VLOOKUP(A316,'ECN-ECO_DATA'!B:Q,15,FALSE)="","",VLOOKUP(A316,'ECN-ECO_DATA'!B:Q,15,FALSE))),"")</f>
        <v/>
      </c>
      <c r="L316" s="10" t="str">
        <f>IFERROR((IF(VLOOKUP(A316,'ECN-ECO_DATA'!B:Q,16,FALSE)="","",VLOOKUP(A316,'ECN-ECO_DATA'!B:Q,16,FALSE))),"")</f>
        <v/>
      </c>
      <c r="M316" s="9" t="str">
        <f>IFERROR((IF(VLOOKUP(A316,'ECN-ECO_DATA'!B:V,18,FALSE)=0/1/1900,"",VLOOKUP(A316,'ECN-ECO_DATA'!B:V,18,FALSE))),"")</f>
        <v/>
      </c>
      <c r="N316" s="9" t="str">
        <f>IFERROR((IF(VLOOKUP(A316,'ECN-ECO_DATA'!B:V,19,FALSE)=0/1/1900,"",VLOOKUP(A316,'ECN-ECO_DATA'!B:V,19,FALSE))),"")</f>
        <v/>
      </c>
      <c r="O316" s="9" t="str">
        <f>IFERROR((IF(VLOOKUP(A316,'ECN-ECO_DATA'!B:V,20,FALSE)=0/1/1900,"",VLOOKUP(A316,'ECN-ECO_DATA'!B:V,20,FALSE))),"")</f>
        <v/>
      </c>
      <c r="P316" s="9" t="str">
        <f>IFERROR((IF(VLOOKUP(A316,'ECN-ECO_DATA'!B:V,21,FALSE)=0/1/1900,"",VLOOKUP(A316,'ECN-ECO_DATA'!B:V,21,FALSE))),"")</f>
        <v/>
      </c>
      <c r="Q316" s="10" t="str">
        <f t="shared" ca="1" si="20"/>
        <v/>
      </c>
      <c r="R316" s="4" t="str">
        <f t="shared" si="21"/>
        <v/>
      </c>
      <c r="S316" s="4" t="str">
        <f t="shared" si="22"/>
        <v/>
      </c>
      <c r="T316" s="4" t="str">
        <f t="shared" si="23"/>
        <v/>
      </c>
      <c r="U316" s="10" t="str">
        <f t="shared" si="24"/>
        <v/>
      </c>
      <c r="V316" s="4"/>
    </row>
    <row r="317" spans="2:22" x14ac:dyDescent="0.25">
      <c r="B317" s="4" t="str">
        <f>IFERROR(VLOOKUP(A317,'ECN-ECO_DATA'!B:G,4,FALSE),"")</f>
        <v/>
      </c>
      <c r="C317" s="9" t="str">
        <f>IFERROR(VLOOKUP(A317,'ECN-ECO_DATA'!B:G,5,FALSE),"")</f>
        <v/>
      </c>
      <c r="D317" s="9" t="str">
        <f ca="1">IFERROR((IF(VLOOKUP(A317,'ECN-ECO_DATA'!B:G,6,FALSE)=0/1/1900,TODAY(),VLOOKUP(A317,'ECN-ECO_DATA'!B:G,6,FALSE))),"")</f>
        <v/>
      </c>
      <c r="E317" s="9" t="str">
        <f>IFERROR((IF(VLOOKUP(A317,'ECN-ECO_DATA'!B:G,6,FALSE)=0/1/1900,"",VLOOKUP(A317,'ECN-ECO_DATA'!B:G,6,FALSE))),"")</f>
        <v/>
      </c>
      <c r="F317" s="9" t="str">
        <f>IFERROR((IF(VLOOKUP(A317,'ECN-ECO_DATA'!B:J,7,FALSE)=0/1/1900,"",VLOOKUP(A317,'ECN-ECO_DATA'!B:J,7,FALSE))),"")</f>
        <v/>
      </c>
      <c r="G317" s="9" t="str">
        <f>IFERROR((IF(VLOOKUP(A317,'ECN-ECO_DATA'!B:J,8,FALSE)=0/1/1900,"",VLOOKUP(A317,'ECN-ECO_DATA'!B:J,8,FALSE))),"")</f>
        <v/>
      </c>
      <c r="H317" s="9" t="str">
        <f>IFERROR((IF(VLOOKUP(A317,'ECN-ECO_DATA'!B:J,9,FALSE)=0/1/1900,"",VLOOKUP(A317,'ECN-ECO_DATA'!B:J,9,FALSE))),"")</f>
        <v/>
      </c>
      <c r="I317" s="10" t="str">
        <f>IFERROR((IF(VLOOKUP(A317,'ECN-ECO_DATA'!B:Q,13,FALSE)="","",VLOOKUP(A317,'ECN-ECO_DATA'!B:Q,13,FALSE))),"")</f>
        <v/>
      </c>
      <c r="J317" s="10" t="str">
        <f>IFERROR((IF(VLOOKUP(A317,'ECN-ECO_DATA'!B:Q,14,FALSE)="","",VLOOKUP(A317,'ECN-ECO_DATA'!B:Q,14,FALSE))),"")</f>
        <v/>
      </c>
      <c r="K317" s="10" t="str">
        <f>IFERROR((IF(VLOOKUP(A317,'ECN-ECO_DATA'!B:Q,15,FALSE)="","",VLOOKUP(A317,'ECN-ECO_DATA'!B:Q,15,FALSE))),"")</f>
        <v/>
      </c>
      <c r="L317" s="10" t="str">
        <f>IFERROR((IF(VLOOKUP(A317,'ECN-ECO_DATA'!B:Q,16,FALSE)="","",VLOOKUP(A317,'ECN-ECO_DATA'!B:Q,16,FALSE))),"")</f>
        <v/>
      </c>
      <c r="M317" s="9" t="str">
        <f>IFERROR((IF(VLOOKUP(A317,'ECN-ECO_DATA'!B:V,18,FALSE)=0/1/1900,"",VLOOKUP(A317,'ECN-ECO_DATA'!B:V,18,FALSE))),"")</f>
        <v/>
      </c>
      <c r="N317" s="9" t="str">
        <f>IFERROR((IF(VLOOKUP(A317,'ECN-ECO_DATA'!B:V,19,FALSE)=0/1/1900,"",VLOOKUP(A317,'ECN-ECO_DATA'!B:V,19,FALSE))),"")</f>
        <v/>
      </c>
      <c r="O317" s="9" t="str">
        <f>IFERROR((IF(VLOOKUP(A317,'ECN-ECO_DATA'!B:V,20,FALSE)=0/1/1900,"",VLOOKUP(A317,'ECN-ECO_DATA'!B:V,20,FALSE))),"")</f>
        <v/>
      </c>
      <c r="P317" s="9" t="str">
        <f>IFERROR((IF(VLOOKUP(A317,'ECN-ECO_DATA'!B:V,21,FALSE)=0/1/1900,"",VLOOKUP(A317,'ECN-ECO_DATA'!B:V,21,FALSE))),"")</f>
        <v/>
      </c>
      <c r="Q317" s="10" t="str">
        <f t="shared" ca="1" si="20"/>
        <v/>
      </c>
      <c r="R317" s="4" t="str">
        <f t="shared" si="21"/>
        <v/>
      </c>
      <c r="S317" s="4" t="str">
        <f t="shared" si="22"/>
        <v/>
      </c>
      <c r="T317" s="4" t="str">
        <f t="shared" si="23"/>
        <v/>
      </c>
      <c r="U317" s="10" t="str">
        <f t="shared" si="24"/>
        <v/>
      </c>
      <c r="V317" s="4"/>
    </row>
    <row r="318" spans="2:22" x14ac:dyDescent="0.25">
      <c r="B318" s="4" t="str">
        <f>IFERROR(VLOOKUP(A318,'ECN-ECO_DATA'!B:G,4,FALSE),"")</f>
        <v/>
      </c>
      <c r="C318" s="9" t="str">
        <f>IFERROR(VLOOKUP(A318,'ECN-ECO_DATA'!B:G,5,FALSE),"")</f>
        <v/>
      </c>
      <c r="D318" s="9" t="str">
        <f ca="1">IFERROR((IF(VLOOKUP(A318,'ECN-ECO_DATA'!B:G,6,FALSE)=0/1/1900,TODAY(),VLOOKUP(A318,'ECN-ECO_DATA'!B:G,6,FALSE))),"")</f>
        <v/>
      </c>
      <c r="E318" s="9" t="str">
        <f>IFERROR((IF(VLOOKUP(A318,'ECN-ECO_DATA'!B:G,6,FALSE)=0/1/1900,"",VLOOKUP(A318,'ECN-ECO_DATA'!B:G,6,FALSE))),"")</f>
        <v/>
      </c>
      <c r="F318" s="9" t="str">
        <f>IFERROR((IF(VLOOKUP(A318,'ECN-ECO_DATA'!B:J,7,FALSE)=0/1/1900,"",VLOOKUP(A318,'ECN-ECO_DATA'!B:J,7,FALSE))),"")</f>
        <v/>
      </c>
      <c r="G318" s="9" t="str">
        <f>IFERROR((IF(VLOOKUP(A318,'ECN-ECO_DATA'!B:J,8,FALSE)=0/1/1900,"",VLOOKUP(A318,'ECN-ECO_DATA'!B:J,8,FALSE))),"")</f>
        <v/>
      </c>
      <c r="H318" s="9" t="str">
        <f>IFERROR((IF(VLOOKUP(A318,'ECN-ECO_DATA'!B:J,9,FALSE)=0/1/1900,"",VLOOKUP(A318,'ECN-ECO_DATA'!B:J,9,FALSE))),"")</f>
        <v/>
      </c>
      <c r="I318" s="10" t="str">
        <f>IFERROR((IF(VLOOKUP(A318,'ECN-ECO_DATA'!B:Q,13,FALSE)="","",VLOOKUP(A318,'ECN-ECO_DATA'!B:Q,13,FALSE))),"")</f>
        <v/>
      </c>
      <c r="J318" s="10" t="str">
        <f>IFERROR((IF(VLOOKUP(A318,'ECN-ECO_DATA'!B:Q,14,FALSE)="","",VLOOKUP(A318,'ECN-ECO_DATA'!B:Q,14,FALSE))),"")</f>
        <v/>
      </c>
      <c r="K318" s="10" t="str">
        <f>IFERROR((IF(VLOOKUP(A318,'ECN-ECO_DATA'!B:Q,15,FALSE)="","",VLOOKUP(A318,'ECN-ECO_DATA'!B:Q,15,FALSE))),"")</f>
        <v/>
      </c>
      <c r="L318" s="10" t="str">
        <f>IFERROR((IF(VLOOKUP(A318,'ECN-ECO_DATA'!B:Q,16,FALSE)="","",VLOOKUP(A318,'ECN-ECO_DATA'!B:Q,16,FALSE))),"")</f>
        <v/>
      </c>
      <c r="M318" s="9" t="str">
        <f>IFERROR((IF(VLOOKUP(A318,'ECN-ECO_DATA'!B:V,18,FALSE)=0/1/1900,"",VLOOKUP(A318,'ECN-ECO_DATA'!B:V,18,FALSE))),"")</f>
        <v/>
      </c>
      <c r="N318" s="9" t="str">
        <f>IFERROR((IF(VLOOKUP(A318,'ECN-ECO_DATA'!B:V,19,FALSE)=0/1/1900,"",VLOOKUP(A318,'ECN-ECO_DATA'!B:V,19,FALSE))),"")</f>
        <v/>
      </c>
      <c r="O318" s="9" t="str">
        <f>IFERROR((IF(VLOOKUP(A318,'ECN-ECO_DATA'!B:V,20,FALSE)=0/1/1900,"",VLOOKUP(A318,'ECN-ECO_DATA'!B:V,20,FALSE))),"")</f>
        <v/>
      </c>
      <c r="P318" s="9" t="str">
        <f>IFERROR((IF(VLOOKUP(A318,'ECN-ECO_DATA'!B:V,21,FALSE)=0/1/1900,"",VLOOKUP(A318,'ECN-ECO_DATA'!B:V,21,FALSE))),"")</f>
        <v/>
      </c>
      <c r="Q318" s="10" t="str">
        <f t="shared" ca="1" si="20"/>
        <v/>
      </c>
      <c r="R318" s="4" t="str">
        <f t="shared" si="21"/>
        <v/>
      </c>
      <c r="S318" s="4" t="str">
        <f t="shared" si="22"/>
        <v/>
      </c>
      <c r="T318" s="4" t="str">
        <f t="shared" si="23"/>
        <v/>
      </c>
      <c r="U318" s="10" t="str">
        <f t="shared" si="24"/>
        <v/>
      </c>
      <c r="V318" s="4"/>
    </row>
    <row r="319" spans="2:22" x14ac:dyDescent="0.25">
      <c r="B319" s="4" t="str">
        <f>IFERROR(VLOOKUP(A319,'ECN-ECO_DATA'!B:G,4,FALSE),"")</f>
        <v/>
      </c>
      <c r="C319" s="9" t="str">
        <f>IFERROR(VLOOKUP(A319,'ECN-ECO_DATA'!B:G,5,FALSE),"")</f>
        <v/>
      </c>
      <c r="D319" s="9" t="str">
        <f ca="1">IFERROR((IF(VLOOKUP(A319,'ECN-ECO_DATA'!B:G,6,FALSE)=0/1/1900,TODAY(),VLOOKUP(A319,'ECN-ECO_DATA'!B:G,6,FALSE))),"")</f>
        <v/>
      </c>
      <c r="E319" s="9" t="str">
        <f>IFERROR((IF(VLOOKUP(A319,'ECN-ECO_DATA'!B:G,6,FALSE)=0/1/1900,"",VLOOKUP(A319,'ECN-ECO_DATA'!B:G,6,FALSE))),"")</f>
        <v/>
      </c>
      <c r="F319" s="9" t="str">
        <f>IFERROR((IF(VLOOKUP(A319,'ECN-ECO_DATA'!B:J,7,FALSE)=0/1/1900,"",VLOOKUP(A319,'ECN-ECO_DATA'!B:J,7,FALSE))),"")</f>
        <v/>
      </c>
      <c r="G319" s="9" t="str">
        <f>IFERROR((IF(VLOOKUP(A319,'ECN-ECO_DATA'!B:J,8,FALSE)=0/1/1900,"",VLOOKUP(A319,'ECN-ECO_DATA'!B:J,8,FALSE))),"")</f>
        <v/>
      </c>
      <c r="H319" s="9" t="str">
        <f>IFERROR((IF(VLOOKUP(A319,'ECN-ECO_DATA'!B:J,9,FALSE)=0/1/1900,"",VLOOKUP(A319,'ECN-ECO_DATA'!B:J,9,FALSE))),"")</f>
        <v/>
      </c>
      <c r="I319" s="10" t="str">
        <f>IFERROR((IF(VLOOKUP(A319,'ECN-ECO_DATA'!B:Q,13,FALSE)="","",VLOOKUP(A319,'ECN-ECO_DATA'!B:Q,13,FALSE))),"")</f>
        <v/>
      </c>
      <c r="J319" s="10" t="str">
        <f>IFERROR((IF(VLOOKUP(A319,'ECN-ECO_DATA'!B:Q,14,FALSE)="","",VLOOKUP(A319,'ECN-ECO_DATA'!B:Q,14,FALSE))),"")</f>
        <v/>
      </c>
      <c r="K319" s="10" t="str">
        <f>IFERROR((IF(VLOOKUP(A319,'ECN-ECO_DATA'!B:Q,15,FALSE)="","",VLOOKUP(A319,'ECN-ECO_DATA'!B:Q,15,FALSE))),"")</f>
        <v/>
      </c>
      <c r="L319" s="10" t="str">
        <f>IFERROR((IF(VLOOKUP(A319,'ECN-ECO_DATA'!B:Q,16,FALSE)="","",VLOOKUP(A319,'ECN-ECO_DATA'!B:Q,16,FALSE))),"")</f>
        <v/>
      </c>
      <c r="M319" s="9" t="str">
        <f>IFERROR((IF(VLOOKUP(A319,'ECN-ECO_DATA'!B:V,18,FALSE)=0/1/1900,"",VLOOKUP(A319,'ECN-ECO_DATA'!B:V,18,FALSE))),"")</f>
        <v/>
      </c>
      <c r="N319" s="9" t="str">
        <f>IFERROR((IF(VLOOKUP(A319,'ECN-ECO_DATA'!B:V,19,FALSE)=0/1/1900,"",VLOOKUP(A319,'ECN-ECO_DATA'!B:V,19,FALSE))),"")</f>
        <v/>
      </c>
      <c r="O319" s="9" t="str">
        <f>IFERROR((IF(VLOOKUP(A319,'ECN-ECO_DATA'!B:V,20,FALSE)=0/1/1900,"",VLOOKUP(A319,'ECN-ECO_DATA'!B:V,20,FALSE))),"")</f>
        <v/>
      </c>
      <c r="P319" s="9" t="str">
        <f>IFERROR((IF(VLOOKUP(A319,'ECN-ECO_DATA'!B:V,21,FALSE)=0/1/1900,"",VLOOKUP(A319,'ECN-ECO_DATA'!B:V,21,FALSE))),"")</f>
        <v/>
      </c>
      <c r="Q319" s="10" t="str">
        <f t="shared" ca="1" si="20"/>
        <v/>
      </c>
      <c r="R319" s="4" t="str">
        <f t="shared" si="21"/>
        <v/>
      </c>
      <c r="S319" s="4" t="str">
        <f t="shared" si="22"/>
        <v/>
      </c>
      <c r="T319" s="4" t="str">
        <f t="shared" si="23"/>
        <v/>
      </c>
      <c r="U319" s="10" t="str">
        <f t="shared" si="24"/>
        <v/>
      </c>
      <c r="V319" s="4"/>
    </row>
    <row r="320" spans="2:22" x14ac:dyDescent="0.25">
      <c r="B320" s="4" t="str">
        <f>IFERROR(VLOOKUP(A320,'ECN-ECO_DATA'!B:G,4,FALSE),"")</f>
        <v/>
      </c>
      <c r="C320" s="9" t="str">
        <f>IFERROR(VLOOKUP(A320,'ECN-ECO_DATA'!B:G,5,FALSE),"")</f>
        <v/>
      </c>
      <c r="D320" s="9" t="str">
        <f ca="1">IFERROR((IF(VLOOKUP(A320,'ECN-ECO_DATA'!B:G,6,FALSE)=0/1/1900,TODAY(),VLOOKUP(A320,'ECN-ECO_DATA'!B:G,6,FALSE))),"")</f>
        <v/>
      </c>
      <c r="E320" s="9" t="str">
        <f>IFERROR((IF(VLOOKUP(A320,'ECN-ECO_DATA'!B:G,6,FALSE)=0/1/1900,"",VLOOKUP(A320,'ECN-ECO_DATA'!B:G,6,FALSE))),"")</f>
        <v/>
      </c>
      <c r="F320" s="9" t="str">
        <f>IFERROR((IF(VLOOKUP(A320,'ECN-ECO_DATA'!B:J,7,FALSE)=0/1/1900,"",VLOOKUP(A320,'ECN-ECO_DATA'!B:J,7,FALSE))),"")</f>
        <v/>
      </c>
      <c r="G320" s="9" t="str">
        <f>IFERROR((IF(VLOOKUP(A320,'ECN-ECO_DATA'!B:J,8,FALSE)=0/1/1900,"",VLOOKUP(A320,'ECN-ECO_DATA'!B:J,8,FALSE))),"")</f>
        <v/>
      </c>
      <c r="H320" s="9" t="str">
        <f>IFERROR((IF(VLOOKUP(A320,'ECN-ECO_DATA'!B:J,9,FALSE)=0/1/1900,"",VLOOKUP(A320,'ECN-ECO_DATA'!B:J,9,FALSE))),"")</f>
        <v/>
      </c>
      <c r="I320" s="10" t="str">
        <f>IFERROR((IF(VLOOKUP(A320,'ECN-ECO_DATA'!B:Q,13,FALSE)="","",VLOOKUP(A320,'ECN-ECO_DATA'!B:Q,13,FALSE))),"")</f>
        <v/>
      </c>
      <c r="J320" s="10" t="str">
        <f>IFERROR((IF(VLOOKUP(A320,'ECN-ECO_DATA'!B:Q,14,FALSE)="","",VLOOKUP(A320,'ECN-ECO_DATA'!B:Q,14,FALSE))),"")</f>
        <v/>
      </c>
      <c r="K320" s="10" t="str">
        <f>IFERROR((IF(VLOOKUP(A320,'ECN-ECO_DATA'!B:Q,15,FALSE)="","",VLOOKUP(A320,'ECN-ECO_DATA'!B:Q,15,FALSE))),"")</f>
        <v/>
      </c>
      <c r="L320" s="10" t="str">
        <f>IFERROR((IF(VLOOKUP(A320,'ECN-ECO_DATA'!B:Q,16,FALSE)="","",VLOOKUP(A320,'ECN-ECO_DATA'!B:Q,16,FALSE))),"")</f>
        <v/>
      </c>
      <c r="M320" s="9" t="str">
        <f>IFERROR((IF(VLOOKUP(A320,'ECN-ECO_DATA'!B:V,18,FALSE)=0/1/1900,"",VLOOKUP(A320,'ECN-ECO_DATA'!B:V,18,FALSE))),"")</f>
        <v/>
      </c>
      <c r="N320" s="9" t="str">
        <f>IFERROR((IF(VLOOKUP(A320,'ECN-ECO_DATA'!B:V,19,FALSE)=0/1/1900,"",VLOOKUP(A320,'ECN-ECO_DATA'!B:V,19,FALSE))),"")</f>
        <v/>
      </c>
      <c r="O320" s="9" t="str">
        <f>IFERROR((IF(VLOOKUP(A320,'ECN-ECO_DATA'!B:V,20,FALSE)=0/1/1900,"",VLOOKUP(A320,'ECN-ECO_DATA'!B:V,20,FALSE))),"")</f>
        <v/>
      </c>
      <c r="P320" s="9" t="str">
        <f>IFERROR((IF(VLOOKUP(A320,'ECN-ECO_DATA'!B:V,21,FALSE)=0/1/1900,"",VLOOKUP(A320,'ECN-ECO_DATA'!B:V,21,FALSE))),"")</f>
        <v/>
      </c>
      <c r="Q320" s="10" t="str">
        <f t="shared" ca="1" si="20"/>
        <v/>
      </c>
      <c r="R320" s="4" t="str">
        <f t="shared" si="21"/>
        <v/>
      </c>
      <c r="S320" s="4" t="str">
        <f t="shared" si="22"/>
        <v/>
      </c>
      <c r="T320" s="4" t="str">
        <f t="shared" si="23"/>
        <v/>
      </c>
      <c r="U320" s="10" t="str">
        <f t="shared" si="24"/>
        <v/>
      </c>
      <c r="V320" s="4"/>
    </row>
    <row r="321" spans="2:22" x14ac:dyDescent="0.25">
      <c r="B321" s="4" t="str">
        <f>IFERROR(VLOOKUP(A321,'ECN-ECO_DATA'!B:G,4,FALSE),"")</f>
        <v/>
      </c>
      <c r="C321" s="9" t="str">
        <f>IFERROR(VLOOKUP(A321,'ECN-ECO_DATA'!B:G,5,FALSE),"")</f>
        <v/>
      </c>
      <c r="D321" s="9" t="str">
        <f ca="1">IFERROR((IF(VLOOKUP(A321,'ECN-ECO_DATA'!B:G,6,FALSE)=0/1/1900,TODAY(),VLOOKUP(A321,'ECN-ECO_DATA'!B:G,6,FALSE))),"")</f>
        <v/>
      </c>
      <c r="E321" s="9" t="str">
        <f>IFERROR((IF(VLOOKUP(A321,'ECN-ECO_DATA'!B:G,6,FALSE)=0/1/1900,"",VLOOKUP(A321,'ECN-ECO_DATA'!B:G,6,FALSE))),"")</f>
        <v/>
      </c>
      <c r="F321" s="9" t="str">
        <f>IFERROR((IF(VLOOKUP(A321,'ECN-ECO_DATA'!B:J,7,FALSE)=0/1/1900,"",VLOOKUP(A321,'ECN-ECO_DATA'!B:J,7,FALSE))),"")</f>
        <v/>
      </c>
      <c r="G321" s="9" t="str">
        <f>IFERROR((IF(VLOOKUP(A321,'ECN-ECO_DATA'!B:J,8,FALSE)=0/1/1900,"",VLOOKUP(A321,'ECN-ECO_DATA'!B:J,8,FALSE))),"")</f>
        <v/>
      </c>
      <c r="H321" s="9" t="str">
        <f>IFERROR((IF(VLOOKUP(A321,'ECN-ECO_DATA'!B:J,9,FALSE)=0/1/1900,"",VLOOKUP(A321,'ECN-ECO_DATA'!B:J,9,FALSE))),"")</f>
        <v/>
      </c>
      <c r="I321" s="10" t="str">
        <f>IFERROR((IF(VLOOKUP(A321,'ECN-ECO_DATA'!B:Q,13,FALSE)="","",VLOOKUP(A321,'ECN-ECO_DATA'!B:Q,13,FALSE))),"")</f>
        <v/>
      </c>
      <c r="J321" s="10" t="str">
        <f>IFERROR((IF(VLOOKUP(A321,'ECN-ECO_DATA'!B:Q,14,FALSE)="","",VLOOKUP(A321,'ECN-ECO_DATA'!B:Q,14,FALSE))),"")</f>
        <v/>
      </c>
      <c r="K321" s="10" t="str">
        <f>IFERROR((IF(VLOOKUP(A321,'ECN-ECO_DATA'!B:Q,15,FALSE)="","",VLOOKUP(A321,'ECN-ECO_DATA'!B:Q,15,FALSE))),"")</f>
        <v/>
      </c>
      <c r="L321" s="10" t="str">
        <f>IFERROR((IF(VLOOKUP(A321,'ECN-ECO_DATA'!B:Q,16,FALSE)="","",VLOOKUP(A321,'ECN-ECO_DATA'!B:Q,16,FALSE))),"")</f>
        <v/>
      </c>
      <c r="M321" s="9" t="str">
        <f>IFERROR((IF(VLOOKUP(A321,'ECN-ECO_DATA'!B:V,18,FALSE)=0/1/1900,"",VLOOKUP(A321,'ECN-ECO_DATA'!B:V,18,FALSE))),"")</f>
        <v/>
      </c>
      <c r="N321" s="9" t="str">
        <f>IFERROR((IF(VLOOKUP(A321,'ECN-ECO_DATA'!B:V,19,FALSE)=0/1/1900,"",VLOOKUP(A321,'ECN-ECO_DATA'!B:V,19,FALSE))),"")</f>
        <v/>
      </c>
      <c r="O321" s="9" t="str">
        <f>IFERROR((IF(VLOOKUP(A321,'ECN-ECO_DATA'!B:V,20,FALSE)=0/1/1900,"",VLOOKUP(A321,'ECN-ECO_DATA'!B:V,20,FALSE))),"")</f>
        <v/>
      </c>
      <c r="P321" s="9" t="str">
        <f>IFERROR((IF(VLOOKUP(A321,'ECN-ECO_DATA'!B:V,21,FALSE)=0/1/1900,"",VLOOKUP(A321,'ECN-ECO_DATA'!B:V,21,FALSE))),"")</f>
        <v/>
      </c>
      <c r="Q321" s="10" t="str">
        <f t="shared" ca="1" si="20"/>
        <v/>
      </c>
      <c r="R321" s="4" t="str">
        <f t="shared" si="21"/>
        <v/>
      </c>
      <c r="S321" s="4" t="str">
        <f t="shared" si="22"/>
        <v/>
      </c>
      <c r="T321" s="4" t="str">
        <f t="shared" si="23"/>
        <v/>
      </c>
      <c r="U321" s="10" t="str">
        <f t="shared" si="24"/>
        <v/>
      </c>
      <c r="V321" s="4"/>
    </row>
    <row r="322" spans="2:22" x14ac:dyDescent="0.25">
      <c r="B322" s="4" t="str">
        <f>IFERROR(VLOOKUP(A322,'ECN-ECO_DATA'!B:G,4,FALSE),"")</f>
        <v/>
      </c>
      <c r="C322" s="9" t="str">
        <f>IFERROR(VLOOKUP(A322,'ECN-ECO_DATA'!B:G,5,FALSE),"")</f>
        <v/>
      </c>
      <c r="D322" s="9" t="str">
        <f ca="1">IFERROR((IF(VLOOKUP(A322,'ECN-ECO_DATA'!B:G,6,FALSE)=0/1/1900,TODAY(),VLOOKUP(A322,'ECN-ECO_DATA'!B:G,6,FALSE))),"")</f>
        <v/>
      </c>
      <c r="E322" s="9" t="str">
        <f>IFERROR((IF(VLOOKUP(A322,'ECN-ECO_DATA'!B:G,6,FALSE)=0/1/1900,"",VLOOKUP(A322,'ECN-ECO_DATA'!B:G,6,FALSE))),"")</f>
        <v/>
      </c>
      <c r="F322" s="9" t="str">
        <f>IFERROR((IF(VLOOKUP(A322,'ECN-ECO_DATA'!B:J,7,FALSE)=0/1/1900,"",VLOOKUP(A322,'ECN-ECO_DATA'!B:J,7,FALSE))),"")</f>
        <v/>
      </c>
      <c r="G322" s="9" t="str">
        <f>IFERROR((IF(VLOOKUP(A322,'ECN-ECO_DATA'!B:J,8,FALSE)=0/1/1900,"",VLOOKUP(A322,'ECN-ECO_DATA'!B:J,8,FALSE))),"")</f>
        <v/>
      </c>
      <c r="H322" s="9" t="str">
        <f>IFERROR((IF(VLOOKUP(A322,'ECN-ECO_DATA'!B:J,9,FALSE)=0/1/1900,"",VLOOKUP(A322,'ECN-ECO_DATA'!B:J,9,FALSE))),"")</f>
        <v/>
      </c>
      <c r="I322" s="10" t="str">
        <f>IFERROR((IF(VLOOKUP(A322,'ECN-ECO_DATA'!B:Q,13,FALSE)="","",VLOOKUP(A322,'ECN-ECO_DATA'!B:Q,13,FALSE))),"")</f>
        <v/>
      </c>
      <c r="J322" s="10" t="str">
        <f>IFERROR((IF(VLOOKUP(A322,'ECN-ECO_DATA'!B:Q,14,FALSE)="","",VLOOKUP(A322,'ECN-ECO_DATA'!B:Q,14,FALSE))),"")</f>
        <v/>
      </c>
      <c r="K322" s="10" t="str">
        <f>IFERROR((IF(VLOOKUP(A322,'ECN-ECO_DATA'!B:Q,15,FALSE)="","",VLOOKUP(A322,'ECN-ECO_DATA'!B:Q,15,FALSE))),"")</f>
        <v/>
      </c>
      <c r="L322" s="10" t="str">
        <f>IFERROR((IF(VLOOKUP(A322,'ECN-ECO_DATA'!B:Q,16,FALSE)="","",VLOOKUP(A322,'ECN-ECO_DATA'!B:Q,16,FALSE))),"")</f>
        <v/>
      </c>
      <c r="M322" s="9" t="str">
        <f>IFERROR((IF(VLOOKUP(A322,'ECN-ECO_DATA'!B:V,18,FALSE)=0/1/1900,"",VLOOKUP(A322,'ECN-ECO_DATA'!B:V,18,FALSE))),"")</f>
        <v/>
      </c>
      <c r="N322" s="9" t="str">
        <f>IFERROR((IF(VLOOKUP(A322,'ECN-ECO_DATA'!B:V,19,FALSE)=0/1/1900,"",VLOOKUP(A322,'ECN-ECO_DATA'!B:V,19,FALSE))),"")</f>
        <v/>
      </c>
      <c r="O322" s="9" t="str">
        <f>IFERROR((IF(VLOOKUP(A322,'ECN-ECO_DATA'!B:V,20,FALSE)=0/1/1900,"",VLOOKUP(A322,'ECN-ECO_DATA'!B:V,20,FALSE))),"")</f>
        <v/>
      </c>
      <c r="P322" s="9" t="str">
        <f>IFERROR((IF(VLOOKUP(A322,'ECN-ECO_DATA'!B:V,21,FALSE)=0/1/1900,"",VLOOKUP(A322,'ECN-ECO_DATA'!B:V,21,FALSE))),"")</f>
        <v/>
      </c>
      <c r="Q322" s="10" t="str">
        <f t="shared" ca="1" si="20"/>
        <v/>
      </c>
      <c r="R322" s="4" t="str">
        <f t="shared" si="21"/>
        <v/>
      </c>
      <c r="S322" s="4" t="str">
        <f t="shared" si="22"/>
        <v/>
      </c>
      <c r="T322" s="4" t="str">
        <f t="shared" si="23"/>
        <v/>
      </c>
      <c r="U322" s="10" t="str">
        <f t="shared" si="24"/>
        <v/>
      </c>
      <c r="V322" s="4"/>
    </row>
    <row r="323" spans="2:22" x14ac:dyDescent="0.25">
      <c r="B323" s="4" t="str">
        <f>IFERROR(VLOOKUP(A323,'ECN-ECO_DATA'!B:G,4,FALSE),"")</f>
        <v/>
      </c>
      <c r="C323" s="9" t="str">
        <f>IFERROR(VLOOKUP(A323,'ECN-ECO_DATA'!B:G,5,FALSE),"")</f>
        <v/>
      </c>
      <c r="D323" s="9" t="str">
        <f ca="1">IFERROR((IF(VLOOKUP(A323,'ECN-ECO_DATA'!B:G,6,FALSE)=0/1/1900,TODAY(),VLOOKUP(A323,'ECN-ECO_DATA'!B:G,6,FALSE))),"")</f>
        <v/>
      </c>
      <c r="E323" s="9" t="str">
        <f>IFERROR((IF(VLOOKUP(A323,'ECN-ECO_DATA'!B:G,6,FALSE)=0/1/1900,"",VLOOKUP(A323,'ECN-ECO_DATA'!B:G,6,FALSE))),"")</f>
        <v/>
      </c>
      <c r="F323" s="9" t="str">
        <f>IFERROR((IF(VLOOKUP(A323,'ECN-ECO_DATA'!B:J,7,FALSE)=0/1/1900,"",VLOOKUP(A323,'ECN-ECO_DATA'!B:J,7,FALSE))),"")</f>
        <v/>
      </c>
      <c r="G323" s="9" t="str">
        <f>IFERROR((IF(VLOOKUP(A323,'ECN-ECO_DATA'!B:J,8,FALSE)=0/1/1900,"",VLOOKUP(A323,'ECN-ECO_DATA'!B:J,8,FALSE))),"")</f>
        <v/>
      </c>
      <c r="H323" s="9" t="str">
        <f>IFERROR((IF(VLOOKUP(A323,'ECN-ECO_DATA'!B:J,9,FALSE)=0/1/1900,"",VLOOKUP(A323,'ECN-ECO_DATA'!B:J,9,FALSE))),"")</f>
        <v/>
      </c>
      <c r="I323" s="10" t="str">
        <f>IFERROR((IF(VLOOKUP(A323,'ECN-ECO_DATA'!B:Q,13,FALSE)="","",VLOOKUP(A323,'ECN-ECO_DATA'!B:Q,13,FALSE))),"")</f>
        <v/>
      </c>
      <c r="J323" s="10" t="str">
        <f>IFERROR((IF(VLOOKUP(A323,'ECN-ECO_DATA'!B:Q,14,FALSE)="","",VLOOKUP(A323,'ECN-ECO_DATA'!B:Q,14,FALSE))),"")</f>
        <v/>
      </c>
      <c r="K323" s="10" t="str">
        <f>IFERROR((IF(VLOOKUP(A323,'ECN-ECO_DATA'!B:Q,15,FALSE)="","",VLOOKUP(A323,'ECN-ECO_DATA'!B:Q,15,FALSE))),"")</f>
        <v/>
      </c>
      <c r="L323" s="10" t="str">
        <f>IFERROR((IF(VLOOKUP(A323,'ECN-ECO_DATA'!B:Q,16,FALSE)="","",VLOOKUP(A323,'ECN-ECO_DATA'!B:Q,16,FALSE))),"")</f>
        <v/>
      </c>
      <c r="M323" s="9" t="str">
        <f>IFERROR((IF(VLOOKUP(A323,'ECN-ECO_DATA'!B:V,18,FALSE)=0/1/1900,"",VLOOKUP(A323,'ECN-ECO_DATA'!B:V,18,FALSE))),"")</f>
        <v/>
      </c>
      <c r="N323" s="9" t="str">
        <f>IFERROR((IF(VLOOKUP(A323,'ECN-ECO_DATA'!B:V,19,FALSE)=0/1/1900,"",VLOOKUP(A323,'ECN-ECO_DATA'!B:V,19,FALSE))),"")</f>
        <v/>
      </c>
      <c r="O323" s="9" t="str">
        <f>IFERROR((IF(VLOOKUP(A323,'ECN-ECO_DATA'!B:V,20,FALSE)=0/1/1900,"",VLOOKUP(A323,'ECN-ECO_DATA'!B:V,20,FALSE))),"")</f>
        <v/>
      </c>
      <c r="P323" s="9" t="str">
        <f>IFERROR((IF(VLOOKUP(A323,'ECN-ECO_DATA'!B:V,21,FALSE)=0/1/1900,"",VLOOKUP(A323,'ECN-ECO_DATA'!B:V,21,FALSE))),"")</f>
        <v/>
      </c>
      <c r="Q323" s="10" t="str">
        <f t="shared" ref="Q323:Q386" ca="1" si="25">IFERROR(D323-C323,"")</f>
        <v/>
      </c>
      <c r="R323" s="4" t="str">
        <f t="shared" ref="R323:R386" si="26">IFERROR(H323-E323,"")</f>
        <v/>
      </c>
      <c r="S323" s="4" t="str">
        <f t="shared" ref="S323:S386" si="27">IFERROR(N323-H323,"")</f>
        <v/>
      </c>
      <c r="T323" s="4" t="str">
        <f t="shared" ref="T323:T386" si="28">IFERROR(O323-N323,"")</f>
        <v/>
      </c>
      <c r="U323" s="10" t="str">
        <f t="shared" ref="U323:U386" si="29">IF(O323="","",IF(SUM(Q323:T323)=0,"",SUM(Q323:T323)))</f>
        <v/>
      </c>
      <c r="V323" s="4"/>
    </row>
    <row r="324" spans="2:22" x14ac:dyDescent="0.25">
      <c r="B324" s="4" t="str">
        <f>IFERROR(VLOOKUP(A324,'ECN-ECO_DATA'!B:G,4,FALSE),"")</f>
        <v/>
      </c>
      <c r="C324" s="9" t="str">
        <f>IFERROR(VLOOKUP(A324,'ECN-ECO_DATA'!B:G,5,FALSE),"")</f>
        <v/>
      </c>
      <c r="D324" s="9" t="str">
        <f ca="1">IFERROR((IF(VLOOKUP(A324,'ECN-ECO_DATA'!B:G,6,FALSE)=0/1/1900,TODAY(),VLOOKUP(A324,'ECN-ECO_DATA'!B:G,6,FALSE))),"")</f>
        <v/>
      </c>
      <c r="E324" s="9" t="str">
        <f>IFERROR((IF(VLOOKUP(A324,'ECN-ECO_DATA'!B:G,6,FALSE)=0/1/1900,"",VLOOKUP(A324,'ECN-ECO_DATA'!B:G,6,FALSE))),"")</f>
        <v/>
      </c>
      <c r="F324" s="9" t="str">
        <f>IFERROR((IF(VLOOKUP(A324,'ECN-ECO_DATA'!B:J,7,FALSE)=0/1/1900,"",VLOOKUP(A324,'ECN-ECO_DATA'!B:J,7,FALSE))),"")</f>
        <v/>
      </c>
      <c r="G324" s="9" t="str">
        <f>IFERROR((IF(VLOOKUP(A324,'ECN-ECO_DATA'!B:J,8,FALSE)=0/1/1900,"",VLOOKUP(A324,'ECN-ECO_DATA'!B:J,8,FALSE))),"")</f>
        <v/>
      </c>
      <c r="H324" s="9" t="str">
        <f>IFERROR((IF(VLOOKUP(A324,'ECN-ECO_DATA'!B:J,9,FALSE)=0/1/1900,"",VLOOKUP(A324,'ECN-ECO_DATA'!B:J,9,FALSE))),"")</f>
        <v/>
      </c>
      <c r="I324" s="10" t="str">
        <f>IFERROR((IF(VLOOKUP(A324,'ECN-ECO_DATA'!B:Q,13,FALSE)="","",VLOOKUP(A324,'ECN-ECO_DATA'!B:Q,13,FALSE))),"")</f>
        <v/>
      </c>
      <c r="J324" s="10" t="str">
        <f>IFERROR((IF(VLOOKUP(A324,'ECN-ECO_DATA'!B:Q,14,FALSE)="","",VLOOKUP(A324,'ECN-ECO_DATA'!B:Q,14,FALSE))),"")</f>
        <v/>
      </c>
      <c r="K324" s="10" t="str">
        <f>IFERROR((IF(VLOOKUP(A324,'ECN-ECO_DATA'!B:Q,15,FALSE)="","",VLOOKUP(A324,'ECN-ECO_DATA'!B:Q,15,FALSE))),"")</f>
        <v/>
      </c>
      <c r="L324" s="10" t="str">
        <f>IFERROR((IF(VLOOKUP(A324,'ECN-ECO_DATA'!B:Q,16,FALSE)="","",VLOOKUP(A324,'ECN-ECO_DATA'!B:Q,16,FALSE))),"")</f>
        <v/>
      </c>
      <c r="M324" s="9" t="str">
        <f>IFERROR((IF(VLOOKUP(A324,'ECN-ECO_DATA'!B:V,18,FALSE)=0/1/1900,"",VLOOKUP(A324,'ECN-ECO_DATA'!B:V,18,FALSE))),"")</f>
        <v/>
      </c>
      <c r="N324" s="9" t="str">
        <f>IFERROR((IF(VLOOKUP(A324,'ECN-ECO_DATA'!B:V,19,FALSE)=0/1/1900,"",VLOOKUP(A324,'ECN-ECO_DATA'!B:V,19,FALSE))),"")</f>
        <v/>
      </c>
      <c r="O324" s="9" t="str">
        <f>IFERROR((IF(VLOOKUP(A324,'ECN-ECO_DATA'!B:V,20,FALSE)=0/1/1900,"",VLOOKUP(A324,'ECN-ECO_DATA'!B:V,20,FALSE))),"")</f>
        <v/>
      </c>
      <c r="P324" s="9" t="str">
        <f>IFERROR((IF(VLOOKUP(A324,'ECN-ECO_DATA'!B:V,21,FALSE)=0/1/1900,"",VLOOKUP(A324,'ECN-ECO_DATA'!B:V,21,FALSE))),"")</f>
        <v/>
      </c>
      <c r="Q324" s="10" t="str">
        <f t="shared" ca="1" si="25"/>
        <v/>
      </c>
      <c r="R324" s="4" t="str">
        <f t="shared" si="26"/>
        <v/>
      </c>
      <c r="S324" s="4" t="str">
        <f t="shared" si="27"/>
        <v/>
      </c>
      <c r="T324" s="4" t="str">
        <f t="shared" si="28"/>
        <v/>
      </c>
      <c r="U324" s="10" t="str">
        <f t="shared" si="29"/>
        <v/>
      </c>
      <c r="V324" s="4"/>
    </row>
    <row r="325" spans="2:22" x14ac:dyDescent="0.25">
      <c r="B325" s="4" t="str">
        <f>IFERROR(VLOOKUP(A325,'ECN-ECO_DATA'!B:G,4,FALSE),"")</f>
        <v/>
      </c>
      <c r="C325" s="9" t="str">
        <f>IFERROR(VLOOKUP(A325,'ECN-ECO_DATA'!B:G,5,FALSE),"")</f>
        <v/>
      </c>
      <c r="D325" s="9" t="str">
        <f ca="1">IFERROR((IF(VLOOKUP(A325,'ECN-ECO_DATA'!B:G,6,FALSE)=0/1/1900,TODAY(),VLOOKUP(A325,'ECN-ECO_DATA'!B:G,6,FALSE))),"")</f>
        <v/>
      </c>
      <c r="E325" s="9" t="str">
        <f>IFERROR((IF(VLOOKUP(A325,'ECN-ECO_DATA'!B:G,6,FALSE)=0/1/1900,"",VLOOKUP(A325,'ECN-ECO_DATA'!B:G,6,FALSE))),"")</f>
        <v/>
      </c>
      <c r="F325" s="9" t="str">
        <f>IFERROR((IF(VLOOKUP(A325,'ECN-ECO_DATA'!B:J,7,FALSE)=0/1/1900,"",VLOOKUP(A325,'ECN-ECO_DATA'!B:J,7,FALSE))),"")</f>
        <v/>
      </c>
      <c r="G325" s="9" t="str">
        <f>IFERROR((IF(VLOOKUP(A325,'ECN-ECO_DATA'!B:J,8,FALSE)=0/1/1900,"",VLOOKUP(A325,'ECN-ECO_DATA'!B:J,8,FALSE))),"")</f>
        <v/>
      </c>
      <c r="H325" s="9" t="str">
        <f>IFERROR((IF(VLOOKUP(A325,'ECN-ECO_DATA'!B:J,9,FALSE)=0/1/1900,"",VLOOKUP(A325,'ECN-ECO_DATA'!B:J,9,FALSE))),"")</f>
        <v/>
      </c>
      <c r="I325" s="10" t="str">
        <f>IFERROR((IF(VLOOKUP(A325,'ECN-ECO_DATA'!B:Q,13,FALSE)="","",VLOOKUP(A325,'ECN-ECO_DATA'!B:Q,13,FALSE))),"")</f>
        <v/>
      </c>
      <c r="J325" s="10" t="str">
        <f>IFERROR((IF(VLOOKUP(A325,'ECN-ECO_DATA'!B:Q,14,FALSE)="","",VLOOKUP(A325,'ECN-ECO_DATA'!B:Q,14,FALSE))),"")</f>
        <v/>
      </c>
      <c r="K325" s="10" t="str">
        <f>IFERROR((IF(VLOOKUP(A325,'ECN-ECO_DATA'!B:Q,15,FALSE)="","",VLOOKUP(A325,'ECN-ECO_DATA'!B:Q,15,FALSE))),"")</f>
        <v/>
      </c>
      <c r="L325" s="10" t="str">
        <f>IFERROR((IF(VLOOKUP(A325,'ECN-ECO_DATA'!B:Q,16,FALSE)="","",VLOOKUP(A325,'ECN-ECO_DATA'!B:Q,16,FALSE))),"")</f>
        <v/>
      </c>
      <c r="M325" s="9" t="str">
        <f>IFERROR((IF(VLOOKUP(A325,'ECN-ECO_DATA'!B:V,18,FALSE)=0/1/1900,"",VLOOKUP(A325,'ECN-ECO_DATA'!B:V,18,FALSE))),"")</f>
        <v/>
      </c>
      <c r="N325" s="9" t="str">
        <f>IFERROR((IF(VLOOKUP(A325,'ECN-ECO_DATA'!B:V,19,FALSE)=0/1/1900,"",VLOOKUP(A325,'ECN-ECO_DATA'!B:V,19,FALSE))),"")</f>
        <v/>
      </c>
      <c r="O325" s="9" t="str">
        <f>IFERROR((IF(VLOOKUP(A325,'ECN-ECO_DATA'!B:V,20,FALSE)=0/1/1900,"",VLOOKUP(A325,'ECN-ECO_DATA'!B:V,20,FALSE))),"")</f>
        <v/>
      </c>
      <c r="P325" s="9" t="str">
        <f>IFERROR((IF(VLOOKUP(A325,'ECN-ECO_DATA'!B:V,21,FALSE)=0/1/1900,"",VLOOKUP(A325,'ECN-ECO_DATA'!B:V,21,FALSE))),"")</f>
        <v/>
      </c>
      <c r="Q325" s="10" t="str">
        <f t="shared" ca="1" si="25"/>
        <v/>
      </c>
      <c r="R325" s="4" t="str">
        <f t="shared" si="26"/>
        <v/>
      </c>
      <c r="S325" s="4" t="str">
        <f t="shared" si="27"/>
        <v/>
      </c>
      <c r="T325" s="4" t="str">
        <f t="shared" si="28"/>
        <v/>
      </c>
      <c r="U325" s="10" t="str">
        <f t="shared" si="29"/>
        <v/>
      </c>
      <c r="V325" s="4"/>
    </row>
    <row r="326" spans="2:22" x14ac:dyDescent="0.25">
      <c r="B326" s="4" t="str">
        <f>IFERROR(VLOOKUP(A326,'ECN-ECO_DATA'!B:G,4,FALSE),"")</f>
        <v/>
      </c>
      <c r="C326" s="9" t="str">
        <f>IFERROR(VLOOKUP(A326,'ECN-ECO_DATA'!B:G,5,FALSE),"")</f>
        <v/>
      </c>
      <c r="D326" s="9" t="str">
        <f ca="1">IFERROR((IF(VLOOKUP(A326,'ECN-ECO_DATA'!B:G,6,FALSE)=0/1/1900,TODAY(),VLOOKUP(A326,'ECN-ECO_DATA'!B:G,6,FALSE))),"")</f>
        <v/>
      </c>
      <c r="E326" s="9" t="str">
        <f>IFERROR((IF(VLOOKUP(A326,'ECN-ECO_DATA'!B:G,6,FALSE)=0/1/1900,"",VLOOKUP(A326,'ECN-ECO_DATA'!B:G,6,FALSE))),"")</f>
        <v/>
      </c>
      <c r="F326" s="9" t="str">
        <f>IFERROR((IF(VLOOKUP(A326,'ECN-ECO_DATA'!B:J,7,FALSE)=0/1/1900,"",VLOOKUP(A326,'ECN-ECO_DATA'!B:J,7,FALSE))),"")</f>
        <v/>
      </c>
      <c r="G326" s="9" t="str">
        <f>IFERROR((IF(VLOOKUP(A326,'ECN-ECO_DATA'!B:J,8,FALSE)=0/1/1900,"",VLOOKUP(A326,'ECN-ECO_DATA'!B:J,8,FALSE))),"")</f>
        <v/>
      </c>
      <c r="H326" s="9" t="str">
        <f>IFERROR((IF(VLOOKUP(A326,'ECN-ECO_DATA'!B:J,9,FALSE)=0/1/1900,"",VLOOKUP(A326,'ECN-ECO_DATA'!B:J,9,FALSE))),"")</f>
        <v/>
      </c>
      <c r="I326" s="10" t="str">
        <f>IFERROR((IF(VLOOKUP(A326,'ECN-ECO_DATA'!B:Q,13,FALSE)="","",VLOOKUP(A326,'ECN-ECO_DATA'!B:Q,13,FALSE))),"")</f>
        <v/>
      </c>
      <c r="J326" s="10" t="str">
        <f>IFERROR((IF(VLOOKUP(A326,'ECN-ECO_DATA'!B:Q,14,FALSE)="","",VLOOKUP(A326,'ECN-ECO_DATA'!B:Q,14,FALSE))),"")</f>
        <v/>
      </c>
      <c r="K326" s="10" t="str">
        <f>IFERROR((IF(VLOOKUP(A326,'ECN-ECO_DATA'!B:Q,15,FALSE)="","",VLOOKUP(A326,'ECN-ECO_DATA'!B:Q,15,FALSE))),"")</f>
        <v/>
      </c>
      <c r="L326" s="10" t="str">
        <f>IFERROR((IF(VLOOKUP(A326,'ECN-ECO_DATA'!B:Q,16,FALSE)="","",VLOOKUP(A326,'ECN-ECO_DATA'!B:Q,16,FALSE))),"")</f>
        <v/>
      </c>
      <c r="M326" s="9" t="str">
        <f>IFERROR((IF(VLOOKUP(A326,'ECN-ECO_DATA'!B:V,18,FALSE)=0/1/1900,"",VLOOKUP(A326,'ECN-ECO_DATA'!B:V,18,FALSE))),"")</f>
        <v/>
      </c>
      <c r="N326" s="9" t="str">
        <f>IFERROR((IF(VLOOKUP(A326,'ECN-ECO_DATA'!B:V,19,FALSE)=0/1/1900,"",VLOOKUP(A326,'ECN-ECO_DATA'!B:V,19,FALSE))),"")</f>
        <v/>
      </c>
      <c r="O326" s="9" t="str">
        <f>IFERROR((IF(VLOOKUP(A326,'ECN-ECO_DATA'!B:V,20,FALSE)=0/1/1900,"",VLOOKUP(A326,'ECN-ECO_DATA'!B:V,20,FALSE))),"")</f>
        <v/>
      </c>
      <c r="P326" s="9" t="str">
        <f>IFERROR((IF(VLOOKUP(A326,'ECN-ECO_DATA'!B:V,21,FALSE)=0/1/1900,"",VLOOKUP(A326,'ECN-ECO_DATA'!B:V,21,FALSE))),"")</f>
        <v/>
      </c>
      <c r="Q326" s="10" t="str">
        <f t="shared" ca="1" si="25"/>
        <v/>
      </c>
      <c r="R326" s="4" t="str">
        <f t="shared" si="26"/>
        <v/>
      </c>
      <c r="S326" s="4" t="str">
        <f t="shared" si="27"/>
        <v/>
      </c>
      <c r="T326" s="4" t="str">
        <f t="shared" si="28"/>
        <v/>
      </c>
      <c r="U326" s="10" t="str">
        <f t="shared" si="29"/>
        <v/>
      </c>
      <c r="V326" s="4"/>
    </row>
    <row r="327" spans="2:22" x14ac:dyDescent="0.25">
      <c r="B327" s="4" t="str">
        <f>IFERROR(VLOOKUP(A327,'ECN-ECO_DATA'!B:G,4,FALSE),"")</f>
        <v/>
      </c>
      <c r="C327" s="9" t="str">
        <f>IFERROR(VLOOKUP(A327,'ECN-ECO_DATA'!B:G,5,FALSE),"")</f>
        <v/>
      </c>
      <c r="D327" s="9" t="str">
        <f ca="1">IFERROR((IF(VLOOKUP(A327,'ECN-ECO_DATA'!B:G,6,FALSE)=0/1/1900,TODAY(),VLOOKUP(A327,'ECN-ECO_DATA'!B:G,6,FALSE))),"")</f>
        <v/>
      </c>
      <c r="E327" s="9" t="str">
        <f>IFERROR((IF(VLOOKUP(A327,'ECN-ECO_DATA'!B:G,6,FALSE)=0/1/1900,"",VLOOKUP(A327,'ECN-ECO_DATA'!B:G,6,FALSE))),"")</f>
        <v/>
      </c>
      <c r="F327" s="9" t="str">
        <f>IFERROR((IF(VLOOKUP(A327,'ECN-ECO_DATA'!B:J,7,FALSE)=0/1/1900,"",VLOOKUP(A327,'ECN-ECO_DATA'!B:J,7,FALSE))),"")</f>
        <v/>
      </c>
      <c r="G327" s="9" t="str">
        <f>IFERROR((IF(VLOOKUP(A327,'ECN-ECO_DATA'!B:J,8,FALSE)=0/1/1900,"",VLOOKUP(A327,'ECN-ECO_DATA'!B:J,8,FALSE))),"")</f>
        <v/>
      </c>
      <c r="H327" s="9" t="str">
        <f>IFERROR((IF(VLOOKUP(A327,'ECN-ECO_DATA'!B:J,9,FALSE)=0/1/1900,"",VLOOKUP(A327,'ECN-ECO_DATA'!B:J,9,FALSE))),"")</f>
        <v/>
      </c>
      <c r="I327" s="10" t="str">
        <f>IFERROR((IF(VLOOKUP(A327,'ECN-ECO_DATA'!B:Q,13,FALSE)="","",VLOOKUP(A327,'ECN-ECO_DATA'!B:Q,13,FALSE))),"")</f>
        <v/>
      </c>
      <c r="J327" s="10" t="str">
        <f>IFERROR((IF(VLOOKUP(A327,'ECN-ECO_DATA'!B:Q,14,FALSE)="","",VLOOKUP(A327,'ECN-ECO_DATA'!B:Q,14,FALSE))),"")</f>
        <v/>
      </c>
      <c r="K327" s="10" t="str">
        <f>IFERROR((IF(VLOOKUP(A327,'ECN-ECO_DATA'!B:Q,15,FALSE)="","",VLOOKUP(A327,'ECN-ECO_DATA'!B:Q,15,FALSE))),"")</f>
        <v/>
      </c>
      <c r="L327" s="10" t="str">
        <f>IFERROR((IF(VLOOKUP(A327,'ECN-ECO_DATA'!B:Q,16,FALSE)="","",VLOOKUP(A327,'ECN-ECO_DATA'!B:Q,16,FALSE))),"")</f>
        <v/>
      </c>
      <c r="M327" s="9" t="str">
        <f>IFERROR((IF(VLOOKUP(A327,'ECN-ECO_DATA'!B:V,18,FALSE)=0/1/1900,"",VLOOKUP(A327,'ECN-ECO_DATA'!B:V,18,FALSE))),"")</f>
        <v/>
      </c>
      <c r="N327" s="9" t="str">
        <f>IFERROR((IF(VLOOKUP(A327,'ECN-ECO_DATA'!B:V,19,FALSE)=0/1/1900,"",VLOOKUP(A327,'ECN-ECO_DATA'!B:V,19,FALSE))),"")</f>
        <v/>
      </c>
      <c r="O327" s="9" t="str">
        <f>IFERROR((IF(VLOOKUP(A327,'ECN-ECO_DATA'!B:V,20,FALSE)=0/1/1900,"",VLOOKUP(A327,'ECN-ECO_DATA'!B:V,20,FALSE))),"")</f>
        <v/>
      </c>
      <c r="P327" s="9" t="str">
        <f>IFERROR((IF(VLOOKUP(A327,'ECN-ECO_DATA'!B:V,21,FALSE)=0/1/1900,"",VLOOKUP(A327,'ECN-ECO_DATA'!B:V,21,FALSE))),"")</f>
        <v/>
      </c>
      <c r="Q327" s="10" t="str">
        <f t="shared" ca="1" si="25"/>
        <v/>
      </c>
      <c r="R327" s="4" t="str">
        <f t="shared" si="26"/>
        <v/>
      </c>
      <c r="S327" s="4" t="str">
        <f t="shared" si="27"/>
        <v/>
      </c>
      <c r="T327" s="4" t="str">
        <f t="shared" si="28"/>
        <v/>
      </c>
      <c r="U327" s="10" t="str">
        <f t="shared" si="29"/>
        <v/>
      </c>
      <c r="V327" s="4"/>
    </row>
    <row r="328" spans="2:22" x14ac:dyDescent="0.25">
      <c r="B328" s="4" t="str">
        <f>IFERROR(VLOOKUP(A328,'ECN-ECO_DATA'!B:G,4,FALSE),"")</f>
        <v/>
      </c>
      <c r="C328" s="9" t="str">
        <f>IFERROR(VLOOKUP(A328,'ECN-ECO_DATA'!B:G,5,FALSE),"")</f>
        <v/>
      </c>
      <c r="D328" s="9" t="str">
        <f ca="1">IFERROR((IF(VLOOKUP(A328,'ECN-ECO_DATA'!B:G,6,FALSE)=0/1/1900,TODAY(),VLOOKUP(A328,'ECN-ECO_DATA'!B:G,6,FALSE))),"")</f>
        <v/>
      </c>
      <c r="E328" s="9" t="str">
        <f>IFERROR((IF(VLOOKUP(A328,'ECN-ECO_DATA'!B:G,6,FALSE)=0/1/1900,"",VLOOKUP(A328,'ECN-ECO_DATA'!B:G,6,FALSE))),"")</f>
        <v/>
      </c>
      <c r="F328" s="9" t="str">
        <f>IFERROR((IF(VLOOKUP(A328,'ECN-ECO_DATA'!B:J,7,FALSE)=0/1/1900,"",VLOOKUP(A328,'ECN-ECO_DATA'!B:J,7,FALSE))),"")</f>
        <v/>
      </c>
      <c r="G328" s="9" t="str">
        <f>IFERROR((IF(VLOOKUP(A328,'ECN-ECO_DATA'!B:J,8,FALSE)=0/1/1900,"",VLOOKUP(A328,'ECN-ECO_DATA'!B:J,8,FALSE))),"")</f>
        <v/>
      </c>
      <c r="H328" s="9" t="str">
        <f>IFERROR((IF(VLOOKUP(A328,'ECN-ECO_DATA'!B:J,9,FALSE)=0/1/1900,"",VLOOKUP(A328,'ECN-ECO_DATA'!B:J,9,FALSE))),"")</f>
        <v/>
      </c>
      <c r="I328" s="10" t="str">
        <f>IFERROR((IF(VLOOKUP(A328,'ECN-ECO_DATA'!B:Q,13,FALSE)="","",VLOOKUP(A328,'ECN-ECO_DATA'!B:Q,13,FALSE))),"")</f>
        <v/>
      </c>
      <c r="J328" s="10" t="str">
        <f>IFERROR((IF(VLOOKUP(A328,'ECN-ECO_DATA'!B:Q,14,FALSE)="","",VLOOKUP(A328,'ECN-ECO_DATA'!B:Q,14,FALSE))),"")</f>
        <v/>
      </c>
      <c r="K328" s="10" t="str">
        <f>IFERROR((IF(VLOOKUP(A328,'ECN-ECO_DATA'!B:Q,15,FALSE)="","",VLOOKUP(A328,'ECN-ECO_DATA'!B:Q,15,FALSE))),"")</f>
        <v/>
      </c>
      <c r="L328" s="10" t="str">
        <f>IFERROR((IF(VLOOKUP(A328,'ECN-ECO_DATA'!B:Q,16,FALSE)="","",VLOOKUP(A328,'ECN-ECO_DATA'!B:Q,16,FALSE))),"")</f>
        <v/>
      </c>
      <c r="M328" s="9" t="str">
        <f>IFERROR((IF(VLOOKUP(A328,'ECN-ECO_DATA'!B:V,18,FALSE)=0/1/1900,"",VLOOKUP(A328,'ECN-ECO_DATA'!B:V,18,FALSE))),"")</f>
        <v/>
      </c>
      <c r="N328" s="9" t="str">
        <f>IFERROR((IF(VLOOKUP(A328,'ECN-ECO_DATA'!B:V,19,FALSE)=0/1/1900,"",VLOOKUP(A328,'ECN-ECO_DATA'!B:V,19,FALSE))),"")</f>
        <v/>
      </c>
      <c r="O328" s="9" t="str">
        <f>IFERROR((IF(VLOOKUP(A328,'ECN-ECO_DATA'!B:V,20,FALSE)=0/1/1900,"",VLOOKUP(A328,'ECN-ECO_DATA'!B:V,20,FALSE))),"")</f>
        <v/>
      </c>
      <c r="P328" s="9" t="str">
        <f>IFERROR((IF(VLOOKUP(A328,'ECN-ECO_DATA'!B:V,21,FALSE)=0/1/1900,"",VLOOKUP(A328,'ECN-ECO_DATA'!B:V,21,FALSE))),"")</f>
        <v/>
      </c>
      <c r="Q328" s="10" t="str">
        <f t="shared" ca="1" si="25"/>
        <v/>
      </c>
      <c r="R328" s="4" t="str">
        <f t="shared" si="26"/>
        <v/>
      </c>
      <c r="S328" s="4" t="str">
        <f t="shared" si="27"/>
        <v/>
      </c>
      <c r="T328" s="4" t="str">
        <f t="shared" si="28"/>
        <v/>
      </c>
      <c r="U328" s="10" t="str">
        <f t="shared" si="29"/>
        <v/>
      </c>
      <c r="V328" s="4"/>
    </row>
    <row r="329" spans="2:22" x14ac:dyDescent="0.25">
      <c r="B329" s="4" t="str">
        <f>IFERROR(VLOOKUP(A329,'ECN-ECO_DATA'!B:G,4,FALSE),"")</f>
        <v/>
      </c>
      <c r="C329" s="9" t="str">
        <f>IFERROR(VLOOKUP(A329,'ECN-ECO_DATA'!B:G,5,FALSE),"")</f>
        <v/>
      </c>
      <c r="D329" s="9" t="str">
        <f ca="1">IFERROR((IF(VLOOKUP(A329,'ECN-ECO_DATA'!B:G,6,FALSE)=0/1/1900,TODAY(),VLOOKUP(A329,'ECN-ECO_DATA'!B:G,6,FALSE))),"")</f>
        <v/>
      </c>
      <c r="E329" s="9" t="str">
        <f>IFERROR((IF(VLOOKUP(A329,'ECN-ECO_DATA'!B:G,6,FALSE)=0/1/1900,"",VLOOKUP(A329,'ECN-ECO_DATA'!B:G,6,FALSE))),"")</f>
        <v/>
      </c>
      <c r="F329" s="9" t="str">
        <f>IFERROR((IF(VLOOKUP(A329,'ECN-ECO_DATA'!B:J,7,FALSE)=0/1/1900,"",VLOOKUP(A329,'ECN-ECO_DATA'!B:J,7,FALSE))),"")</f>
        <v/>
      </c>
      <c r="G329" s="9" t="str">
        <f>IFERROR((IF(VLOOKUP(A329,'ECN-ECO_DATA'!B:J,8,FALSE)=0/1/1900,"",VLOOKUP(A329,'ECN-ECO_DATA'!B:J,8,FALSE))),"")</f>
        <v/>
      </c>
      <c r="H329" s="9" t="str">
        <f>IFERROR((IF(VLOOKUP(A329,'ECN-ECO_DATA'!B:J,9,FALSE)=0/1/1900,"",VLOOKUP(A329,'ECN-ECO_DATA'!B:J,9,FALSE))),"")</f>
        <v/>
      </c>
      <c r="I329" s="10" t="str">
        <f>IFERROR((IF(VLOOKUP(A329,'ECN-ECO_DATA'!B:Q,13,FALSE)="","",VLOOKUP(A329,'ECN-ECO_DATA'!B:Q,13,FALSE))),"")</f>
        <v/>
      </c>
      <c r="J329" s="10" t="str">
        <f>IFERROR((IF(VLOOKUP(A329,'ECN-ECO_DATA'!B:Q,14,FALSE)="","",VLOOKUP(A329,'ECN-ECO_DATA'!B:Q,14,FALSE))),"")</f>
        <v/>
      </c>
      <c r="K329" s="10" t="str">
        <f>IFERROR((IF(VLOOKUP(A329,'ECN-ECO_DATA'!B:Q,15,FALSE)="","",VLOOKUP(A329,'ECN-ECO_DATA'!B:Q,15,FALSE))),"")</f>
        <v/>
      </c>
      <c r="L329" s="10" t="str">
        <f>IFERROR((IF(VLOOKUP(A329,'ECN-ECO_DATA'!B:Q,16,FALSE)="","",VLOOKUP(A329,'ECN-ECO_DATA'!B:Q,16,FALSE))),"")</f>
        <v/>
      </c>
      <c r="M329" s="9" t="str">
        <f>IFERROR((IF(VLOOKUP(A329,'ECN-ECO_DATA'!B:V,18,FALSE)=0/1/1900,"",VLOOKUP(A329,'ECN-ECO_DATA'!B:V,18,FALSE))),"")</f>
        <v/>
      </c>
      <c r="N329" s="9" t="str">
        <f>IFERROR((IF(VLOOKUP(A329,'ECN-ECO_DATA'!B:V,19,FALSE)=0/1/1900,"",VLOOKUP(A329,'ECN-ECO_DATA'!B:V,19,FALSE))),"")</f>
        <v/>
      </c>
      <c r="O329" s="9" t="str">
        <f>IFERROR((IF(VLOOKUP(A329,'ECN-ECO_DATA'!B:V,20,FALSE)=0/1/1900,"",VLOOKUP(A329,'ECN-ECO_DATA'!B:V,20,FALSE))),"")</f>
        <v/>
      </c>
      <c r="P329" s="9" t="str">
        <f>IFERROR((IF(VLOOKUP(A329,'ECN-ECO_DATA'!B:V,21,FALSE)=0/1/1900,"",VLOOKUP(A329,'ECN-ECO_DATA'!B:V,21,FALSE))),"")</f>
        <v/>
      </c>
      <c r="Q329" s="10" t="str">
        <f t="shared" ca="1" si="25"/>
        <v/>
      </c>
      <c r="R329" s="4" t="str">
        <f t="shared" si="26"/>
        <v/>
      </c>
      <c r="S329" s="4" t="str">
        <f t="shared" si="27"/>
        <v/>
      </c>
      <c r="T329" s="4" t="str">
        <f t="shared" si="28"/>
        <v/>
      </c>
      <c r="U329" s="10" t="str">
        <f t="shared" si="29"/>
        <v/>
      </c>
      <c r="V329" s="4"/>
    </row>
    <row r="330" spans="2:22" x14ac:dyDescent="0.25">
      <c r="B330" s="4" t="str">
        <f>IFERROR(VLOOKUP(A330,'ECN-ECO_DATA'!B:G,4,FALSE),"")</f>
        <v/>
      </c>
      <c r="C330" s="9" t="str">
        <f>IFERROR(VLOOKUP(A330,'ECN-ECO_DATA'!B:G,5,FALSE),"")</f>
        <v/>
      </c>
      <c r="D330" s="9" t="str">
        <f ca="1">IFERROR((IF(VLOOKUP(A330,'ECN-ECO_DATA'!B:G,6,FALSE)=0/1/1900,TODAY(),VLOOKUP(A330,'ECN-ECO_DATA'!B:G,6,FALSE))),"")</f>
        <v/>
      </c>
      <c r="E330" s="9" t="str">
        <f>IFERROR((IF(VLOOKUP(A330,'ECN-ECO_DATA'!B:G,6,FALSE)=0/1/1900,"",VLOOKUP(A330,'ECN-ECO_DATA'!B:G,6,FALSE))),"")</f>
        <v/>
      </c>
      <c r="F330" s="9" t="str">
        <f>IFERROR((IF(VLOOKUP(A330,'ECN-ECO_DATA'!B:J,7,FALSE)=0/1/1900,"",VLOOKUP(A330,'ECN-ECO_DATA'!B:J,7,FALSE))),"")</f>
        <v/>
      </c>
      <c r="G330" s="9" t="str">
        <f>IFERROR((IF(VLOOKUP(A330,'ECN-ECO_DATA'!B:J,8,FALSE)=0/1/1900,"",VLOOKUP(A330,'ECN-ECO_DATA'!B:J,8,FALSE))),"")</f>
        <v/>
      </c>
      <c r="H330" s="9" t="str">
        <f>IFERROR((IF(VLOOKUP(A330,'ECN-ECO_DATA'!B:J,9,FALSE)=0/1/1900,"",VLOOKUP(A330,'ECN-ECO_DATA'!B:J,9,FALSE))),"")</f>
        <v/>
      </c>
      <c r="I330" s="10" t="str">
        <f>IFERROR((IF(VLOOKUP(A330,'ECN-ECO_DATA'!B:Q,13,FALSE)="","",VLOOKUP(A330,'ECN-ECO_DATA'!B:Q,13,FALSE))),"")</f>
        <v/>
      </c>
      <c r="J330" s="10" t="str">
        <f>IFERROR((IF(VLOOKUP(A330,'ECN-ECO_DATA'!B:Q,14,FALSE)="","",VLOOKUP(A330,'ECN-ECO_DATA'!B:Q,14,FALSE))),"")</f>
        <v/>
      </c>
      <c r="K330" s="10" t="str">
        <f>IFERROR((IF(VLOOKUP(A330,'ECN-ECO_DATA'!B:Q,15,FALSE)="","",VLOOKUP(A330,'ECN-ECO_DATA'!B:Q,15,FALSE))),"")</f>
        <v/>
      </c>
      <c r="L330" s="10" t="str">
        <f>IFERROR((IF(VLOOKUP(A330,'ECN-ECO_DATA'!B:Q,16,FALSE)="","",VLOOKUP(A330,'ECN-ECO_DATA'!B:Q,16,FALSE))),"")</f>
        <v/>
      </c>
      <c r="M330" s="9" t="str">
        <f>IFERROR((IF(VLOOKUP(A330,'ECN-ECO_DATA'!B:V,18,FALSE)=0/1/1900,"",VLOOKUP(A330,'ECN-ECO_DATA'!B:V,18,FALSE))),"")</f>
        <v/>
      </c>
      <c r="N330" s="9" t="str">
        <f>IFERROR((IF(VLOOKUP(A330,'ECN-ECO_DATA'!B:V,19,FALSE)=0/1/1900,"",VLOOKUP(A330,'ECN-ECO_DATA'!B:V,19,FALSE))),"")</f>
        <v/>
      </c>
      <c r="O330" s="9" t="str">
        <f>IFERROR((IF(VLOOKUP(A330,'ECN-ECO_DATA'!B:V,20,FALSE)=0/1/1900,"",VLOOKUP(A330,'ECN-ECO_DATA'!B:V,20,FALSE))),"")</f>
        <v/>
      </c>
      <c r="P330" s="9" t="str">
        <f>IFERROR((IF(VLOOKUP(A330,'ECN-ECO_DATA'!B:V,21,FALSE)=0/1/1900,"",VLOOKUP(A330,'ECN-ECO_DATA'!B:V,21,FALSE))),"")</f>
        <v/>
      </c>
      <c r="Q330" s="10" t="str">
        <f t="shared" ca="1" si="25"/>
        <v/>
      </c>
      <c r="R330" s="4" t="str">
        <f t="shared" si="26"/>
        <v/>
      </c>
      <c r="S330" s="4" t="str">
        <f t="shared" si="27"/>
        <v/>
      </c>
      <c r="T330" s="4" t="str">
        <f t="shared" si="28"/>
        <v/>
      </c>
      <c r="U330" s="10" t="str">
        <f t="shared" si="29"/>
        <v/>
      </c>
      <c r="V330" s="4"/>
    </row>
    <row r="331" spans="2:22" x14ac:dyDescent="0.25">
      <c r="B331" s="4" t="str">
        <f>IFERROR(VLOOKUP(A331,'ECN-ECO_DATA'!B:G,4,FALSE),"")</f>
        <v/>
      </c>
      <c r="C331" s="9" t="str">
        <f>IFERROR(VLOOKUP(A331,'ECN-ECO_DATA'!B:G,5,FALSE),"")</f>
        <v/>
      </c>
      <c r="D331" s="9" t="str">
        <f ca="1">IFERROR((IF(VLOOKUP(A331,'ECN-ECO_DATA'!B:G,6,FALSE)=0/1/1900,TODAY(),VLOOKUP(A331,'ECN-ECO_DATA'!B:G,6,FALSE))),"")</f>
        <v/>
      </c>
      <c r="E331" s="9" t="str">
        <f>IFERROR((IF(VLOOKUP(A331,'ECN-ECO_DATA'!B:G,6,FALSE)=0/1/1900,"",VLOOKUP(A331,'ECN-ECO_DATA'!B:G,6,FALSE))),"")</f>
        <v/>
      </c>
      <c r="F331" s="9" t="str">
        <f>IFERROR((IF(VLOOKUP(A331,'ECN-ECO_DATA'!B:J,7,FALSE)=0/1/1900,"",VLOOKUP(A331,'ECN-ECO_DATA'!B:J,7,FALSE))),"")</f>
        <v/>
      </c>
      <c r="G331" s="9" t="str">
        <f>IFERROR((IF(VLOOKUP(A331,'ECN-ECO_DATA'!B:J,8,FALSE)=0/1/1900,"",VLOOKUP(A331,'ECN-ECO_DATA'!B:J,8,FALSE))),"")</f>
        <v/>
      </c>
      <c r="H331" s="9" t="str">
        <f>IFERROR((IF(VLOOKUP(A331,'ECN-ECO_DATA'!B:J,9,FALSE)=0/1/1900,"",VLOOKUP(A331,'ECN-ECO_DATA'!B:J,9,FALSE))),"")</f>
        <v/>
      </c>
      <c r="I331" s="10" t="str">
        <f>IFERROR((IF(VLOOKUP(A331,'ECN-ECO_DATA'!B:Q,13,FALSE)="","",VLOOKUP(A331,'ECN-ECO_DATA'!B:Q,13,FALSE))),"")</f>
        <v/>
      </c>
      <c r="J331" s="10" t="str">
        <f>IFERROR((IF(VLOOKUP(A331,'ECN-ECO_DATA'!B:Q,14,FALSE)="","",VLOOKUP(A331,'ECN-ECO_DATA'!B:Q,14,FALSE))),"")</f>
        <v/>
      </c>
      <c r="K331" s="10" t="str">
        <f>IFERROR((IF(VLOOKUP(A331,'ECN-ECO_DATA'!B:Q,15,FALSE)="","",VLOOKUP(A331,'ECN-ECO_DATA'!B:Q,15,FALSE))),"")</f>
        <v/>
      </c>
      <c r="L331" s="10" t="str">
        <f>IFERROR((IF(VLOOKUP(A331,'ECN-ECO_DATA'!B:Q,16,FALSE)="","",VLOOKUP(A331,'ECN-ECO_DATA'!B:Q,16,FALSE))),"")</f>
        <v/>
      </c>
      <c r="M331" s="9" t="str">
        <f>IFERROR((IF(VLOOKUP(A331,'ECN-ECO_DATA'!B:V,18,FALSE)=0/1/1900,"",VLOOKUP(A331,'ECN-ECO_DATA'!B:V,18,FALSE))),"")</f>
        <v/>
      </c>
      <c r="N331" s="9" t="str">
        <f>IFERROR((IF(VLOOKUP(A331,'ECN-ECO_DATA'!B:V,19,FALSE)=0/1/1900,"",VLOOKUP(A331,'ECN-ECO_DATA'!B:V,19,FALSE))),"")</f>
        <v/>
      </c>
      <c r="O331" s="9" t="str">
        <f>IFERROR((IF(VLOOKUP(A331,'ECN-ECO_DATA'!B:V,20,FALSE)=0/1/1900,"",VLOOKUP(A331,'ECN-ECO_DATA'!B:V,20,FALSE))),"")</f>
        <v/>
      </c>
      <c r="P331" s="9" t="str">
        <f>IFERROR((IF(VLOOKUP(A331,'ECN-ECO_DATA'!B:V,21,FALSE)=0/1/1900,"",VLOOKUP(A331,'ECN-ECO_DATA'!B:V,21,FALSE))),"")</f>
        <v/>
      </c>
      <c r="Q331" s="10" t="str">
        <f t="shared" ca="1" si="25"/>
        <v/>
      </c>
      <c r="R331" s="4" t="str">
        <f t="shared" si="26"/>
        <v/>
      </c>
      <c r="S331" s="4" t="str">
        <f t="shared" si="27"/>
        <v/>
      </c>
      <c r="T331" s="4" t="str">
        <f t="shared" si="28"/>
        <v/>
      </c>
      <c r="U331" s="10" t="str">
        <f t="shared" si="29"/>
        <v/>
      </c>
      <c r="V331" s="4"/>
    </row>
    <row r="332" spans="2:22" x14ac:dyDescent="0.25">
      <c r="B332" s="4" t="str">
        <f>IFERROR(VLOOKUP(A332,'ECN-ECO_DATA'!B:G,4,FALSE),"")</f>
        <v/>
      </c>
      <c r="C332" s="9" t="str">
        <f>IFERROR(VLOOKUP(A332,'ECN-ECO_DATA'!B:G,5,FALSE),"")</f>
        <v/>
      </c>
      <c r="D332" s="9" t="str">
        <f ca="1">IFERROR((IF(VLOOKUP(A332,'ECN-ECO_DATA'!B:G,6,FALSE)=0/1/1900,TODAY(),VLOOKUP(A332,'ECN-ECO_DATA'!B:G,6,FALSE))),"")</f>
        <v/>
      </c>
      <c r="E332" s="9" t="str">
        <f>IFERROR((IF(VLOOKUP(A332,'ECN-ECO_DATA'!B:G,6,FALSE)=0/1/1900,"",VLOOKUP(A332,'ECN-ECO_DATA'!B:G,6,FALSE))),"")</f>
        <v/>
      </c>
      <c r="F332" s="9" t="str">
        <f>IFERROR((IF(VLOOKUP(A332,'ECN-ECO_DATA'!B:J,7,FALSE)=0/1/1900,"",VLOOKUP(A332,'ECN-ECO_DATA'!B:J,7,FALSE))),"")</f>
        <v/>
      </c>
      <c r="G332" s="9" t="str">
        <f>IFERROR((IF(VLOOKUP(A332,'ECN-ECO_DATA'!B:J,8,FALSE)=0/1/1900,"",VLOOKUP(A332,'ECN-ECO_DATA'!B:J,8,FALSE))),"")</f>
        <v/>
      </c>
      <c r="H332" s="9" t="str">
        <f>IFERROR((IF(VLOOKUP(A332,'ECN-ECO_DATA'!B:J,9,FALSE)=0/1/1900,"",VLOOKUP(A332,'ECN-ECO_DATA'!B:J,9,FALSE))),"")</f>
        <v/>
      </c>
      <c r="I332" s="10" t="str">
        <f>IFERROR((IF(VLOOKUP(A332,'ECN-ECO_DATA'!B:Q,13,FALSE)="","",VLOOKUP(A332,'ECN-ECO_DATA'!B:Q,13,FALSE))),"")</f>
        <v/>
      </c>
      <c r="J332" s="10" t="str">
        <f>IFERROR((IF(VLOOKUP(A332,'ECN-ECO_DATA'!B:Q,14,FALSE)="","",VLOOKUP(A332,'ECN-ECO_DATA'!B:Q,14,FALSE))),"")</f>
        <v/>
      </c>
      <c r="K332" s="10" t="str">
        <f>IFERROR((IF(VLOOKUP(A332,'ECN-ECO_DATA'!B:Q,15,FALSE)="","",VLOOKUP(A332,'ECN-ECO_DATA'!B:Q,15,FALSE))),"")</f>
        <v/>
      </c>
      <c r="L332" s="10" t="str">
        <f>IFERROR((IF(VLOOKUP(A332,'ECN-ECO_DATA'!B:Q,16,FALSE)="","",VLOOKUP(A332,'ECN-ECO_DATA'!B:Q,16,FALSE))),"")</f>
        <v/>
      </c>
      <c r="M332" s="9" t="str">
        <f>IFERROR((IF(VLOOKUP(A332,'ECN-ECO_DATA'!B:V,18,FALSE)=0/1/1900,"",VLOOKUP(A332,'ECN-ECO_DATA'!B:V,18,FALSE))),"")</f>
        <v/>
      </c>
      <c r="N332" s="9" t="str">
        <f>IFERROR((IF(VLOOKUP(A332,'ECN-ECO_DATA'!B:V,19,FALSE)=0/1/1900,"",VLOOKUP(A332,'ECN-ECO_DATA'!B:V,19,FALSE))),"")</f>
        <v/>
      </c>
      <c r="O332" s="9" t="str">
        <f>IFERROR((IF(VLOOKUP(A332,'ECN-ECO_DATA'!B:V,20,FALSE)=0/1/1900,"",VLOOKUP(A332,'ECN-ECO_DATA'!B:V,20,FALSE))),"")</f>
        <v/>
      </c>
      <c r="P332" s="9" t="str">
        <f>IFERROR((IF(VLOOKUP(A332,'ECN-ECO_DATA'!B:V,21,FALSE)=0/1/1900,"",VLOOKUP(A332,'ECN-ECO_DATA'!B:V,21,FALSE))),"")</f>
        <v/>
      </c>
      <c r="Q332" s="10" t="str">
        <f t="shared" ca="1" si="25"/>
        <v/>
      </c>
      <c r="R332" s="4" t="str">
        <f t="shared" si="26"/>
        <v/>
      </c>
      <c r="S332" s="4" t="str">
        <f t="shared" si="27"/>
        <v/>
      </c>
      <c r="T332" s="4" t="str">
        <f t="shared" si="28"/>
        <v/>
      </c>
      <c r="U332" s="10" t="str">
        <f t="shared" si="29"/>
        <v/>
      </c>
      <c r="V332" s="4"/>
    </row>
    <row r="333" spans="2:22" x14ac:dyDescent="0.25">
      <c r="B333" s="4" t="str">
        <f>IFERROR(VLOOKUP(A333,'ECN-ECO_DATA'!B:G,4,FALSE),"")</f>
        <v/>
      </c>
      <c r="C333" s="9" t="str">
        <f>IFERROR(VLOOKUP(A333,'ECN-ECO_DATA'!B:G,5,FALSE),"")</f>
        <v/>
      </c>
      <c r="D333" s="9" t="str">
        <f ca="1">IFERROR((IF(VLOOKUP(A333,'ECN-ECO_DATA'!B:G,6,FALSE)=0/1/1900,TODAY(),VLOOKUP(A333,'ECN-ECO_DATA'!B:G,6,FALSE))),"")</f>
        <v/>
      </c>
      <c r="E333" s="9" t="str">
        <f>IFERROR((IF(VLOOKUP(A333,'ECN-ECO_DATA'!B:G,6,FALSE)=0/1/1900,"",VLOOKUP(A333,'ECN-ECO_DATA'!B:G,6,FALSE))),"")</f>
        <v/>
      </c>
      <c r="F333" s="9" t="str">
        <f>IFERROR((IF(VLOOKUP(A333,'ECN-ECO_DATA'!B:J,7,FALSE)=0/1/1900,"",VLOOKUP(A333,'ECN-ECO_DATA'!B:J,7,FALSE))),"")</f>
        <v/>
      </c>
      <c r="G333" s="9" t="str">
        <f>IFERROR((IF(VLOOKUP(A333,'ECN-ECO_DATA'!B:J,8,FALSE)=0/1/1900,"",VLOOKUP(A333,'ECN-ECO_DATA'!B:J,8,FALSE))),"")</f>
        <v/>
      </c>
      <c r="H333" s="9" t="str">
        <f>IFERROR((IF(VLOOKUP(A333,'ECN-ECO_DATA'!B:J,9,FALSE)=0/1/1900,"",VLOOKUP(A333,'ECN-ECO_DATA'!B:J,9,FALSE))),"")</f>
        <v/>
      </c>
      <c r="I333" s="10" t="str">
        <f>IFERROR((IF(VLOOKUP(A333,'ECN-ECO_DATA'!B:Q,13,FALSE)="","",VLOOKUP(A333,'ECN-ECO_DATA'!B:Q,13,FALSE))),"")</f>
        <v/>
      </c>
      <c r="J333" s="10" t="str">
        <f>IFERROR((IF(VLOOKUP(A333,'ECN-ECO_DATA'!B:Q,14,FALSE)="","",VLOOKUP(A333,'ECN-ECO_DATA'!B:Q,14,FALSE))),"")</f>
        <v/>
      </c>
      <c r="K333" s="10" t="str">
        <f>IFERROR((IF(VLOOKUP(A333,'ECN-ECO_DATA'!B:Q,15,FALSE)="","",VLOOKUP(A333,'ECN-ECO_DATA'!B:Q,15,FALSE))),"")</f>
        <v/>
      </c>
      <c r="L333" s="10" t="str">
        <f>IFERROR((IF(VLOOKUP(A333,'ECN-ECO_DATA'!B:Q,16,FALSE)="","",VLOOKUP(A333,'ECN-ECO_DATA'!B:Q,16,FALSE))),"")</f>
        <v/>
      </c>
      <c r="M333" s="9" t="str">
        <f>IFERROR((IF(VLOOKUP(A333,'ECN-ECO_DATA'!B:V,18,FALSE)=0/1/1900,"",VLOOKUP(A333,'ECN-ECO_DATA'!B:V,18,FALSE))),"")</f>
        <v/>
      </c>
      <c r="N333" s="9" t="str">
        <f>IFERROR((IF(VLOOKUP(A333,'ECN-ECO_DATA'!B:V,19,FALSE)=0/1/1900,"",VLOOKUP(A333,'ECN-ECO_DATA'!B:V,19,FALSE))),"")</f>
        <v/>
      </c>
      <c r="O333" s="9" t="str">
        <f>IFERROR((IF(VLOOKUP(A333,'ECN-ECO_DATA'!B:V,20,FALSE)=0/1/1900,"",VLOOKUP(A333,'ECN-ECO_DATA'!B:V,20,FALSE))),"")</f>
        <v/>
      </c>
      <c r="P333" s="9" t="str">
        <f>IFERROR((IF(VLOOKUP(A333,'ECN-ECO_DATA'!B:V,21,FALSE)=0/1/1900,"",VLOOKUP(A333,'ECN-ECO_DATA'!B:V,21,FALSE))),"")</f>
        <v/>
      </c>
      <c r="Q333" s="10" t="str">
        <f t="shared" ca="1" si="25"/>
        <v/>
      </c>
      <c r="R333" s="4" t="str">
        <f t="shared" si="26"/>
        <v/>
      </c>
      <c r="S333" s="4" t="str">
        <f t="shared" si="27"/>
        <v/>
      </c>
      <c r="T333" s="4" t="str">
        <f t="shared" si="28"/>
        <v/>
      </c>
      <c r="U333" s="10" t="str">
        <f t="shared" si="29"/>
        <v/>
      </c>
      <c r="V333" s="4"/>
    </row>
    <row r="334" spans="2:22" x14ac:dyDescent="0.25">
      <c r="B334" s="4" t="str">
        <f>IFERROR(VLOOKUP(A334,'ECN-ECO_DATA'!B:G,4,FALSE),"")</f>
        <v/>
      </c>
      <c r="C334" s="9" t="str">
        <f>IFERROR(VLOOKUP(A334,'ECN-ECO_DATA'!B:G,5,FALSE),"")</f>
        <v/>
      </c>
      <c r="D334" s="9" t="str">
        <f ca="1">IFERROR((IF(VLOOKUP(A334,'ECN-ECO_DATA'!B:G,6,FALSE)=0/1/1900,TODAY(),VLOOKUP(A334,'ECN-ECO_DATA'!B:G,6,FALSE))),"")</f>
        <v/>
      </c>
      <c r="E334" s="9" t="str">
        <f>IFERROR((IF(VLOOKUP(A334,'ECN-ECO_DATA'!B:G,6,FALSE)=0/1/1900,"",VLOOKUP(A334,'ECN-ECO_DATA'!B:G,6,FALSE))),"")</f>
        <v/>
      </c>
      <c r="F334" s="9" t="str">
        <f>IFERROR((IF(VLOOKUP(A334,'ECN-ECO_DATA'!B:J,7,FALSE)=0/1/1900,"",VLOOKUP(A334,'ECN-ECO_DATA'!B:J,7,FALSE))),"")</f>
        <v/>
      </c>
      <c r="G334" s="9" t="str">
        <f>IFERROR((IF(VLOOKUP(A334,'ECN-ECO_DATA'!B:J,8,FALSE)=0/1/1900,"",VLOOKUP(A334,'ECN-ECO_DATA'!B:J,8,FALSE))),"")</f>
        <v/>
      </c>
      <c r="H334" s="9" t="str">
        <f>IFERROR((IF(VLOOKUP(A334,'ECN-ECO_DATA'!B:J,9,FALSE)=0/1/1900,"",VLOOKUP(A334,'ECN-ECO_DATA'!B:J,9,FALSE))),"")</f>
        <v/>
      </c>
      <c r="I334" s="10" t="str">
        <f>IFERROR((IF(VLOOKUP(A334,'ECN-ECO_DATA'!B:Q,13,FALSE)="","",VLOOKUP(A334,'ECN-ECO_DATA'!B:Q,13,FALSE))),"")</f>
        <v/>
      </c>
      <c r="J334" s="10" t="str">
        <f>IFERROR((IF(VLOOKUP(A334,'ECN-ECO_DATA'!B:Q,14,FALSE)="","",VLOOKUP(A334,'ECN-ECO_DATA'!B:Q,14,FALSE))),"")</f>
        <v/>
      </c>
      <c r="K334" s="10" t="str">
        <f>IFERROR((IF(VLOOKUP(A334,'ECN-ECO_DATA'!B:Q,15,FALSE)="","",VLOOKUP(A334,'ECN-ECO_DATA'!B:Q,15,FALSE))),"")</f>
        <v/>
      </c>
      <c r="L334" s="10" t="str">
        <f>IFERROR((IF(VLOOKUP(A334,'ECN-ECO_DATA'!B:Q,16,FALSE)="","",VLOOKUP(A334,'ECN-ECO_DATA'!B:Q,16,FALSE))),"")</f>
        <v/>
      </c>
      <c r="M334" s="9" t="str">
        <f>IFERROR((IF(VLOOKUP(A334,'ECN-ECO_DATA'!B:V,18,FALSE)=0/1/1900,"",VLOOKUP(A334,'ECN-ECO_DATA'!B:V,18,FALSE))),"")</f>
        <v/>
      </c>
      <c r="N334" s="9" t="str">
        <f>IFERROR((IF(VLOOKUP(A334,'ECN-ECO_DATA'!B:V,19,FALSE)=0/1/1900,"",VLOOKUP(A334,'ECN-ECO_DATA'!B:V,19,FALSE))),"")</f>
        <v/>
      </c>
      <c r="O334" s="9" t="str">
        <f>IFERROR((IF(VLOOKUP(A334,'ECN-ECO_DATA'!B:V,20,FALSE)=0/1/1900,"",VLOOKUP(A334,'ECN-ECO_DATA'!B:V,20,FALSE))),"")</f>
        <v/>
      </c>
      <c r="P334" s="9" t="str">
        <f>IFERROR((IF(VLOOKUP(A334,'ECN-ECO_DATA'!B:V,21,FALSE)=0/1/1900,"",VLOOKUP(A334,'ECN-ECO_DATA'!B:V,21,FALSE))),"")</f>
        <v/>
      </c>
      <c r="Q334" s="10" t="str">
        <f t="shared" ca="1" si="25"/>
        <v/>
      </c>
      <c r="R334" s="4" t="str">
        <f t="shared" si="26"/>
        <v/>
      </c>
      <c r="S334" s="4" t="str">
        <f t="shared" si="27"/>
        <v/>
      </c>
      <c r="T334" s="4" t="str">
        <f t="shared" si="28"/>
        <v/>
      </c>
      <c r="U334" s="10" t="str">
        <f t="shared" si="29"/>
        <v/>
      </c>
      <c r="V334" s="4"/>
    </row>
    <row r="335" spans="2:22" x14ac:dyDescent="0.25">
      <c r="B335" s="4" t="str">
        <f>IFERROR(VLOOKUP(A335,'ECN-ECO_DATA'!B:G,4,FALSE),"")</f>
        <v/>
      </c>
      <c r="C335" s="9" t="str">
        <f>IFERROR(VLOOKUP(A335,'ECN-ECO_DATA'!B:G,5,FALSE),"")</f>
        <v/>
      </c>
      <c r="D335" s="9" t="str">
        <f ca="1">IFERROR((IF(VLOOKUP(A335,'ECN-ECO_DATA'!B:G,6,FALSE)=0/1/1900,TODAY(),VLOOKUP(A335,'ECN-ECO_DATA'!B:G,6,FALSE))),"")</f>
        <v/>
      </c>
      <c r="E335" s="9" t="str">
        <f>IFERROR((IF(VLOOKUP(A335,'ECN-ECO_DATA'!B:G,6,FALSE)=0/1/1900,"",VLOOKUP(A335,'ECN-ECO_DATA'!B:G,6,FALSE))),"")</f>
        <v/>
      </c>
      <c r="F335" s="9" t="str">
        <f>IFERROR((IF(VLOOKUP(A335,'ECN-ECO_DATA'!B:J,7,FALSE)=0/1/1900,"",VLOOKUP(A335,'ECN-ECO_DATA'!B:J,7,FALSE))),"")</f>
        <v/>
      </c>
      <c r="G335" s="9" t="str">
        <f>IFERROR((IF(VLOOKUP(A335,'ECN-ECO_DATA'!B:J,8,FALSE)=0/1/1900,"",VLOOKUP(A335,'ECN-ECO_DATA'!B:J,8,FALSE))),"")</f>
        <v/>
      </c>
      <c r="H335" s="9" t="str">
        <f>IFERROR((IF(VLOOKUP(A335,'ECN-ECO_DATA'!B:J,9,FALSE)=0/1/1900,"",VLOOKUP(A335,'ECN-ECO_DATA'!B:J,9,FALSE))),"")</f>
        <v/>
      </c>
      <c r="I335" s="10" t="str">
        <f>IFERROR((IF(VLOOKUP(A335,'ECN-ECO_DATA'!B:Q,13,FALSE)="","",VLOOKUP(A335,'ECN-ECO_DATA'!B:Q,13,FALSE))),"")</f>
        <v/>
      </c>
      <c r="J335" s="10" t="str">
        <f>IFERROR((IF(VLOOKUP(A335,'ECN-ECO_DATA'!B:Q,14,FALSE)="","",VLOOKUP(A335,'ECN-ECO_DATA'!B:Q,14,FALSE))),"")</f>
        <v/>
      </c>
      <c r="K335" s="10" t="str">
        <f>IFERROR((IF(VLOOKUP(A335,'ECN-ECO_DATA'!B:Q,15,FALSE)="","",VLOOKUP(A335,'ECN-ECO_DATA'!B:Q,15,FALSE))),"")</f>
        <v/>
      </c>
      <c r="L335" s="10" t="str">
        <f>IFERROR((IF(VLOOKUP(A335,'ECN-ECO_DATA'!B:Q,16,FALSE)="","",VLOOKUP(A335,'ECN-ECO_DATA'!B:Q,16,FALSE))),"")</f>
        <v/>
      </c>
      <c r="M335" s="9" t="str">
        <f>IFERROR((IF(VLOOKUP(A335,'ECN-ECO_DATA'!B:V,18,FALSE)=0/1/1900,"",VLOOKUP(A335,'ECN-ECO_DATA'!B:V,18,FALSE))),"")</f>
        <v/>
      </c>
      <c r="N335" s="9" t="str">
        <f>IFERROR((IF(VLOOKUP(A335,'ECN-ECO_DATA'!B:V,19,FALSE)=0/1/1900,"",VLOOKUP(A335,'ECN-ECO_DATA'!B:V,19,FALSE))),"")</f>
        <v/>
      </c>
      <c r="O335" s="9" t="str">
        <f>IFERROR((IF(VLOOKUP(A335,'ECN-ECO_DATA'!B:V,20,FALSE)=0/1/1900,"",VLOOKUP(A335,'ECN-ECO_DATA'!B:V,20,FALSE))),"")</f>
        <v/>
      </c>
      <c r="P335" s="9" t="str">
        <f>IFERROR((IF(VLOOKUP(A335,'ECN-ECO_DATA'!B:V,21,FALSE)=0/1/1900,"",VLOOKUP(A335,'ECN-ECO_DATA'!B:V,21,FALSE))),"")</f>
        <v/>
      </c>
      <c r="Q335" s="10" t="str">
        <f t="shared" ca="1" si="25"/>
        <v/>
      </c>
      <c r="R335" s="4" t="str">
        <f t="shared" si="26"/>
        <v/>
      </c>
      <c r="S335" s="4" t="str">
        <f t="shared" si="27"/>
        <v/>
      </c>
      <c r="T335" s="4" t="str">
        <f t="shared" si="28"/>
        <v/>
      </c>
      <c r="U335" s="10" t="str">
        <f t="shared" si="29"/>
        <v/>
      </c>
      <c r="V335" s="4"/>
    </row>
    <row r="336" spans="2:22" x14ac:dyDescent="0.25">
      <c r="B336" s="4" t="str">
        <f>IFERROR(VLOOKUP(A336,'ECN-ECO_DATA'!B:G,4,FALSE),"")</f>
        <v/>
      </c>
      <c r="C336" s="9" t="str">
        <f>IFERROR(VLOOKUP(A336,'ECN-ECO_DATA'!B:G,5,FALSE),"")</f>
        <v/>
      </c>
      <c r="D336" s="9" t="str">
        <f ca="1">IFERROR((IF(VLOOKUP(A336,'ECN-ECO_DATA'!B:G,6,FALSE)=0/1/1900,TODAY(),VLOOKUP(A336,'ECN-ECO_DATA'!B:G,6,FALSE))),"")</f>
        <v/>
      </c>
      <c r="E336" s="9" t="str">
        <f>IFERROR((IF(VLOOKUP(A336,'ECN-ECO_DATA'!B:G,6,FALSE)=0/1/1900,"",VLOOKUP(A336,'ECN-ECO_DATA'!B:G,6,FALSE))),"")</f>
        <v/>
      </c>
      <c r="F336" s="9" t="str">
        <f>IFERROR((IF(VLOOKUP(A336,'ECN-ECO_DATA'!B:J,7,FALSE)=0/1/1900,"",VLOOKUP(A336,'ECN-ECO_DATA'!B:J,7,FALSE))),"")</f>
        <v/>
      </c>
      <c r="G336" s="9" t="str">
        <f>IFERROR((IF(VLOOKUP(A336,'ECN-ECO_DATA'!B:J,8,FALSE)=0/1/1900,"",VLOOKUP(A336,'ECN-ECO_DATA'!B:J,8,FALSE))),"")</f>
        <v/>
      </c>
      <c r="H336" s="9" t="str">
        <f>IFERROR((IF(VLOOKUP(A336,'ECN-ECO_DATA'!B:J,9,FALSE)=0/1/1900,"",VLOOKUP(A336,'ECN-ECO_DATA'!B:J,9,FALSE))),"")</f>
        <v/>
      </c>
      <c r="I336" s="10" t="str">
        <f>IFERROR((IF(VLOOKUP(A336,'ECN-ECO_DATA'!B:Q,13,FALSE)="","",VLOOKUP(A336,'ECN-ECO_DATA'!B:Q,13,FALSE))),"")</f>
        <v/>
      </c>
      <c r="J336" s="10" t="str">
        <f>IFERROR((IF(VLOOKUP(A336,'ECN-ECO_DATA'!B:Q,14,FALSE)="","",VLOOKUP(A336,'ECN-ECO_DATA'!B:Q,14,FALSE))),"")</f>
        <v/>
      </c>
      <c r="K336" s="10" t="str">
        <f>IFERROR((IF(VLOOKUP(A336,'ECN-ECO_DATA'!B:Q,15,FALSE)="","",VLOOKUP(A336,'ECN-ECO_DATA'!B:Q,15,FALSE))),"")</f>
        <v/>
      </c>
      <c r="L336" s="10" t="str">
        <f>IFERROR((IF(VLOOKUP(A336,'ECN-ECO_DATA'!B:Q,16,FALSE)="","",VLOOKUP(A336,'ECN-ECO_DATA'!B:Q,16,FALSE))),"")</f>
        <v/>
      </c>
      <c r="M336" s="9" t="str">
        <f>IFERROR((IF(VLOOKUP(A336,'ECN-ECO_DATA'!B:V,18,FALSE)=0/1/1900,"",VLOOKUP(A336,'ECN-ECO_DATA'!B:V,18,FALSE))),"")</f>
        <v/>
      </c>
      <c r="N336" s="9" t="str">
        <f>IFERROR((IF(VLOOKUP(A336,'ECN-ECO_DATA'!B:V,19,FALSE)=0/1/1900,"",VLOOKUP(A336,'ECN-ECO_DATA'!B:V,19,FALSE))),"")</f>
        <v/>
      </c>
      <c r="O336" s="9" t="str">
        <f>IFERROR((IF(VLOOKUP(A336,'ECN-ECO_DATA'!B:V,20,FALSE)=0/1/1900,"",VLOOKUP(A336,'ECN-ECO_DATA'!B:V,20,FALSE))),"")</f>
        <v/>
      </c>
      <c r="P336" s="9" t="str">
        <f>IFERROR((IF(VLOOKUP(A336,'ECN-ECO_DATA'!B:V,21,FALSE)=0/1/1900,"",VLOOKUP(A336,'ECN-ECO_DATA'!B:V,21,FALSE))),"")</f>
        <v/>
      </c>
      <c r="Q336" s="10" t="str">
        <f t="shared" ca="1" si="25"/>
        <v/>
      </c>
      <c r="R336" s="4" t="str">
        <f t="shared" si="26"/>
        <v/>
      </c>
      <c r="S336" s="4" t="str">
        <f t="shared" si="27"/>
        <v/>
      </c>
      <c r="T336" s="4" t="str">
        <f t="shared" si="28"/>
        <v/>
      </c>
      <c r="U336" s="10" t="str">
        <f t="shared" si="29"/>
        <v/>
      </c>
      <c r="V336" s="4"/>
    </row>
    <row r="337" spans="2:22" x14ac:dyDescent="0.25">
      <c r="B337" s="4" t="str">
        <f>IFERROR(VLOOKUP(A337,'ECN-ECO_DATA'!B:G,4,FALSE),"")</f>
        <v/>
      </c>
      <c r="C337" s="9" t="str">
        <f>IFERROR(VLOOKUP(A337,'ECN-ECO_DATA'!B:G,5,FALSE),"")</f>
        <v/>
      </c>
      <c r="D337" s="9" t="str">
        <f ca="1">IFERROR((IF(VLOOKUP(A337,'ECN-ECO_DATA'!B:G,6,FALSE)=0/1/1900,TODAY(),VLOOKUP(A337,'ECN-ECO_DATA'!B:G,6,FALSE))),"")</f>
        <v/>
      </c>
      <c r="E337" s="9" t="str">
        <f>IFERROR((IF(VLOOKUP(A337,'ECN-ECO_DATA'!B:G,6,FALSE)=0/1/1900,"",VLOOKUP(A337,'ECN-ECO_DATA'!B:G,6,FALSE))),"")</f>
        <v/>
      </c>
      <c r="F337" s="9" t="str">
        <f>IFERROR((IF(VLOOKUP(A337,'ECN-ECO_DATA'!B:J,7,FALSE)=0/1/1900,"",VLOOKUP(A337,'ECN-ECO_DATA'!B:J,7,FALSE))),"")</f>
        <v/>
      </c>
      <c r="G337" s="9" t="str">
        <f>IFERROR((IF(VLOOKUP(A337,'ECN-ECO_DATA'!B:J,8,FALSE)=0/1/1900,"",VLOOKUP(A337,'ECN-ECO_DATA'!B:J,8,FALSE))),"")</f>
        <v/>
      </c>
      <c r="H337" s="9" t="str">
        <f>IFERROR((IF(VLOOKUP(A337,'ECN-ECO_DATA'!B:J,9,FALSE)=0/1/1900,"",VLOOKUP(A337,'ECN-ECO_DATA'!B:J,9,FALSE))),"")</f>
        <v/>
      </c>
      <c r="I337" s="10" t="str">
        <f>IFERROR((IF(VLOOKUP(A337,'ECN-ECO_DATA'!B:Q,13,FALSE)="","",VLOOKUP(A337,'ECN-ECO_DATA'!B:Q,13,FALSE))),"")</f>
        <v/>
      </c>
      <c r="J337" s="10" t="str">
        <f>IFERROR((IF(VLOOKUP(A337,'ECN-ECO_DATA'!B:Q,14,FALSE)="","",VLOOKUP(A337,'ECN-ECO_DATA'!B:Q,14,FALSE))),"")</f>
        <v/>
      </c>
      <c r="K337" s="10" t="str">
        <f>IFERROR((IF(VLOOKUP(A337,'ECN-ECO_DATA'!B:Q,15,FALSE)="","",VLOOKUP(A337,'ECN-ECO_DATA'!B:Q,15,FALSE))),"")</f>
        <v/>
      </c>
      <c r="L337" s="10" t="str">
        <f>IFERROR((IF(VLOOKUP(A337,'ECN-ECO_DATA'!B:Q,16,FALSE)="","",VLOOKUP(A337,'ECN-ECO_DATA'!B:Q,16,FALSE))),"")</f>
        <v/>
      </c>
      <c r="M337" s="9" t="str">
        <f>IFERROR((IF(VLOOKUP(A337,'ECN-ECO_DATA'!B:V,18,FALSE)=0/1/1900,"",VLOOKUP(A337,'ECN-ECO_DATA'!B:V,18,FALSE))),"")</f>
        <v/>
      </c>
      <c r="N337" s="9" t="str">
        <f>IFERROR((IF(VLOOKUP(A337,'ECN-ECO_DATA'!B:V,19,FALSE)=0/1/1900,"",VLOOKUP(A337,'ECN-ECO_DATA'!B:V,19,FALSE))),"")</f>
        <v/>
      </c>
      <c r="O337" s="9" t="str">
        <f>IFERROR((IF(VLOOKUP(A337,'ECN-ECO_DATA'!B:V,20,FALSE)=0/1/1900,"",VLOOKUP(A337,'ECN-ECO_DATA'!B:V,20,FALSE))),"")</f>
        <v/>
      </c>
      <c r="P337" s="9" t="str">
        <f>IFERROR((IF(VLOOKUP(A337,'ECN-ECO_DATA'!B:V,21,FALSE)=0/1/1900,"",VLOOKUP(A337,'ECN-ECO_DATA'!B:V,21,FALSE))),"")</f>
        <v/>
      </c>
      <c r="Q337" s="10" t="str">
        <f t="shared" ca="1" si="25"/>
        <v/>
      </c>
      <c r="R337" s="4" t="str">
        <f t="shared" si="26"/>
        <v/>
      </c>
      <c r="S337" s="4" t="str">
        <f t="shared" si="27"/>
        <v/>
      </c>
      <c r="T337" s="4" t="str">
        <f t="shared" si="28"/>
        <v/>
      </c>
      <c r="U337" s="10" t="str">
        <f t="shared" si="29"/>
        <v/>
      </c>
      <c r="V337" s="4"/>
    </row>
    <row r="338" spans="2:22" x14ac:dyDescent="0.25">
      <c r="B338" s="4" t="str">
        <f>IFERROR(VLOOKUP(A338,'ECN-ECO_DATA'!B:G,4,FALSE),"")</f>
        <v/>
      </c>
      <c r="C338" s="9" t="str">
        <f>IFERROR(VLOOKUP(A338,'ECN-ECO_DATA'!B:G,5,FALSE),"")</f>
        <v/>
      </c>
      <c r="D338" s="9" t="str">
        <f ca="1">IFERROR((IF(VLOOKUP(A338,'ECN-ECO_DATA'!B:G,6,FALSE)=0/1/1900,TODAY(),VLOOKUP(A338,'ECN-ECO_DATA'!B:G,6,FALSE))),"")</f>
        <v/>
      </c>
      <c r="E338" s="9" t="str">
        <f>IFERROR((IF(VLOOKUP(A338,'ECN-ECO_DATA'!B:G,6,FALSE)=0/1/1900,"",VLOOKUP(A338,'ECN-ECO_DATA'!B:G,6,FALSE))),"")</f>
        <v/>
      </c>
      <c r="F338" s="9" t="str">
        <f>IFERROR((IF(VLOOKUP(A338,'ECN-ECO_DATA'!B:J,7,FALSE)=0/1/1900,"",VLOOKUP(A338,'ECN-ECO_DATA'!B:J,7,FALSE))),"")</f>
        <v/>
      </c>
      <c r="G338" s="9" t="str">
        <f>IFERROR((IF(VLOOKUP(A338,'ECN-ECO_DATA'!B:J,8,FALSE)=0/1/1900,"",VLOOKUP(A338,'ECN-ECO_DATA'!B:J,8,FALSE))),"")</f>
        <v/>
      </c>
      <c r="H338" s="9" t="str">
        <f>IFERROR((IF(VLOOKUP(A338,'ECN-ECO_DATA'!B:J,9,FALSE)=0/1/1900,"",VLOOKUP(A338,'ECN-ECO_DATA'!B:J,9,FALSE))),"")</f>
        <v/>
      </c>
      <c r="I338" s="10" t="str">
        <f>IFERROR((IF(VLOOKUP(A338,'ECN-ECO_DATA'!B:Q,13,FALSE)="","",VLOOKUP(A338,'ECN-ECO_DATA'!B:Q,13,FALSE))),"")</f>
        <v/>
      </c>
      <c r="J338" s="10" t="str">
        <f>IFERROR((IF(VLOOKUP(A338,'ECN-ECO_DATA'!B:Q,14,FALSE)="","",VLOOKUP(A338,'ECN-ECO_DATA'!B:Q,14,FALSE))),"")</f>
        <v/>
      </c>
      <c r="K338" s="10" t="str">
        <f>IFERROR((IF(VLOOKUP(A338,'ECN-ECO_DATA'!B:Q,15,FALSE)="","",VLOOKUP(A338,'ECN-ECO_DATA'!B:Q,15,FALSE))),"")</f>
        <v/>
      </c>
      <c r="L338" s="10" t="str">
        <f>IFERROR((IF(VLOOKUP(A338,'ECN-ECO_DATA'!B:Q,16,FALSE)="","",VLOOKUP(A338,'ECN-ECO_DATA'!B:Q,16,FALSE))),"")</f>
        <v/>
      </c>
      <c r="M338" s="9" t="str">
        <f>IFERROR((IF(VLOOKUP(A338,'ECN-ECO_DATA'!B:V,18,FALSE)=0/1/1900,"",VLOOKUP(A338,'ECN-ECO_DATA'!B:V,18,FALSE))),"")</f>
        <v/>
      </c>
      <c r="N338" s="9" t="str">
        <f>IFERROR((IF(VLOOKUP(A338,'ECN-ECO_DATA'!B:V,19,FALSE)=0/1/1900,"",VLOOKUP(A338,'ECN-ECO_DATA'!B:V,19,FALSE))),"")</f>
        <v/>
      </c>
      <c r="O338" s="9" t="str">
        <f>IFERROR((IF(VLOOKUP(A338,'ECN-ECO_DATA'!B:V,20,FALSE)=0/1/1900,"",VLOOKUP(A338,'ECN-ECO_DATA'!B:V,20,FALSE))),"")</f>
        <v/>
      </c>
      <c r="P338" s="9" t="str">
        <f>IFERROR((IF(VLOOKUP(A338,'ECN-ECO_DATA'!B:V,21,FALSE)=0/1/1900,"",VLOOKUP(A338,'ECN-ECO_DATA'!B:V,21,FALSE))),"")</f>
        <v/>
      </c>
      <c r="Q338" s="10" t="str">
        <f t="shared" ca="1" si="25"/>
        <v/>
      </c>
      <c r="R338" s="4" t="str">
        <f t="shared" si="26"/>
        <v/>
      </c>
      <c r="S338" s="4" t="str">
        <f t="shared" si="27"/>
        <v/>
      </c>
      <c r="T338" s="4" t="str">
        <f t="shared" si="28"/>
        <v/>
      </c>
      <c r="U338" s="10" t="str">
        <f t="shared" si="29"/>
        <v/>
      </c>
      <c r="V338" s="4"/>
    </row>
    <row r="339" spans="2:22" x14ac:dyDescent="0.25">
      <c r="B339" s="4" t="str">
        <f>IFERROR(VLOOKUP(A339,'ECN-ECO_DATA'!B:G,4,FALSE),"")</f>
        <v/>
      </c>
      <c r="C339" s="9" t="str">
        <f>IFERROR(VLOOKUP(A339,'ECN-ECO_DATA'!B:G,5,FALSE),"")</f>
        <v/>
      </c>
      <c r="D339" s="9" t="str">
        <f ca="1">IFERROR((IF(VLOOKUP(A339,'ECN-ECO_DATA'!B:G,6,FALSE)=0/1/1900,TODAY(),VLOOKUP(A339,'ECN-ECO_DATA'!B:G,6,FALSE))),"")</f>
        <v/>
      </c>
      <c r="E339" s="9" t="str">
        <f>IFERROR((IF(VLOOKUP(A339,'ECN-ECO_DATA'!B:G,6,FALSE)=0/1/1900,"",VLOOKUP(A339,'ECN-ECO_DATA'!B:G,6,FALSE))),"")</f>
        <v/>
      </c>
      <c r="F339" s="9" t="str">
        <f>IFERROR((IF(VLOOKUP(A339,'ECN-ECO_DATA'!B:J,7,FALSE)=0/1/1900,"",VLOOKUP(A339,'ECN-ECO_DATA'!B:J,7,FALSE))),"")</f>
        <v/>
      </c>
      <c r="G339" s="9" t="str">
        <f>IFERROR((IF(VLOOKUP(A339,'ECN-ECO_DATA'!B:J,8,FALSE)=0/1/1900,"",VLOOKUP(A339,'ECN-ECO_DATA'!B:J,8,FALSE))),"")</f>
        <v/>
      </c>
      <c r="H339" s="9" t="str">
        <f>IFERROR((IF(VLOOKUP(A339,'ECN-ECO_DATA'!B:J,9,FALSE)=0/1/1900,"",VLOOKUP(A339,'ECN-ECO_DATA'!B:J,9,FALSE))),"")</f>
        <v/>
      </c>
      <c r="I339" s="10" t="str">
        <f>IFERROR((IF(VLOOKUP(A339,'ECN-ECO_DATA'!B:Q,13,FALSE)="","",VLOOKUP(A339,'ECN-ECO_DATA'!B:Q,13,FALSE))),"")</f>
        <v/>
      </c>
      <c r="J339" s="10" t="str">
        <f>IFERROR((IF(VLOOKUP(A339,'ECN-ECO_DATA'!B:Q,14,FALSE)="","",VLOOKUP(A339,'ECN-ECO_DATA'!B:Q,14,FALSE))),"")</f>
        <v/>
      </c>
      <c r="K339" s="10" t="str">
        <f>IFERROR((IF(VLOOKUP(A339,'ECN-ECO_DATA'!B:Q,15,FALSE)="","",VLOOKUP(A339,'ECN-ECO_DATA'!B:Q,15,FALSE))),"")</f>
        <v/>
      </c>
      <c r="L339" s="10" t="str">
        <f>IFERROR((IF(VLOOKUP(A339,'ECN-ECO_DATA'!B:Q,16,FALSE)="","",VLOOKUP(A339,'ECN-ECO_DATA'!B:Q,16,FALSE))),"")</f>
        <v/>
      </c>
      <c r="M339" s="9" t="str">
        <f>IFERROR((IF(VLOOKUP(A339,'ECN-ECO_DATA'!B:V,18,FALSE)=0/1/1900,"",VLOOKUP(A339,'ECN-ECO_DATA'!B:V,18,FALSE))),"")</f>
        <v/>
      </c>
      <c r="N339" s="9" t="str">
        <f>IFERROR((IF(VLOOKUP(A339,'ECN-ECO_DATA'!B:V,19,FALSE)=0/1/1900,"",VLOOKUP(A339,'ECN-ECO_DATA'!B:V,19,FALSE))),"")</f>
        <v/>
      </c>
      <c r="O339" s="9" t="str">
        <f>IFERROR((IF(VLOOKUP(A339,'ECN-ECO_DATA'!B:V,20,FALSE)=0/1/1900,"",VLOOKUP(A339,'ECN-ECO_DATA'!B:V,20,FALSE))),"")</f>
        <v/>
      </c>
      <c r="P339" s="9" t="str">
        <f>IFERROR((IF(VLOOKUP(A339,'ECN-ECO_DATA'!B:V,21,FALSE)=0/1/1900,"",VLOOKUP(A339,'ECN-ECO_DATA'!B:V,21,FALSE))),"")</f>
        <v/>
      </c>
      <c r="Q339" s="10" t="str">
        <f t="shared" ca="1" si="25"/>
        <v/>
      </c>
      <c r="R339" s="4" t="str">
        <f t="shared" si="26"/>
        <v/>
      </c>
      <c r="S339" s="4" t="str">
        <f t="shared" si="27"/>
        <v/>
      </c>
      <c r="T339" s="4" t="str">
        <f t="shared" si="28"/>
        <v/>
      </c>
      <c r="U339" s="10" t="str">
        <f t="shared" si="29"/>
        <v/>
      </c>
      <c r="V339" s="4"/>
    </row>
    <row r="340" spans="2:22" x14ac:dyDescent="0.25">
      <c r="B340" s="4" t="str">
        <f>IFERROR(VLOOKUP(A340,'ECN-ECO_DATA'!B:G,4,FALSE),"")</f>
        <v/>
      </c>
      <c r="C340" s="9" t="str">
        <f>IFERROR(VLOOKUP(A340,'ECN-ECO_DATA'!B:G,5,FALSE),"")</f>
        <v/>
      </c>
      <c r="D340" s="9" t="str">
        <f ca="1">IFERROR((IF(VLOOKUP(A340,'ECN-ECO_DATA'!B:G,6,FALSE)=0/1/1900,TODAY(),VLOOKUP(A340,'ECN-ECO_DATA'!B:G,6,FALSE))),"")</f>
        <v/>
      </c>
      <c r="E340" s="9" t="str">
        <f>IFERROR((IF(VLOOKUP(A340,'ECN-ECO_DATA'!B:G,6,FALSE)=0/1/1900,"",VLOOKUP(A340,'ECN-ECO_DATA'!B:G,6,FALSE))),"")</f>
        <v/>
      </c>
      <c r="F340" s="9" t="str">
        <f>IFERROR((IF(VLOOKUP(A340,'ECN-ECO_DATA'!B:J,7,FALSE)=0/1/1900,"",VLOOKUP(A340,'ECN-ECO_DATA'!B:J,7,FALSE))),"")</f>
        <v/>
      </c>
      <c r="G340" s="9" t="str">
        <f>IFERROR((IF(VLOOKUP(A340,'ECN-ECO_DATA'!B:J,8,FALSE)=0/1/1900,"",VLOOKUP(A340,'ECN-ECO_DATA'!B:J,8,FALSE))),"")</f>
        <v/>
      </c>
      <c r="H340" s="9" t="str">
        <f>IFERROR((IF(VLOOKUP(A340,'ECN-ECO_DATA'!B:J,9,FALSE)=0/1/1900,"",VLOOKUP(A340,'ECN-ECO_DATA'!B:J,9,FALSE))),"")</f>
        <v/>
      </c>
      <c r="I340" s="10" t="str">
        <f>IFERROR((IF(VLOOKUP(A340,'ECN-ECO_DATA'!B:Q,13,FALSE)="","",VLOOKUP(A340,'ECN-ECO_DATA'!B:Q,13,FALSE))),"")</f>
        <v/>
      </c>
      <c r="J340" s="10" t="str">
        <f>IFERROR((IF(VLOOKUP(A340,'ECN-ECO_DATA'!B:Q,14,FALSE)="","",VLOOKUP(A340,'ECN-ECO_DATA'!B:Q,14,FALSE))),"")</f>
        <v/>
      </c>
      <c r="K340" s="10" t="str">
        <f>IFERROR((IF(VLOOKUP(A340,'ECN-ECO_DATA'!B:Q,15,FALSE)="","",VLOOKUP(A340,'ECN-ECO_DATA'!B:Q,15,FALSE))),"")</f>
        <v/>
      </c>
      <c r="L340" s="10" t="str">
        <f>IFERROR((IF(VLOOKUP(A340,'ECN-ECO_DATA'!B:Q,16,FALSE)="","",VLOOKUP(A340,'ECN-ECO_DATA'!B:Q,16,FALSE))),"")</f>
        <v/>
      </c>
      <c r="M340" s="9" t="str">
        <f>IFERROR((IF(VLOOKUP(A340,'ECN-ECO_DATA'!B:V,18,FALSE)=0/1/1900,"",VLOOKUP(A340,'ECN-ECO_DATA'!B:V,18,FALSE))),"")</f>
        <v/>
      </c>
      <c r="N340" s="9" t="str">
        <f>IFERROR((IF(VLOOKUP(A340,'ECN-ECO_DATA'!B:V,19,FALSE)=0/1/1900,"",VLOOKUP(A340,'ECN-ECO_DATA'!B:V,19,FALSE))),"")</f>
        <v/>
      </c>
      <c r="O340" s="9" t="str">
        <f>IFERROR((IF(VLOOKUP(A340,'ECN-ECO_DATA'!B:V,20,FALSE)=0/1/1900,"",VLOOKUP(A340,'ECN-ECO_DATA'!B:V,20,FALSE))),"")</f>
        <v/>
      </c>
      <c r="P340" s="9" t="str">
        <f>IFERROR((IF(VLOOKUP(A340,'ECN-ECO_DATA'!B:V,21,FALSE)=0/1/1900,"",VLOOKUP(A340,'ECN-ECO_DATA'!B:V,21,FALSE))),"")</f>
        <v/>
      </c>
      <c r="Q340" s="10" t="str">
        <f t="shared" ca="1" si="25"/>
        <v/>
      </c>
      <c r="R340" s="4" t="str">
        <f t="shared" si="26"/>
        <v/>
      </c>
      <c r="S340" s="4" t="str">
        <f t="shared" si="27"/>
        <v/>
      </c>
      <c r="T340" s="4" t="str">
        <f t="shared" si="28"/>
        <v/>
      </c>
      <c r="U340" s="10" t="str">
        <f t="shared" si="29"/>
        <v/>
      </c>
      <c r="V340" s="4"/>
    </row>
    <row r="341" spans="2:22" x14ac:dyDescent="0.25">
      <c r="B341" s="4" t="str">
        <f>IFERROR(VLOOKUP(A341,'ECN-ECO_DATA'!B:G,4,FALSE),"")</f>
        <v/>
      </c>
      <c r="C341" s="9" t="str">
        <f>IFERROR(VLOOKUP(A341,'ECN-ECO_DATA'!B:G,5,FALSE),"")</f>
        <v/>
      </c>
      <c r="D341" s="9" t="str">
        <f ca="1">IFERROR((IF(VLOOKUP(A341,'ECN-ECO_DATA'!B:G,6,FALSE)=0/1/1900,TODAY(),VLOOKUP(A341,'ECN-ECO_DATA'!B:G,6,FALSE))),"")</f>
        <v/>
      </c>
      <c r="E341" s="9" t="str">
        <f>IFERROR((IF(VLOOKUP(A341,'ECN-ECO_DATA'!B:G,6,FALSE)=0/1/1900,"",VLOOKUP(A341,'ECN-ECO_DATA'!B:G,6,FALSE))),"")</f>
        <v/>
      </c>
      <c r="F341" s="9" t="str">
        <f>IFERROR((IF(VLOOKUP(A341,'ECN-ECO_DATA'!B:J,7,FALSE)=0/1/1900,"",VLOOKUP(A341,'ECN-ECO_DATA'!B:J,7,FALSE))),"")</f>
        <v/>
      </c>
      <c r="G341" s="9" t="str">
        <f>IFERROR((IF(VLOOKUP(A341,'ECN-ECO_DATA'!B:J,8,FALSE)=0/1/1900,"",VLOOKUP(A341,'ECN-ECO_DATA'!B:J,8,FALSE))),"")</f>
        <v/>
      </c>
      <c r="H341" s="9" t="str">
        <f>IFERROR((IF(VLOOKUP(A341,'ECN-ECO_DATA'!B:J,9,FALSE)=0/1/1900,"",VLOOKUP(A341,'ECN-ECO_DATA'!B:J,9,FALSE))),"")</f>
        <v/>
      </c>
      <c r="I341" s="10" t="str">
        <f>IFERROR((IF(VLOOKUP(A341,'ECN-ECO_DATA'!B:Q,13,FALSE)="","",VLOOKUP(A341,'ECN-ECO_DATA'!B:Q,13,FALSE))),"")</f>
        <v/>
      </c>
      <c r="J341" s="10" t="str">
        <f>IFERROR((IF(VLOOKUP(A341,'ECN-ECO_DATA'!B:Q,14,FALSE)="","",VLOOKUP(A341,'ECN-ECO_DATA'!B:Q,14,FALSE))),"")</f>
        <v/>
      </c>
      <c r="K341" s="10" t="str">
        <f>IFERROR((IF(VLOOKUP(A341,'ECN-ECO_DATA'!B:Q,15,FALSE)="","",VLOOKUP(A341,'ECN-ECO_DATA'!B:Q,15,FALSE))),"")</f>
        <v/>
      </c>
      <c r="L341" s="10" t="str">
        <f>IFERROR((IF(VLOOKUP(A341,'ECN-ECO_DATA'!B:Q,16,FALSE)="","",VLOOKUP(A341,'ECN-ECO_DATA'!B:Q,16,FALSE))),"")</f>
        <v/>
      </c>
      <c r="M341" s="9" t="str">
        <f>IFERROR((IF(VLOOKUP(A341,'ECN-ECO_DATA'!B:V,18,FALSE)=0/1/1900,"",VLOOKUP(A341,'ECN-ECO_DATA'!B:V,18,FALSE))),"")</f>
        <v/>
      </c>
      <c r="N341" s="9" t="str">
        <f>IFERROR((IF(VLOOKUP(A341,'ECN-ECO_DATA'!B:V,19,FALSE)=0/1/1900,"",VLOOKUP(A341,'ECN-ECO_DATA'!B:V,19,FALSE))),"")</f>
        <v/>
      </c>
      <c r="O341" s="9" t="str">
        <f>IFERROR((IF(VLOOKUP(A341,'ECN-ECO_DATA'!B:V,20,FALSE)=0/1/1900,"",VLOOKUP(A341,'ECN-ECO_DATA'!B:V,20,FALSE))),"")</f>
        <v/>
      </c>
      <c r="P341" s="9" t="str">
        <f>IFERROR((IF(VLOOKUP(A341,'ECN-ECO_DATA'!B:V,21,FALSE)=0/1/1900,"",VLOOKUP(A341,'ECN-ECO_DATA'!B:V,21,FALSE))),"")</f>
        <v/>
      </c>
      <c r="Q341" s="10" t="str">
        <f t="shared" ca="1" si="25"/>
        <v/>
      </c>
      <c r="R341" s="4" t="str">
        <f t="shared" si="26"/>
        <v/>
      </c>
      <c r="S341" s="4" t="str">
        <f t="shared" si="27"/>
        <v/>
      </c>
      <c r="T341" s="4" t="str">
        <f t="shared" si="28"/>
        <v/>
      </c>
      <c r="U341" s="10" t="str">
        <f t="shared" si="29"/>
        <v/>
      </c>
      <c r="V341" s="4"/>
    </row>
    <row r="342" spans="2:22" x14ac:dyDescent="0.25">
      <c r="B342" s="4" t="str">
        <f>IFERROR(VLOOKUP(A342,'ECN-ECO_DATA'!B:G,4,FALSE),"")</f>
        <v/>
      </c>
      <c r="C342" s="9" t="str">
        <f>IFERROR(VLOOKUP(A342,'ECN-ECO_DATA'!B:G,5,FALSE),"")</f>
        <v/>
      </c>
      <c r="D342" s="9" t="str">
        <f ca="1">IFERROR((IF(VLOOKUP(A342,'ECN-ECO_DATA'!B:G,6,FALSE)=0/1/1900,TODAY(),VLOOKUP(A342,'ECN-ECO_DATA'!B:G,6,FALSE))),"")</f>
        <v/>
      </c>
      <c r="E342" s="9" t="str">
        <f>IFERROR((IF(VLOOKUP(A342,'ECN-ECO_DATA'!B:G,6,FALSE)=0/1/1900,"",VLOOKUP(A342,'ECN-ECO_DATA'!B:G,6,FALSE))),"")</f>
        <v/>
      </c>
      <c r="F342" s="9" t="str">
        <f>IFERROR((IF(VLOOKUP(A342,'ECN-ECO_DATA'!B:J,7,FALSE)=0/1/1900,"",VLOOKUP(A342,'ECN-ECO_DATA'!B:J,7,FALSE))),"")</f>
        <v/>
      </c>
      <c r="G342" s="9" t="str">
        <f>IFERROR((IF(VLOOKUP(A342,'ECN-ECO_DATA'!B:J,8,FALSE)=0/1/1900,"",VLOOKUP(A342,'ECN-ECO_DATA'!B:J,8,FALSE))),"")</f>
        <v/>
      </c>
      <c r="H342" s="9" t="str">
        <f>IFERROR((IF(VLOOKUP(A342,'ECN-ECO_DATA'!B:J,9,FALSE)=0/1/1900,"",VLOOKUP(A342,'ECN-ECO_DATA'!B:J,9,FALSE))),"")</f>
        <v/>
      </c>
      <c r="I342" s="10" t="str">
        <f>IFERROR((IF(VLOOKUP(A342,'ECN-ECO_DATA'!B:Q,13,FALSE)="","",VLOOKUP(A342,'ECN-ECO_DATA'!B:Q,13,FALSE))),"")</f>
        <v/>
      </c>
      <c r="J342" s="10" t="str">
        <f>IFERROR((IF(VLOOKUP(A342,'ECN-ECO_DATA'!B:Q,14,FALSE)="","",VLOOKUP(A342,'ECN-ECO_DATA'!B:Q,14,FALSE))),"")</f>
        <v/>
      </c>
      <c r="K342" s="10" t="str">
        <f>IFERROR((IF(VLOOKUP(A342,'ECN-ECO_DATA'!B:Q,15,FALSE)="","",VLOOKUP(A342,'ECN-ECO_DATA'!B:Q,15,FALSE))),"")</f>
        <v/>
      </c>
      <c r="L342" s="10" t="str">
        <f>IFERROR((IF(VLOOKUP(A342,'ECN-ECO_DATA'!B:Q,16,FALSE)="","",VLOOKUP(A342,'ECN-ECO_DATA'!B:Q,16,FALSE))),"")</f>
        <v/>
      </c>
      <c r="M342" s="9" t="str">
        <f>IFERROR((IF(VLOOKUP(A342,'ECN-ECO_DATA'!B:V,18,FALSE)=0/1/1900,"",VLOOKUP(A342,'ECN-ECO_DATA'!B:V,18,FALSE))),"")</f>
        <v/>
      </c>
      <c r="N342" s="9" t="str">
        <f>IFERROR((IF(VLOOKUP(A342,'ECN-ECO_DATA'!B:V,19,FALSE)=0/1/1900,"",VLOOKUP(A342,'ECN-ECO_DATA'!B:V,19,FALSE))),"")</f>
        <v/>
      </c>
      <c r="O342" s="9" t="str">
        <f>IFERROR((IF(VLOOKUP(A342,'ECN-ECO_DATA'!B:V,20,FALSE)=0/1/1900,"",VLOOKUP(A342,'ECN-ECO_DATA'!B:V,20,FALSE))),"")</f>
        <v/>
      </c>
      <c r="P342" s="9" t="str">
        <f>IFERROR((IF(VLOOKUP(A342,'ECN-ECO_DATA'!B:V,21,FALSE)=0/1/1900,"",VLOOKUP(A342,'ECN-ECO_DATA'!B:V,21,FALSE))),"")</f>
        <v/>
      </c>
      <c r="Q342" s="10" t="str">
        <f t="shared" ca="1" si="25"/>
        <v/>
      </c>
      <c r="R342" s="4" t="str">
        <f t="shared" si="26"/>
        <v/>
      </c>
      <c r="S342" s="4" t="str">
        <f t="shared" si="27"/>
        <v/>
      </c>
      <c r="T342" s="4" t="str">
        <f t="shared" si="28"/>
        <v/>
      </c>
      <c r="U342" s="10" t="str">
        <f t="shared" si="29"/>
        <v/>
      </c>
      <c r="V342" s="4"/>
    </row>
    <row r="343" spans="2:22" x14ac:dyDescent="0.25">
      <c r="B343" s="4" t="str">
        <f>IFERROR(VLOOKUP(A343,'ECN-ECO_DATA'!B:G,4,FALSE),"")</f>
        <v/>
      </c>
      <c r="C343" s="9" t="str">
        <f>IFERROR(VLOOKUP(A343,'ECN-ECO_DATA'!B:G,5,FALSE),"")</f>
        <v/>
      </c>
      <c r="D343" s="9" t="str">
        <f ca="1">IFERROR((IF(VLOOKUP(A343,'ECN-ECO_DATA'!B:G,6,FALSE)=0/1/1900,TODAY(),VLOOKUP(A343,'ECN-ECO_DATA'!B:G,6,FALSE))),"")</f>
        <v/>
      </c>
      <c r="E343" s="9" t="str">
        <f>IFERROR((IF(VLOOKUP(A343,'ECN-ECO_DATA'!B:G,6,FALSE)=0/1/1900,"",VLOOKUP(A343,'ECN-ECO_DATA'!B:G,6,FALSE))),"")</f>
        <v/>
      </c>
      <c r="F343" s="9" t="str">
        <f>IFERROR((IF(VLOOKUP(A343,'ECN-ECO_DATA'!B:J,7,FALSE)=0/1/1900,"",VLOOKUP(A343,'ECN-ECO_DATA'!B:J,7,FALSE))),"")</f>
        <v/>
      </c>
      <c r="G343" s="9" t="str">
        <f>IFERROR((IF(VLOOKUP(A343,'ECN-ECO_DATA'!B:J,8,FALSE)=0/1/1900,"",VLOOKUP(A343,'ECN-ECO_DATA'!B:J,8,FALSE))),"")</f>
        <v/>
      </c>
      <c r="H343" s="9" t="str">
        <f>IFERROR((IF(VLOOKUP(A343,'ECN-ECO_DATA'!B:J,9,FALSE)=0/1/1900,"",VLOOKUP(A343,'ECN-ECO_DATA'!B:J,9,FALSE))),"")</f>
        <v/>
      </c>
      <c r="I343" s="10" t="str">
        <f>IFERROR((IF(VLOOKUP(A343,'ECN-ECO_DATA'!B:Q,13,FALSE)="","",VLOOKUP(A343,'ECN-ECO_DATA'!B:Q,13,FALSE))),"")</f>
        <v/>
      </c>
      <c r="J343" s="10" t="str">
        <f>IFERROR((IF(VLOOKUP(A343,'ECN-ECO_DATA'!B:Q,14,FALSE)="","",VLOOKUP(A343,'ECN-ECO_DATA'!B:Q,14,FALSE))),"")</f>
        <v/>
      </c>
      <c r="K343" s="10" t="str">
        <f>IFERROR((IF(VLOOKUP(A343,'ECN-ECO_DATA'!B:Q,15,FALSE)="","",VLOOKUP(A343,'ECN-ECO_DATA'!B:Q,15,FALSE))),"")</f>
        <v/>
      </c>
      <c r="L343" s="10" t="str">
        <f>IFERROR((IF(VLOOKUP(A343,'ECN-ECO_DATA'!B:Q,16,FALSE)="","",VLOOKUP(A343,'ECN-ECO_DATA'!B:Q,16,FALSE))),"")</f>
        <v/>
      </c>
      <c r="M343" s="9" t="str">
        <f>IFERROR((IF(VLOOKUP(A343,'ECN-ECO_DATA'!B:V,18,FALSE)=0/1/1900,"",VLOOKUP(A343,'ECN-ECO_DATA'!B:V,18,FALSE))),"")</f>
        <v/>
      </c>
      <c r="N343" s="9" t="str">
        <f>IFERROR((IF(VLOOKUP(A343,'ECN-ECO_DATA'!B:V,19,FALSE)=0/1/1900,"",VLOOKUP(A343,'ECN-ECO_DATA'!B:V,19,FALSE))),"")</f>
        <v/>
      </c>
      <c r="O343" s="9" t="str">
        <f>IFERROR((IF(VLOOKUP(A343,'ECN-ECO_DATA'!B:V,20,FALSE)=0/1/1900,"",VLOOKUP(A343,'ECN-ECO_DATA'!B:V,20,FALSE))),"")</f>
        <v/>
      </c>
      <c r="P343" s="9" t="str">
        <f>IFERROR((IF(VLOOKUP(A343,'ECN-ECO_DATA'!B:V,21,FALSE)=0/1/1900,"",VLOOKUP(A343,'ECN-ECO_DATA'!B:V,21,FALSE))),"")</f>
        <v/>
      </c>
      <c r="Q343" s="10" t="str">
        <f t="shared" ca="1" si="25"/>
        <v/>
      </c>
      <c r="R343" s="4" t="str">
        <f t="shared" si="26"/>
        <v/>
      </c>
      <c r="S343" s="4" t="str">
        <f t="shared" si="27"/>
        <v/>
      </c>
      <c r="T343" s="4" t="str">
        <f t="shared" si="28"/>
        <v/>
      </c>
      <c r="U343" s="10" t="str">
        <f t="shared" si="29"/>
        <v/>
      </c>
      <c r="V343" s="4"/>
    </row>
    <row r="344" spans="2:22" x14ac:dyDescent="0.25">
      <c r="B344" s="4" t="str">
        <f>IFERROR(VLOOKUP(A344,'ECN-ECO_DATA'!B:G,4,FALSE),"")</f>
        <v/>
      </c>
      <c r="C344" s="9" t="str">
        <f>IFERROR(VLOOKUP(A344,'ECN-ECO_DATA'!B:G,5,FALSE),"")</f>
        <v/>
      </c>
      <c r="D344" s="9" t="str">
        <f ca="1">IFERROR((IF(VLOOKUP(A344,'ECN-ECO_DATA'!B:G,6,FALSE)=0/1/1900,TODAY(),VLOOKUP(A344,'ECN-ECO_DATA'!B:G,6,FALSE))),"")</f>
        <v/>
      </c>
      <c r="E344" s="9" t="str">
        <f>IFERROR((IF(VLOOKUP(A344,'ECN-ECO_DATA'!B:G,6,FALSE)=0/1/1900,"",VLOOKUP(A344,'ECN-ECO_DATA'!B:G,6,FALSE))),"")</f>
        <v/>
      </c>
      <c r="F344" s="9" t="str">
        <f>IFERROR((IF(VLOOKUP(A344,'ECN-ECO_DATA'!B:J,7,FALSE)=0/1/1900,"",VLOOKUP(A344,'ECN-ECO_DATA'!B:J,7,FALSE))),"")</f>
        <v/>
      </c>
      <c r="G344" s="9" t="str">
        <f>IFERROR((IF(VLOOKUP(A344,'ECN-ECO_DATA'!B:J,8,FALSE)=0/1/1900,"",VLOOKUP(A344,'ECN-ECO_DATA'!B:J,8,FALSE))),"")</f>
        <v/>
      </c>
      <c r="H344" s="9" t="str">
        <f>IFERROR((IF(VLOOKUP(A344,'ECN-ECO_DATA'!B:J,9,FALSE)=0/1/1900,"",VLOOKUP(A344,'ECN-ECO_DATA'!B:J,9,FALSE))),"")</f>
        <v/>
      </c>
      <c r="I344" s="10" t="str">
        <f>IFERROR((IF(VLOOKUP(A344,'ECN-ECO_DATA'!B:Q,13,FALSE)="","",VLOOKUP(A344,'ECN-ECO_DATA'!B:Q,13,FALSE))),"")</f>
        <v/>
      </c>
      <c r="J344" s="10" t="str">
        <f>IFERROR((IF(VLOOKUP(A344,'ECN-ECO_DATA'!B:Q,14,FALSE)="","",VLOOKUP(A344,'ECN-ECO_DATA'!B:Q,14,FALSE))),"")</f>
        <v/>
      </c>
      <c r="K344" s="10" t="str">
        <f>IFERROR((IF(VLOOKUP(A344,'ECN-ECO_DATA'!B:Q,15,FALSE)="","",VLOOKUP(A344,'ECN-ECO_DATA'!B:Q,15,FALSE))),"")</f>
        <v/>
      </c>
      <c r="L344" s="10" t="str">
        <f>IFERROR((IF(VLOOKUP(A344,'ECN-ECO_DATA'!B:Q,16,FALSE)="","",VLOOKUP(A344,'ECN-ECO_DATA'!B:Q,16,FALSE))),"")</f>
        <v/>
      </c>
      <c r="M344" s="9" t="str">
        <f>IFERROR((IF(VLOOKUP(A344,'ECN-ECO_DATA'!B:V,18,FALSE)=0/1/1900,"",VLOOKUP(A344,'ECN-ECO_DATA'!B:V,18,FALSE))),"")</f>
        <v/>
      </c>
      <c r="N344" s="9" t="str">
        <f>IFERROR((IF(VLOOKUP(A344,'ECN-ECO_DATA'!B:V,19,FALSE)=0/1/1900,"",VLOOKUP(A344,'ECN-ECO_DATA'!B:V,19,FALSE))),"")</f>
        <v/>
      </c>
      <c r="O344" s="9" t="str">
        <f>IFERROR((IF(VLOOKUP(A344,'ECN-ECO_DATA'!B:V,20,FALSE)=0/1/1900,"",VLOOKUP(A344,'ECN-ECO_DATA'!B:V,20,FALSE))),"")</f>
        <v/>
      </c>
      <c r="P344" s="9" t="str">
        <f>IFERROR((IF(VLOOKUP(A344,'ECN-ECO_DATA'!B:V,21,FALSE)=0/1/1900,"",VLOOKUP(A344,'ECN-ECO_DATA'!B:V,21,FALSE))),"")</f>
        <v/>
      </c>
      <c r="Q344" s="10" t="str">
        <f t="shared" ca="1" si="25"/>
        <v/>
      </c>
      <c r="R344" s="4" t="str">
        <f t="shared" si="26"/>
        <v/>
      </c>
      <c r="S344" s="4" t="str">
        <f t="shared" si="27"/>
        <v/>
      </c>
      <c r="T344" s="4" t="str">
        <f t="shared" si="28"/>
        <v/>
      </c>
      <c r="U344" s="10" t="str">
        <f t="shared" si="29"/>
        <v/>
      </c>
      <c r="V344" s="4"/>
    </row>
    <row r="345" spans="2:22" x14ac:dyDescent="0.25">
      <c r="B345" s="4" t="str">
        <f>IFERROR(VLOOKUP(A345,'ECN-ECO_DATA'!B:G,4,FALSE),"")</f>
        <v/>
      </c>
      <c r="C345" s="9" t="str">
        <f>IFERROR(VLOOKUP(A345,'ECN-ECO_DATA'!B:G,5,FALSE),"")</f>
        <v/>
      </c>
      <c r="D345" s="9" t="str">
        <f ca="1">IFERROR((IF(VLOOKUP(A345,'ECN-ECO_DATA'!B:G,6,FALSE)=0/1/1900,TODAY(),VLOOKUP(A345,'ECN-ECO_DATA'!B:G,6,FALSE))),"")</f>
        <v/>
      </c>
      <c r="E345" s="9" t="str">
        <f>IFERROR((IF(VLOOKUP(A345,'ECN-ECO_DATA'!B:G,6,FALSE)=0/1/1900,"",VLOOKUP(A345,'ECN-ECO_DATA'!B:G,6,FALSE))),"")</f>
        <v/>
      </c>
      <c r="F345" s="9" t="str">
        <f>IFERROR((IF(VLOOKUP(A345,'ECN-ECO_DATA'!B:J,7,FALSE)=0/1/1900,"",VLOOKUP(A345,'ECN-ECO_DATA'!B:J,7,FALSE))),"")</f>
        <v/>
      </c>
      <c r="G345" s="9" t="str">
        <f>IFERROR((IF(VLOOKUP(A345,'ECN-ECO_DATA'!B:J,8,FALSE)=0/1/1900,"",VLOOKUP(A345,'ECN-ECO_DATA'!B:J,8,FALSE))),"")</f>
        <v/>
      </c>
      <c r="H345" s="9" t="str">
        <f>IFERROR((IF(VLOOKUP(A345,'ECN-ECO_DATA'!B:J,9,FALSE)=0/1/1900,"",VLOOKUP(A345,'ECN-ECO_DATA'!B:J,9,FALSE))),"")</f>
        <v/>
      </c>
      <c r="I345" s="10" t="str">
        <f>IFERROR((IF(VLOOKUP(A345,'ECN-ECO_DATA'!B:Q,13,FALSE)="","",VLOOKUP(A345,'ECN-ECO_DATA'!B:Q,13,FALSE))),"")</f>
        <v/>
      </c>
      <c r="J345" s="10" t="str">
        <f>IFERROR((IF(VLOOKUP(A345,'ECN-ECO_DATA'!B:Q,14,FALSE)="","",VLOOKUP(A345,'ECN-ECO_DATA'!B:Q,14,FALSE))),"")</f>
        <v/>
      </c>
      <c r="K345" s="10" t="str">
        <f>IFERROR((IF(VLOOKUP(A345,'ECN-ECO_DATA'!B:Q,15,FALSE)="","",VLOOKUP(A345,'ECN-ECO_DATA'!B:Q,15,FALSE))),"")</f>
        <v/>
      </c>
      <c r="L345" s="10" t="str">
        <f>IFERROR((IF(VLOOKUP(A345,'ECN-ECO_DATA'!B:Q,16,FALSE)="","",VLOOKUP(A345,'ECN-ECO_DATA'!B:Q,16,FALSE))),"")</f>
        <v/>
      </c>
      <c r="M345" s="9" t="str">
        <f>IFERROR((IF(VLOOKUP(A345,'ECN-ECO_DATA'!B:V,18,FALSE)=0/1/1900,"",VLOOKUP(A345,'ECN-ECO_DATA'!B:V,18,FALSE))),"")</f>
        <v/>
      </c>
      <c r="N345" s="9" t="str">
        <f>IFERROR((IF(VLOOKUP(A345,'ECN-ECO_DATA'!B:V,19,FALSE)=0/1/1900,"",VLOOKUP(A345,'ECN-ECO_DATA'!B:V,19,FALSE))),"")</f>
        <v/>
      </c>
      <c r="O345" s="9" t="str">
        <f>IFERROR((IF(VLOOKUP(A345,'ECN-ECO_DATA'!B:V,20,FALSE)=0/1/1900,"",VLOOKUP(A345,'ECN-ECO_DATA'!B:V,20,FALSE))),"")</f>
        <v/>
      </c>
      <c r="P345" s="9" t="str">
        <f>IFERROR((IF(VLOOKUP(A345,'ECN-ECO_DATA'!B:V,21,FALSE)=0/1/1900,"",VLOOKUP(A345,'ECN-ECO_DATA'!B:V,21,FALSE))),"")</f>
        <v/>
      </c>
      <c r="Q345" s="10" t="str">
        <f t="shared" ca="1" si="25"/>
        <v/>
      </c>
      <c r="R345" s="4" t="str">
        <f t="shared" si="26"/>
        <v/>
      </c>
      <c r="S345" s="4" t="str">
        <f t="shared" si="27"/>
        <v/>
      </c>
      <c r="T345" s="4" t="str">
        <f t="shared" si="28"/>
        <v/>
      </c>
      <c r="U345" s="10" t="str">
        <f t="shared" si="29"/>
        <v/>
      </c>
      <c r="V345" s="4"/>
    </row>
    <row r="346" spans="2:22" x14ac:dyDescent="0.25">
      <c r="B346" s="4" t="str">
        <f>IFERROR(VLOOKUP(A346,'ECN-ECO_DATA'!B:G,4,FALSE),"")</f>
        <v/>
      </c>
      <c r="C346" s="9" t="str">
        <f>IFERROR(VLOOKUP(A346,'ECN-ECO_DATA'!B:G,5,FALSE),"")</f>
        <v/>
      </c>
      <c r="D346" s="9" t="str">
        <f ca="1">IFERROR((IF(VLOOKUP(A346,'ECN-ECO_DATA'!B:G,6,FALSE)=0/1/1900,TODAY(),VLOOKUP(A346,'ECN-ECO_DATA'!B:G,6,FALSE))),"")</f>
        <v/>
      </c>
      <c r="E346" s="9" t="str">
        <f>IFERROR((IF(VLOOKUP(A346,'ECN-ECO_DATA'!B:G,6,FALSE)=0/1/1900,"",VLOOKUP(A346,'ECN-ECO_DATA'!B:G,6,FALSE))),"")</f>
        <v/>
      </c>
      <c r="F346" s="9" t="str">
        <f>IFERROR((IF(VLOOKUP(A346,'ECN-ECO_DATA'!B:J,7,FALSE)=0/1/1900,"",VLOOKUP(A346,'ECN-ECO_DATA'!B:J,7,FALSE))),"")</f>
        <v/>
      </c>
      <c r="G346" s="9" t="str">
        <f>IFERROR((IF(VLOOKUP(A346,'ECN-ECO_DATA'!B:J,8,FALSE)=0/1/1900,"",VLOOKUP(A346,'ECN-ECO_DATA'!B:J,8,FALSE))),"")</f>
        <v/>
      </c>
      <c r="H346" s="9" t="str">
        <f>IFERROR((IF(VLOOKUP(A346,'ECN-ECO_DATA'!B:J,9,FALSE)=0/1/1900,"",VLOOKUP(A346,'ECN-ECO_DATA'!B:J,9,FALSE))),"")</f>
        <v/>
      </c>
      <c r="I346" s="10" t="str">
        <f>IFERROR((IF(VLOOKUP(A346,'ECN-ECO_DATA'!B:Q,13,FALSE)="","",VLOOKUP(A346,'ECN-ECO_DATA'!B:Q,13,FALSE))),"")</f>
        <v/>
      </c>
      <c r="J346" s="10" t="str">
        <f>IFERROR((IF(VLOOKUP(A346,'ECN-ECO_DATA'!B:Q,14,FALSE)="","",VLOOKUP(A346,'ECN-ECO_DATA'!B:Q,14,FALSE))),"")</f>
        <v/>
      </c>
      <c r="K346" s="10" t="str">
        <f>IFERROR((IF(VLOOKUP(A346,'ECN-ECO_DATA'!B:Q,15,FALSE)="","",VLOOKUP(A346,'ECN-ECO_DATA'!B:Q,15,FALSE))),"")</f>
        <v/>
      </c>
      <c r="L346" s="10" t="str">
        <f>IFERROR((IF(VLOOKUP(A346,'ECN-ECO_DATA'!B:Q,16,FALSE)="","",VLOOKUP(A346,'ECN-ECO_DATA'!B:Q,16,FALSE))),"")</f>
        <v/>
      </c>
      <c r="M346" s="9" t="str">
        <f>IFERROR((IF(VLOOKUP(A346,'ECN-ECO_DATA'!B:V,18,FALSE)=0/1/1900,"",VLOOKUP(A346,'ECN-ECO_DATA'!B:V,18,FALSE))),"")</f>
        <v/>
      </c>
      <c r="N346" s="9" t="str">
        <f>IFERROR((IF(VLOOKUP(A346,'ECN-ECO_DATA'!B:V,19,FALSE)=0/1/1900,"",VLOOKUP(A346,'ECN-ECO_DATA'!B:V,19,FALSE))),"")</f>
        <v/>
      </c>
      <c r="O346" s="9" t="str">
        <f>IFERROR((IF(VLOOKUP(A346,'ECN-ECO_DATA'!B:V,20,FALSE)=0/1/1900,"",VLOOKUP(A346,'ECN-ECO_DATA'!B:V,20,FALSE))),"")</f>
        <v/>
      </c>
      <c r="P346" s="9" t="str">
        <f>IFERROR((IF(VLOOKUP(A346,'ECN-ECO_DATA'!B:V,21,FALSE)=0/1/1900,"",VLOOKUP(A346,'ECN-ECO_DATA'!B:V,21,FALSE))),"")</f>
        <v/>
      </c>
      <c r="Q346" s="10" t="str">
        <f t="shared" ca="1" si="25"/>
        <v/>
      </c>
      <c r="R346" s="4" t="str">
        <f t="shared" si="26"/>
        <v/>
      </c>
      <c r="S346" s="4" t="str">
        <f t="shared" si="27"/>
        <v/>
      </c>
      <c r="T346" s="4" t="str">
        <f t="shared" si="28"/>
        <v/>
      </c>
      <c r="U346" s="10" t="str">
        <f t="shared" si="29"/>
        <v/>
      </c>
      <c r="V346" s="4"/>
    </row>
    <row r="347" spans="2:22" x14ac:dyDescent="0.25">
      <c r="B347" s="4" t="str">
        <f>IFERROR(VLOOKUP(A347,'ECN-ECO_DATA'!B:G,4,FALSE),"")</f>
        <v/>
      </c>
      <c r="C347" s="9" t="str">
        <f>IFERROR(VLOOKUP(A347,'ECN-ECO_DATA'!B:G,5,FALSE),"")</f>
        <v/>
      </c>
      <c r="D347" s="9" t="str">
        <f ca="1">IFERROR((IF(VLOOKUP(A347,'ECN-ECO_DATA'!B:G,6,FALSE)=0/1/1900,TODAY(),VLOOKUP(A347,'ECN-ECO_DATA'!B:G,6,FALSE))),"")</f>
        <v/>
      </c>
      <c r="E347" s="9" t="str">
        <f>IFERROR((IF(VLOOKUP(A347,'ECN-ECO_DATA'!B:G,6,FALSE)=0/1/1900,"",VLOOKUP(A347,'ECN-ECO_DATA'!B:G,6,FALSE))),"")</f>
        <v/>
      </c>
      <c r="F347" s="9" t="str">
        <f>IFERROR((IF(VLOOKUP(A347,'ECN-ECO_DATA'!B:J,7,FALSE)=0/1/1900,"",VLOOKUP(A347,'ECN-ECO_DATA'!B:J,7,FALSE))),"")</f>
        <v/>
      </c>
      <c r="G347" s="9" t="str">
        <f>IFERROR((IF(VLOOKUP(A347,'ECN-ECO_DATA'!B:J,8,FALSE)=0/1/1900,"",VLOOKUP(A347,'ECN-ECO_DATA'!B:J,8,FALSE))),"")</f>
        <v/>
      </c>
      <c r="H347" s="9" t="str">
        <f>IFERROR((IF(VLOOKUP(A347,'ECN-ECO_DATA'!B:J,9,FALSE)=0/1/1900,"",VLOOKUP(A347,'ECN-ECO_DATA'!B:J,9,FALSE))),"")</f>
        <v/>
      </c>
      <c r="I347" s="10" t="str">
        <f>IFERROR((IF(VLOOKUP(A347,'ECN-ECO_DATA'!B:Q,13,FALSE)="","",VLOOKUP(A347,'ECN-ECO_DATA'!B:Q,13,FALSE))),"")</f>
        <v/>
      </c>
      <c r="J347" s="10" t="str">
        <f>IFERROR((IF(VLOOKUP(A347,'ECN-ECO_DATA'!B:Q,14,FALSE)="","",VLOOKUP(A347,'ECN-ECO_DATA'!B:Q,14,FALSE))),"")</f>
        <v/>
      </c>
      <c r="K347" s="10" t="str">
        <f>IFERROR((IF(VLOOKUP(A347,'ECN-ECO_DATA'!B:Q,15,FALSE)="","",VLOOKUP(A347,'ECN-ECO_DATA'!B:Q,15,FALSE))),"")</f>
        <v/>
      </c>
      <c r="L347" s="10" t="str">
        <f>IFERROR((IF(VLOOKUP(A347,'ECN-ECO_DATA'!B:Q,16,FALSE)="","",VLOOKUP(A347,'ECN-ECO_DATA'!B:Q,16,FALSE))),"")</f>
        <v/>
      </c>
      <c r="M347" s="9" t="str">
        <f>IFERROR((IF(VLOOKUP(A347,'ECN-ECO_DATA'!B:V,18,FALSE)=0/1/1900,"",VLOOKUP(A347,'ECN-ECO_DATA'!B:V,18,FALSE))),"")</f>
        <v/>
      </c>
      <c r="N347" s="9" t="str">
        <f>IFERROR((IF(VLOOKUP(A347,'ECN-ECO_DATA'!B:V,19,FALSE)=0/1/1900,"",VLOOKUP(A347,'ECN-ECO_DATA'!B:V,19,FALSE))),"")</f>
        <v/>
      </c>
      <c r="O347" s="9" t="str">
        <f>IFERROR((IF(VLOOKUP(A347,'ECN-ECO_DATA'!B:V,20,FALSE)=0/1/1900,"",VLOOKUP(A347,'ECN-ECO_DATA'!B:V,20,FALSE))),"")</f>
        <v/>
      </c>
      <c r="P347" s="9" t="str">
        <f>IFERROR((IF(VLOOKUP(A347,'ECN-ECO_DATA'!B:V,21,FALSE)=0/1/1900,"",VLOOKUP(A347,'ECN-ECO_DATA'!B:V,21,FALSE))),"")</f>
        <v/>
      </c>
      <c r="Q347" s="10" t="str">
        <f t="shared" ca="1" si="25"/>
        <v/>
      </c>
      <c r="R347" s="4" t="str">
        <f t="shared" si="26"/>
        <v/>
      </c>
      <c r="S347" s="4" t="str">
        <f t="shared" si="27"/>
        <v/>
      </c>
      <c r="T347" s="4" t="str">
        <f t="shared" si="28"/>
        <v/>
      </c>
      <c r="U347" s="10" t="str">
        <f t="shared" si="29"/>
        <v/>
      </c>
      <c r="V347" s="4"/>
    </row>
    <row r="348" spans="2:22" x14ac:dyDescent="0.25">
      <c r="B348" s="4" t="str">
        <f>IFERROR(VLOOKUP(A348,'ECN-ECO_DATA'!B:G,4,FALSE),"")</f>
        <v/>
      </c>
      <c r="C348" s="9" t="str">
        <f>IFERROR(VLOOKUP(A348,'ECN-ECO_DATA'!B:G,5,FALSE),"")</f>
        <v/>
      </c>
      <c r="D348" s="9" t="str">
        <f ca="1">IFERROR((IF(VLOOKUP(A348,'ECN-ECO_DATA'!B:G,6,FALSE)=0/1/1900,TODAY(),VLOOKUP(A348,'ECN-ECO_DATA'!B:G,6,FALSE))),"")</f>
        <v/>
      </c>
      <c r="E348" s="9" t="str">
        <f>IFERROR((IF(VLOOKUP(A348,'ECN-ECO_DATA'!B:G,6,FALSE)=0/1/1900,"",VLOOKUP(A348,'ECN-ECO_DATA'!B:G,6,FALSE))),"")</f>
        <v/>
      </c>
      <c r="F348" s="9" t="str">
        <f>IFERROR((IF(VLOOKUP(A348,'ECN-ECO_DATA'!B:J,7,FALSE)=0/1/1900,"",VLOOKUP(A348,'ECN-ECO_DATA'!B:J,7,FALSE))),"")</f>
        <v/>
      </c>
      <c r="G348" s="9" t="str">
        <f>IFERROR((IF(VLOOKUP(A348,'ECN-ECO_DATA'!B:J,8,FALSE)=0/1/1900,"",VLOOKUP(A348,'ECN-ECO_DATA'!B:J,8,FALSE))),"")</f>
        <v/>
      </c>
      <c r="H348" s="9" t="str">
        <f>IFERROR((IF(VLOOKUP(A348,'ECN-ECO_DATA'!B:J,9,FALSE)=0/1/1900,"",VLOOKUP(A348,'ECN-ECO_DATA'!B:J,9,FALSE))),"")</f>
        <v/>
      </c>
      <c r="I348" s="10" t="str">
        <f>IFERROR((IF(VLOOKUP(A348,'ECN-ECO_DATA'!B:Q,13,FALSE)="","",VLOOKUP(A348,'ECN-ECO_DATA'!B:Q,13,FALSE))),"")</f>
        <v/>
      </c>
      <c r="J348" s="10" t="str">
        <f>IFERROR((IF(VLOOKUP(A348,'ECN-ECO_DATA'!B:Q,14,FALSE)="","",VLOOKUP(A348,'ECN-ECO_DATA'!B:Q,14,FALSE))),"")</f>
        <v/>
      </c>
      <c r="K348" s="10" t="str">
        <f>IFERROR((IF(VLOOKUP(A348,'ECN-ECO_DATA'!B:Q,15,FALSE)="","",VLOOKUP(A348,'ECN-ECO_DATA'!B:Q,15,FALSE))),"")</f>
        <v/>
      </c>
      <c r="L348" s="10" t="str">
        <f>IFERROR((IF(VLOOKUP(A348,'ECN-ECO_DATA'!B:Q,16,FALSE)="","",VLOOKUP(A348,'ECN-ECO_DATA'!B:Q,16,FALSE))),"")</f>
        <v/>
      </c>
      <c r="M348" s="9" t="str">
        <f>IFERROR((IF(VLOOKUP(A348,'ECN-ECO_DATA'!B:V,18,FALSE)=0/1/1900,"",VLOOKUP(A348,'ECN-ECO_DATA'!B:V,18,FALSE))),"")</f>
        <v/>
      </c>
      <c r="N348" s="9" t="str">
        <f>IFERROR((IF(VLOOKUP(A348,'ECN-ECO_DATA'!B:V,19,FALSE)=0/1/1900,"",VLOOKUP(A348,'ECN-ECO_DATA'!B:V,19,FALSE))),"")</f>
        <v/>
      </c>
      <c r="O348" s="9" t="str">
        <f>IFERROR((IF(VLOOKUP(A348,'ECN-ECO_DATA'!B:V,20,FALSE)=0/1/1900,"",VLOOKUP(A348,'ECN-ECO_DATA'!B:V,20,FALSE))),"")</f>
        <v/>
      </c>
      <c r="P348" s="9" t="str">
        <f>IFERROR((IF(VLOOKUP(A348,'ECN-ECO_DATA'!B:V,21,FALSE)=0/1/1900,"",VLOOKUP(A348,'ECN-ECO_DATA'!B:V,21,FALSE))),"")</f>
        <v/>
      </c>
      <c r="Q348" s="10" t="str">
        <f t="shared" ca="1" si="25"/>
        <v/>
      </c>
      <c r="R348" s="4" t="str">
        <f t="shared" si="26"/>
        <v/>
      </c>
      <c r="S348" s="4" t="str">
        <f t="shared" si="27"/>
        <v/>
      </c>
      <c r="T348" s="4" t="str">
        <f t="shared" si="28"/>
        <v/>
      </c>
      <c r="U348" s="10" t="str">
        <f t="shared" si="29"/>
        <v/>
      </c>
      <c r="V348" s="4"/>
    </row>
    <row r="349" spans="2:22" x14ac:dyDescent="0.25">
      <c r="B349" s="4" t="str">
        <f>IFERROR(VLOOKUP(A349,'ECN-ECO_DATA'!B:G,4,FALSE),"")</f>
        <v/>
      </c>
      <c r="C349" s="9" t="str">
        <f>IFERROR(VLOOKUP(A349,'ECN-ECO_DATA'!B:G,5,FALSE),"")</f>
        <v/>
      </c>
      <c r="D349" s="9" t="str">
        <f ca="1">IFERROR((IF(VLOOKUP(A349,'ECN-ECO_DATA'!B:G,6,FALSE)=0/1/1900,TODAY(),VLOOKUP(A349,'ECN-ECO_DATA'!B:G,6,FALSE))),"")</f>
        <v/>
      </c>
      <c r="E349" s="9" t="str">
        <f>IFERROR((IF(VLOOKUP(A349,'ECN-ECO_DATA'!B:G,6,FALSE)=0/1/1900,"",VLOOKUP(A349,'ECN-ECO_DATA'!B:G,6,FALSE))),"")</f>
        <v/>
      </c>
      <c r="F349" s="9" t="str">
        <f>IFERROR((IF(VLOOKUP(A349,'ECN-ECO_DATA'!B:J,7,FALSE)=0/1/1900,"",VLOOKUP(A349,'ECN-ECO_DATA'!B:J,7,FALSE))),"")</f>
        <v/>
      </c>
      <c r="G349" s="9" t="str">
        <f>IFERROR((IF(VLOOKUP(A349,'ECN-ECO_DATA'!B:J,8,FALSE)=0/1/1900,"",VLOOKUP(A349,'ECN-ECO_DATA'!B:J,8,FALSE))),"")</f>
        <v/>
      </c>
      <c r="H349" s="9" t="str">
        <f>IFERROR((IF(VLOOKUP(A349,'ECN-ECO_DATA'!B:J,9,FALSE)=0/1/1900,"",VLOOKUP(A349,'ECN-ECO_DATA'!B:J,9,FALSE))),"")</f>
        <v/>
      </c>
      <c r="I349" s="10" t="str">
        <f>IFERROR((IF(VLOOKUP(A349,'ECN-ECO_DATA'!B:Q,13,FALSE)="","",VLOOKUP(A349,'ECN-ECO_DATA'!B:Q,13,FALSE))),"")</f>
        <v/>
      </c>
      <c r="J349" s="10" t="str">
        <f>IFERROR((IF(VLOOKUP(A349,'ECN-ECO_DATA'!B:Q,14,FALSE)="","",VLOOKUP(A349,'ECN-ECO_DATA'!B:Q,14,FALSE))),"")</f>
        <v/>
      </c>
      <c r="K349" s="10" t="str">
        <f>IFERROR((IF(VLOOKUP(A349,'ECN-ECO_DATA'!B:Q,15,FALSE)="","",VLOOKUP(A349,'ECN-ECO_DATA'!B:Q,15,FALSE))),"")</f>
        <v/>
      </c>
      <c r="L349" s="10" t="str">
        <f>IFERROR((IF(VLOOKUP(A349,'ECN-ECO_DATA'!B:Q,16,FALSE)="","",VLOOKUP(A349,'ECN-ECO_DATA'!B:Q,16,FALSE))),"")</f>
        <v/>
      </c>
      <c r="M349" s="9" t="str">
        <f>IFERROR((IF(VLOOKUP(A349,'ECN-ECO_DATA'!B:V,18,FALSE)=0/1/1900,"",VLOOKUP(A349,'ECN-ECO_DATA'!B:V,18,FALSE))),"")</f>
        <v/>
      </c>
      <c r="N349" s="9" t="str">
        <f>IFERROR((IF(VLOOKUP(A349,'ECN-ECO_DATA'!B:V,19,FALSE)=0/1/1900,"",VLOOKUP(A349,'ECN-ECO_DATA'!B:V,19,FALSE))),"")</f>
        <v/>
      </c>
      <c r="O349" s="9" t="str">
        <f>IFERROR((IF(VLOOKUP(A349,'ECN-ECO_DATA'!B:V,20,FALSE)=0/1/1900,"",VLOOKUP(A349,'ECN-ECO_DATA'!B:V,20,FALSE))),"")</f>
        <v/>
      </c>
      <c r="P349" s="9" t="str">
        <f>IFERROR((IF(VLOOKUP(A349,'ECN-ECO_DATA'!B:V,21,FALSE)=0/1/1900,"",VLOOKUP(A349,'ECN-ECO_DATA'!B:V,21,FALSE))),"")</f>
        <v/>
      </c>
      <c r="Q349" s="10" t="str">
        <f t="shared" ca="1" si="25"/>
        <v/>
      </c>
      <c r="R349" s="4" t="str">
        <f t="shared" si="26"/>
        <v/>
      </c>
      <c r="S349" s="4" t="str">
        <f t="shared" si="27"/>
        <v/>
      </c>
      <c r="T349" s="4" t="str">
        <f t="shared" si="28"/>
        <v/>
      </c>
      <c r="U349" s="10" t="str">
        <f t="shared" si="29"/>
        <v/>
      </c>
      <c r="V349" s="4"/>
    </row>
    <row r="350" spans="2:22" x14ac:dyDescent="0.25">
      <c r="B350" s="4" t="str">
        <f>IFERROR(VLOOKUP(A350,'ECN-ECO_DATA'!B:G,4,FALSE),"")</f>
        <v/>
      </c>
      <c r="C350" s="9" t="str">
        <f>IFERROR(VLOOKUP(A350,'ECN-ECO_DATA'!B:G,5,FALSE),"")</f>
        <v/>
      </c>
      <c r="D350" s="9" t="str">
        <f ca="1">IFERROR((IF(VLOOKUP(A350,'ECN-ECO_DATA'!B:G,6,FALSE)=0/1/1900,TODAY(),VLOOKUP(A350,'ECN-ECO_DATA'!B:G,6,FALSE))),"")</f>
        <v/>
      </c>
      <c r="E350" s="9" t="str">
        <f>IFERROR((IF(VLOOKUP(A350,'ECN-ECO_DATA'!B:G,6,FALSE)=0/1/1900,"",VLOOKUP(A350,'ECN-ECO_DATA'!B:G,6,FALSE))),"")</f>
        <v/>
      </c>
      <c r="F350" s="9" t="str">
        <f>IFERROR((IF(VLOOKUP(A350,'ECN-ECO_DATA'!B:J,7,FALSE)=0/1/1900,"",VLOOKUP(A350,'ECN-ECO_DATA'!B:J,7,FALSE))),"")</f>
        <v/>
      </c>
      <c r="G350" s="9" t="str">
        <f>IFERROR((IF(VLOOKUP(A350,'ECN-ECO_DATA'!B:J,8,FALSE)=0/1/1900,"",VLOOKUP(A350,'ECN-ECO_DATA'!B:J,8,FALSE))),"")</f>
        <v/>
      </c>
      <c r="H350" s="9" t="str">
        <f>IFERROR((IF(VLOOKUP(A350,'ECN-ECO_DATA'!B:J,9,FALSE)=0/1/1900,"",VLOOKUP(A350,'ECN-ECO_DATA'!B:J,9,FALSE))),"")</f>
        <v/>
      </c>
      <c r="I350" s="10" t="str">
        <f>IFERROR((IF(VLOOKUP(A350,'ECN-ECO_DATA'!B:Q,13,FALSE)="","",VLOOKUP(A350,'ECN-ECO_DATA'!B:Q,13,FALSE))),"")</f>
        <v/>
      </c>
      <c r="J350" s="10" t="str">
        <f>IFERROR((IF(VLOOKUP(A350,'ECN-ECO_DATA'!B:Q,14,FALSE)="","",VLOOKUP(A350,'ECN-ECO_DATA'!B:Q,14,FALSE))),"")</f>
        <v/>
      </c>
      <c r="K350" s="10" t="str">
        <f>IFERROR((IF(VLOOKUP(A350,'ECN-ECO_DATA'!B:Q,15,FALSE)="","",VLOOKUP(A350,'ECN-ECO_DATA'!B:Q,15,FALSE))),"")</f>
        <v/>
      </c>
      <c r="L350" s="10" t="str">
        <f>IFERROR((IF(VLOOKUP(A350,'ECN-ECO_DATA'!B:Q,16,FALSE)="","",VLOOKUP(A350,'ECN-ECO_DATA'!B:Q,16,FALSE))),"")</f>
        <v/>
      </c>
      <c r="M350" s="9" t="str">
        <f>IFERROR((IF(VLOOKUP(A350,'ECN-ECO_DATA'!B:V,18,FALSE)=0/1/1900,"",VLOOKUP(A350,'ECN-ECO_DATA'!B:V,18,FALSE))),"")</f>
        <v/>
      </c>
      <c r="N350" s="9" t="str">
        <f>IFERROR((IF(VLOOKUP(A350,'ECN-ECO_DATA'!B:V,19,FALSE)=0/1/1900,"",VLOOKUP(A350,'ECN-ECO_DATA'!B:V,19,FALSE))),"")</f>
        <v/>
      </c>
      <c r="O350" s="9" t="str">
        <f>IFERROR((IF(VLOOKUP(A350,'ECN-ECO_DATA'!B:V,20,FALSE)=0/1/1900,"",VLOOKUP(A350,'ECN-ECO_DATA'!B:V,20,FALSE))),"")</f>
        <v/>
      </c>
      <c r="P350" s="9" t="str">
        <f>IFERROR((IF(VLOOKUP(A350,'ECN-ECO_DATA'!B:V,21,FALSE)=0/1/1900,"",VLOOKUP(A350,'ECN-ECO_DATA'!B:V,21,FALSE))),"")</f>
        <v/>
      </c>
      <c r="Q350" s="10" t="str">
        <f t="shared" ca="1" si="25"/>
        <v/>
      </c>
      <c r="R350" s="4" t="str">
        <f t="shared" si="26"/>
        <v/>
      </c>
      <c r="S350" s="4" t="str">
        <f t="shared" si="27"/>
        <v/>
      </c>
      <c r="T350" s="4" t="str">
        <f t="shared" si="28"/>
        <v/>
      </c>
      <c r="U350" s="10" t="str">
        <f t="shared" si="29"/>
        <v/>
      </c>
      <c r="V350" s="4"/>
    </row>
    <row r="351" spans="2:22" x14ac:dyDescent="0.25">
      <c r="B351" s="4" t="str">
        <f>IFERROR(VLOOKUP(A351,'ECN-ECO_DATA'!B:G,4,FALSE),"")</f>
        <v/>
      </c>
      <c r="C351" s="9" t="str">
        <f>IFERROR(VLOOKUP(A351,'ECN-ECO_DATA'!B:G,5,FALSE),"")</f>
        <v/>
      </c>
      <c r="D351" s="9" t="str">
        <f ca="1">IFERROR((IF(VLOOKUP(A351,'ECN-ECO_DATA'!B:G,6,FALSE)=0/1/1900,TODAY(),VLOOKUP(A351,'ECN-ECO_DATA'!B:G,6,FALSE))),"")</f>
        <v/>
      </c>
      <c r="E351" s="9" t="str">
        <f>IFERROR((IF(VLOOKUP(A351,'ECN-ECO_DATA'!B:G,6,FALSE)=0/1/1900,"",VLOOKUP(A351,'ECN-ECO_DATA'!B:G,6,FALSE))),"")</f>
        <v/>
      </c>
      <c r="F351" s="9" t="str">
        <f>IFERROR((IF(VLOOKUP(A351,'ECN-ECO_DATA'!B:J,7,FALSE)=0/1/1900,"",VLOOKUP(A351,'ECN-ECO_DATA'!B:J,7,FALSE))),"")</f>
        <v/>
      </c>
      <c r="G351" s="9" t="str">
        <f>IFERROR((IF(VLOOKUP(A351,'ECN-ECO_DATA'!B:J,8,FALSE)=0/1/1900,"",VLOOKUP(A351,'ECN-ECO_DATA'!B:J,8,FALSE))),"")</f>
        <v/>
      </c>
      <c r="H351" s="9" t="str">
        <f>IFERROR((IF(VLOOKUP(A351,'ECN-ECO_DATA'!B:J,9,FALSE)=0/1/1900,"",VLOOKUP(A351,'ECN-ECO_DATA'!B:J,9,FALSE))),"")</f>
        <v/>
      </c>
      <c r="I351" s="10" t="str">
        <f>IFERROR((IF(VLOOKUP(A351,'ECN-ECO_DATA'!B:Q,13,FALSE)="","",VLOOKUP(A351,'ECN-ECO_DATA'!B:Q,13,FALSE))),"")</f>
        <v/>
      </c>
      <c r="J351" s="10" t="str">
        <f>IFERROR((IF(VLOOKUP(A351,'ECN-ECO_DATA'!B:Q,14,FALSE)="","",VLOOKUP(A351,'ECN-ECO_DATA'!B:Q,14,FALSE))),"")</f>
        <v/>
      </c>
      <c r="K351" s="10" t="str">
        <f>IFERROR((IF(VLOOKUP(A351,'ECN-ECO_DATA'!B:Q,15,FALSE)="","",VLOOKUP(A351,'ECN-ECO_DATA'!B:Q,15,FALSE))),"")</f>
        <v/>
      </c>
      <c r="L351" s="10" t="str">
        <f>IFERROR((IF(VLOOKUP(A351,'ECN-ECO_DATA'!B:Q,16,FALSE)="","",VLOOKUP(A351,'ECN-ECO_DATA'!B:Q,16,FALSE))),"")</f>
        <v/>
      </c>
      <c r="M351" s="9" t="str">
        <f>IFERROR((IF(VLOOKUP(A351,'ECN-ECO_DATA'!B:V,18,FALSE)=0/1/1900,"",VLOOKUP(A351,'ECN-ECO_DATA'!B:V,18,FALSE))),"")</f>
        <v/>
      </c>
      <c r="N351" s="9" t="str">
        <f>IFERROR((IF(VLOOKUP(A351,'ECN-ECO_DATA'!B:V,19,FALSE)=0/1/1900,"",VLOOKUP(A351,'ECN-ECO_DATA'!B:V,19,FALSE))),"")</f>
        <v/>
      </c>
      <c r="O351" s="9" t="str">
        <f>IFERROR((IF(VLOOKUP(A351,'ECN-ECO_DATA'!B:V,20,FALSE)=0/1/1900,"",VLOOKUP(A351,'ECN-ECO_DATA'!B:V,20,FALSE))),"")</f>
        <v/>
      </c>
      <c r="P351" s="9" t="str">
        <f>IFERROR((IF(VLOOKUP(A351,'ECN-ECO_DATA'!B:V,21,FALSE)=0/1/1900,"",VLOOKUP(A351,'ECN-ECO_DATA'!B:V,21,FALSE))),"")</f>
        <v/>
      </c>
      <c r="Q351" s="10" t="str">
        <f t="shared" ca="1" si="25"/>
        <v/>
      </c>
      <c r="R351" s="4" t="str">
        <f t="shared" si="26"/>
        <v/>
      </c>
      <c r="S351" s="4" t="str">
        <f t="shared" si="27"/>
        <v/>
      </c>
      <c r="T351" s="4" t="str">
        <f t="shared" si="28"/>
        <v/>
      </c>
      <c r="U351" s="10" t="str">
        <f t="shared" si="29"/>
        <v/>
      </c>
      <c r="V351" s="4"/>
    </row>
    <row r="352" spans="2:22" x14ac:dyDescent="0.25">
      <c r="B352" s="4" t="str">
        <f>IFERROR(VLOOKUP(A352,'ECN-ECO_DATA'!B:G,4,FALSE),"")</f>
        <v/>
      </c>
      <c r="C352" s="9" t="str">
        <f>IFERROR(VLOOKUP(A352,'ECN-ECO_DATA'!B:G,5,FALSE),"")</f>
        <v/>
      </c>
      <c r="D352" s="9" t="str">
        <f ca="1">IFERROR((IF(VLOOKUP(A352,'ECN-ECO_DATA'!B:G,6,FALSE)=0/1/1900,TODAY(),VLOOKUP(A352,'ECN-ECO_DATA'!B:G,6,FALSE))),"")</f>
        <v/>
      </c>
      <c r="E352" s="9" t="str">
        <f>IFERROR((IF(VLOOKUP(A352,'ECN-ECO_DATA'!B:G,6,FALSE)=0/1/1900,"",VLOOKUP(A352,'ECN-ECO_DATA'!B:G,6,FALSE))),"")</f>
        <v/>
      </c>
      <c r="F352" s="9" t="str">
        <f>IFERROR((IF(VLOOKUP(A352,'ECN-ECO_DATA'!B:J,7,FALSE)=0/1/1900,"",VLOOKUP(A352,'ECN-ECO_DATA'!B:J,7,FALSE))),"")</f>
        <v/>
      </c>
      <c r="G352" s="9" t="str">
        <f>IFERROR((IF(VLOOKUP(A352,'ECN-ECO_DATA'!B:J,8,FALSE)=0/1/1900,"",VLOOKUP(A352,'ECN-ECO_DATA'!B:J,8,FALSE))),"")</f>
        <v/>
      </c>
      <c r="H352" s="9" t="str">
        <f>IFERROR((IF(VLOOKUP(A352,'ECN-ECO_DATA'!B:J,9,FALSE)=0/1/1900,"",VLOOKUP(A352,'ECN-ECO_DATA'!B:J,9,FALSE))),"")</f>
        <v/>
      </c>
      <c r="I352" s="10" t="str">
        <f>IFERROR((IF(VLOOKUP(A352,'ECN-ECO_DATA'!B:Q,13,FALSE)="","",VLOOKUP(A352,'ECN-ECO_DATA'!B:Q,13,FALSE))),"")</f>
        <v/>
      </c>
      <c r="J352" s="10" t="str">
        <f>IFERROR((IF(VLOOKUP(A352,'ECN-ECO_DATA'!B:Q,14,FALSE)="","",VLOOKUP(A352,'ECN-ECO_DATA'!B:Q,14,FALSE))),"")</f>
        <v/>
      </c>
      <c r="K352" s="10" t="str">
        <f>IFERROR((IF(VLOOKUP(A352,'ECN-ECO_DATA'!B:Q,15,FALSE)="","",VLOOKUP(A352,'ECN-ECO_DATA'!B:Q,15,FALSE))),"")</f>
        <v/>
      </c>
      <c r="L352" s="10" t="str">
        <f>IFERROR((IF(VLOOKUP(A352,'ECN-ECO_DATA'!B:Q,16,FALSE)="","",VLOOKUP(A352,'ECN-ECO_DATA'!B:Q,16,FALSE))),"")</f>
        <v/>
      </c>
      <c r="M352" s="9" t="str">
        <f>IFERROR((IF(VLOOKUP(A352,'ECN-ECO_DATA'!B:V,18,FALSE)=0/1/1900,"",VLOOKUP(A352,'ECN-ECO_DATA'!B:V,18,FALSE))),"")</f>
        <v/>
      </c>
      <c r="N352" s="9" t="str">
        <f>IFERROR((IF(VLOOKUP(A352,'ECN-ECO_DATA'!B:V,19,FALSE)=0/1/1900,"",VLOOKUP(A352,'ECN-ECO_DATA'!B:V,19,FALSE))),"")</f>
        <v/>
      </c>
      <c r="O352" s="9" t="str">
        <f>IFERROR((IF(VLOOKUP(A352,'ECN-ECO_DATA'!B:V,20,FALSE)=0/1/1900,"",VLOOKUP(A352,'ECN-ECO_DATA'!B:V,20,FALSE))),"")</f>
        <v/>
      </c>
      <c r="P352" s="9" t="str">
        <f>IFERROR((IF(VLOOKUP(A352,'ECN-ECO_DATA'!B:V,21,FALSE)=0/1/1900,"",VLOOKUP(A352,'ECN-ECO_DATA'!B:V,21,FALSE))),"")</f>
        <v/>
      </c>
      <c r="Q352" s="10" t="str">
        <f t="shared" ca="1" si="25"/>
        <v/>
      </c>
      <c r="R352" s="4" t="str">
        <f t="shared" si="26"/>
        <v/>
      </c>
      <c r="S352" s="4" t="str">
        <f t="shared" si="27"/>
        <v/>
      </c>
      <c r="T352" s="4" t="str">
        <f t="shared" si="28"/>
        <v/>
      </c>
      <c r="U352" s="10" t="str">
        <f t="shared" si="29"/>
        <v/>
      </c>
      <c r="V352" s="4"/>
    </row>
    <row r="353" spans="2:22" x14ac:dyDescent="0.25">
      <c r="B353" s="4" t="str">
        <f>IFERROR(VLOOKUP(A353,'ECN-ECO_DATA'!B:G,4,FALSE),"")</f>
        <v/>
      </c>
      <c r="C353" s="9" t="str">
        <f>IFERROR(VLOOKUP(A353,'ECN-ECO_DATA'!B:G,5,FALSE),"")</f>
        <v/>
      </c>
      <c r="D353" s="9" t="str">
        <f ca="1">IFERROR((IF(VLOOKUP(A353,'ECN-ECO_DATA'!B:G,6,FALSE)=0/1/1900,TODAY(),VLOOKUP(A353,'ECN-ECO_DATA'!B:G,6,FALSE))),"")</f>
        <v/>
      </c>
      <c r="E353" s="9" t="str">
        <f>IFERROR((IF(VLOOKUP(A353,'ECN-ECO_DATA'!B:G,6,FALSE)=0/1/1900,"",VLOOKUP(A353,'ECN-ECO_DATA'!B:G,6,FALSE))),"")</f>
        <v/>
      </c>
      <c r="F353" s="9" t="str">
        <f>IFERROR((IF(VLOOKUP(A353,'ECN-ECO_DATA'!B:J,7,FALSE)=0/1/1900,"",VLOOKUP(A353,'ECN-ECO_DATA'!B:J,7,FALSE))),"")</f>
        <v/>
      </c>
      <c r="G353" s="9" t="str">
        <f>IFERROR((IF(VLOOKUP(A353,'ECN-ECO_DATA'!B:J,8,FALSE)=0/1/1900,"",VLOOKUP(A353,'ECN-ECO_DATA'!B:J,8,FALSE))),"")</f>
        <v/>
      </c>
      <c r="H353" s="9" t="str">
        <f>IFERROR((IF(VLOOKUP(A353,'ECN-ECO_DATA'!B:J,9,FALSE)=0/1/1900,"",VLOOKUP(A353,'ECN-ECO_DATA'!B:J,9,FALSE))),"")</f>
        <v/>
      </c>
      <c r="I353" s="10" t="str">
        <f>IFERROR((IF(VLOOKUP(A353,'ECN-ECO_DATA'!B:Q,13,FALSE)="","",VLOOKUP(A353,'ECN-ECO_DATA'!B:Q,13,FALSE))),"")</f>
        <v/>
      </c>
      <c r="J353" s="10" t="str">
        <f>IFERROR((IF(VLOOKUP(A353,'ECN-ECO_DATA'!B:Q,14,FALSE)="","",VLOOKUP(A353,'ECN-ECO_DATA'!B:Q,14,FALSE))),"")</f>
        <v/>
      </c>
      <c r="K353" s="10" t="str">
        <f>IFERROR((IF(VLOOKUP(A353,'ECN-ECO_DATA'!B:Q,15,FALSE)="","",VLOOKUP(A353,'ECN-ECO_DATA'!B:Q,15,FALSE))),"")</f>
        <v/>
      </c>
      <c r="L353" s="10" t="str">
        <f>IFERROR((IF(VLOOKUP(A353,'ECN-ECO_DATA'!B:Q,16,FALSE)="","",VLOOKUP(A353,'ECN-ECO_DATA'!B:Q,16,FALSE))),"")</f>
        <v/>
      </c>
      <c r="M353" s="9" t="str">
        <f>IFERROR((IF(VLOOKUP(A353,'ECN-ECO_DATA'!B:V,18,FALSE)=0/1/1900,"",VLOOKUP(A353,'ECN-ECO_DATA'!B:V,18,FALSE))),"")</f>
        <v/>
      </c>
      <c r="N353" s="9" t="str">
        <f>IFERROR((IF(VLOOKUP(A353,'ECN-ECO_DATA'!B:V,19,FALSE)=0/1/1900,"",VLOOKUP(A353,'ECN-ECO_DATA'!B:V,19,FALSE))),"")</f>
        <v/>
      </c>
      <c r="O353" s="9" t="str">
        <f>IFERROR((IF(VLOOKUP(A353,'ECN-ECO_DATA'!B:V,20,FALSE)=0/1/1900,"",VLOOKUP(A353,'ECN-ECO_DATA'!B:V,20,FALSE))),"")</f>
        <v/>
      </c>
      <c r="P353" s="9" t="str">
        <f>IFERROR((IF(VLOOKUP(A353,'ECN-ECO_DATA'!B:V,21,FALSE)=0/1/1900,"",VLOOKUP(A353,'ECN-ECO_DATA'!B:V,21,FALSE))),"")</f>
        <v/>
      </c>
      <c r="Q353" s="10" t="str">
        <f t="shared" ca="1" si="25"/>
        <v/>
      </c>
      <c r="R353" s="4" t="str">
        <f t="shared" si="26"/>
        <v/>
      </c>
      <c r="S353" s="4" t="str">
        <f t="shared" si="27"/>
        <v/>
      </c>
      <c r="T353" s="4" t="str">
        <f t="shared" si="28"/>
        <v/>
      </c>
      <c r="U353" s="10" t="str">
        <f t="shared" si="29"/>
        <v/>
      </c>
      <c r="V353" s="4"/>
    </row>
    <row r="354" spans="2:22" x14ac:dyDescent="0.25">
      <c r="B354" s="4" t="str">
        <f>IFERROR(VLOOKUP(A354,'ECN-ECO_DATA'!B:G,4,FALSE),"")</f>
        <v/>
      </c>
      <c r="C354" s="9" t="str">
        <f>IFERROR(VLOOKUP(A354,'ECN-ECO_DATA'!B:G,5,FALSE),"")</f>
        <v/>
      </c>
      <c r="D354" s="9" t="str">
        <f ca="1">IFERROR((IF(VLOOKUP(A354,'ECN-ECO_DATA'!B:G,6,FALSE)=0/1/1900,TODAY(),VLOOKUP(A354,'ECN-ECO_DATA'!B:G,6,FALSE))),"")</f>
        <v/>
      </c>
      <c r="E354" s="9" t="str">
        <f>IFERROR((IF(VLOOKUP(A354,'ECN-ECO_DATA'!B:G,6,FALSE)=0/1/1900,"",VLOOKUP(A354,'ECN-ECO_DATA'!B:G,6,FALSE))),"")</f>
        <v/>
      </c>
      <c r="F354" s="9" t="str">
        <f>IFERROR((IF(VLOOKUP(A354,'ECN-ECO_DATA'!B:J,7,FALSE)=0/1/1900,"",VLOOKUP(A354,'ECN-ECO_DATA'!B:J,7,FALSE))),"")</f>
        <v/>
      </c>
      <c r="G354" s="9" t="str">
        <f>IFERROR((IF(VLOOKUP(A354,'ECN-ECO_DATA'!B:J,8,FALSE)=0/1/1900,"",VLOOKUP(A354,'ECN-ECO_DATA'!B:J,8,FALSE))),"")</f>
        <v/>
      </c>
      <c r="H354" s="9" t="str">
        <f>IFERROR((IF(VLOOKUP(A354,'ECN-ECO_DATA'!B:J,9,FALSE)=0/1/1900,"",VLOOKUP(A354,'ECN-ECO_DATA'!B:J,9,FALSE))),"")</f>
        <v/>
      </c>
      <c r="I354" s="10" t="str">
        <f>IFERROR((IF(VLOOKUP(A354,'ECN-ECO_DATA'!B:Q,13,FALSE)="","",VLOOKUP(A354,'ECN-ECO_DATA'!B:Q,13,FALSE))),"")</f>
        <v/>
      </c>
      <c r="J354" s="10" t="str">
        <f>IFERROR((IF(VLOOKUP(A354,'ECN-ECO_DATA'!B:Q,14,FALSE)="","",VLOOKUP(A354,'ECN-ECO_DATA'!B:Q,14,FALSE))),"")</f>
        <v/>
      </c>
      <c r="K354" s="10" t="str">
        <f>IFERROR((IF(VLOOKUP(A354,'ECN-ECO_DATA'!B:Q,15,FALSE)="","",VLOOKUP(A354,'ECN-ECO_DATA'!B:Q,15,FALSE))),"")</f>
        <v/>
      </c>
      <c r="L354" s="10" t="str">
        <f>IFERROR((IF(VLOOKUP(A354,'ECN-ECO_DATA'!B:Q,16,FALSE)="","",VLOOKUP(A354,'ECN-ECO_DATA'!B:Q,16,FALSE))),"")</f>
        <v/>
      </c>
      <c r="M354" s="9" t="str">
        <f>IFERROR((IF(VLOOKUP(A354,'ECN-ECO_DATA'!B:V,18,FALSE)=0/1/1900,"",VLOOKUP(A354,'ECN-ECO_DATA'!B:V,18,FALSE))),"")</f>
        <v/>
      </c>
      <c r="N354" s="9" t="str">
        <f>IFERROR((IF(VLOOKUP(A354,'ECN-ECO_DATA'!B:V,19,FALSE)=0/1/1900,"",VLOOKUP(A354,'ECN-ECO_DATA'!B:V,19,FALSE))),"")</f>
        <v/>
      </c>
      <c r="O354" s="9" t="str">
        <f>IFERROR((IF(VLOOKUP(A354,'ECN-ECO_DATA'!B:V,20,FALSE)=0/1/1900,"",VLOOKUP(A354,'ECN-ECO_DATA'!B:V,20,FALSE))),"")</f>
        <v/>
      </c>
      <c r="P354" s="9" t="str">
        <f>IFERROR((IF(VLOOKUP(A354,'ECN-ECO_DATA'!B:V,21,FALSE)=0/1/1900,"",VLOOKUP(A354,'ECN-ECO_DATA'!B:V,21,FALSE))),"")</f>
        <v/>
      </c>
      <c r="Q354" s="10" t="str">
        <f t="shared" ca="1" si="25"/>
        <v/>
      </c>
      <c r="R354" s="4" t="str">
        <f t="shared" si="26"/>
        <v/>
      </c>
      <c r="S354" s="4" t="str">
        <f t="shared" si="27"/>
        <v/>
      </c>
      <c r="T354" s="4" t="str">
        <f t="shared" si="28"/>
        <v/>
      </c>
      <c r="U354" s="10" t="str">
        <f t="shared" si="29"/>
        <v/>
      </c>
      <c r="V354" s="4"/>
    </row>
    <row r="355" spans="2:22" x14ac:dyDescent="0.25">
      <c r="B355" s="4" t="str">
        <f>IFERROR(VLOOKUP(A355,'ECN-ECO_DATA'!B:G,4,FALSE),"")</f>
        <v/>
      </c>
      <c r="C355" s="9" t="str">
        <f>IFERROR(VLOOKUP(A355,'ECN-ECO_DATA'!B:G,5,FALSE),"")</f>
        <v/>
      </c>
      <c r="D355" s="9" t="str">
        <f ca="1">IFERROR((IF(VLOOKUP(A355,'ECN-ECO_DATA'!B:G,6,FALSE)=0/1/1900,TODAY(),VLOOKUP(A355,'ECN-ECO_DATA'!B:G,6,FALSE))),"")</f>
        <v/>
      </c>
      <c r="E355" s="9" t="str">
        <f>IFERROR((IF(VLOOKUP(A355,'ECN-ECO_DATA'!B:G,6,FALSE)=0/1/1900,"",VLOOKUP(A355,'ECN-ECO_DATA'!B:G,6,FALSE))),"")</f>
        <v/>
      </c>
      <c r="F355" s="9" t="str">
        <f>IFERROR((IF(VLOOKUP(A355,'ECN-ECO_DATA'!B:J,7,FALSE)=0/1/1900,"",VLOOKUP(A355,'ECN-ECO_DATA'!B:J,7,FALSE))),"")</f>
        <v/>
      </c>
      <c r="G355" s="9" t="str">
        <f>IFERROR((IF(VLOOKUP(A355,'ECN-ECO_DATA'!B:J,8,FALSE)=0/1/1900,"",VLOOKUP(A355,'ECN-ECO_DATA'!B:J,8,FALSE))),"")</f>
        <v/>
      </c>
      <c r="H355" s="9" t="str">
        <f>IFERROR((IF(VLOOKUP(A355,'ECN-ECO_DATA'!B:J,9,FALSE)=0/1/1900,"",VLOOKUP(A355,'ECN-ECO_DATA'!B:J,9,FALSE))),"")</f>
        <v/>
      </c>
      <c r="I355" s="10" t="str">
        <f>IFERROR((IF(VLOOKUP(A355,'ECN-ECO_DATA'!B:Q,13,FALSE)="","",VLOOKUP(A355,'ECN-ECO_DATA'!B:Q,13,FALSE))),"")</f>
        <v/>
      </c>
      <c r="J355" s="10" t="str">
        <f>IFERROR((IF(VLOOKUP(A355,'ECN-ECO_DATA'!B:Q,14,FALSE)="","",VLOOKUP(A355,'ECN-ECO_DATA'!B:Q,14,FALSE))),"")</f>
        <v/>
      </c>
      <c r="K355" s="10" t="str">
        <f>IFERROR((IF(VLOOKUP(A355,'ECN-ECO_DATA'!B:Q,15,FALSE)="","",VLOOKUP(A355,'ECN-ECO_DATA'!B:Q,15,FALSE))),"")</f>
        <v/>
      </c>
      <c r="L355" s="10" t="str">
        <f>IFERROR((IF(VLOOKUP(A355,'ECN-ECO_DATA'!B:Q,16,FALSE)="","",VLOOKUP(A355,'ECN-ECO_DATA'!B:Q,16,FALSE))),"")</f>
        <v/>
      </c>
      <c r="M355" s="9" t="str">
        <f>IFERROR((IF(VLOOKUP(A355,'ECN-ECO_DATA'!B:V,18,FALSE)=0/1/1900,"",VLOOKUP(A355,'ECN-ECO_DATA'!B:V,18,FALSE))),"")</f>
        <v/>
      </c>
      <c r="N355" s="9" t="str">
        <f>IFERROR((IF(VLOOKUP(A355,'ECN-ECO_DATA'!B:V,19,FALSE)=0/1/1900,"",VLOOKUP(A355,'ECN-ECO_DATA'!B:V,19,FALSE))),"")</f>
        <v/>
      </c>
      <c r="O355" s="9" t="str">
        <f>IFERROR((IF(VLOOKUP(A355,'ECN-ECO_DATA'!B:V,20,FALSE)=0/1/1900,"",VLOOKUP(A355,'ECN-ECO_DATA'!B:V,20,FALSE))),"")</f>
        <v/>
      </c>
      <c r="P355" s="9" t="str">
        <f>IFERROR((IF(VLOOKUP(A355,'ECN-ECO_DATA'!B:V,21,FALSE)=0/1/1900,"",VLOOKUP(A355,'ECN-ECO_DATA'!B:V,21,FALSE))),"")</f>
        <v/>
      </c>
      <c r="Q355" s="10" t="str">
        <f t="shared" ca="1" si="25"/>
        <v/>
      </c>
      <c r="R355" s="4" t="str">
        <f t="shared" si="26"/>
        <v/>
      </c>
      <c r="S355" s="4" t="str">
        <f t="shared" si="27"/>
        <v/>
      </c>
      <c r="T355" s="4" t="str">
        <f t="shared" si="28"/>
        <v/>
      </c>
      <c r="U355" s="10" t="str">
        <f t="shared" si="29"/>
        <v/>
      </c>
      <c r="V355" s="4"/>
    </row>
    <row r="356" spans="2:22" x14ac:dyDescent="0.25">
      <c r="B356" s="4" t="str">
        <f>IFERROR(VLOOKUP(A356,'ECN-ECO_DATA'!B:G,4,FALSE),"")</f>
        <v/>
      </c>
      <c r="C356" s="9" t="str">
        <f>IFERROR(VLOOKUP(A356,'ECN-ECO_DATA'!B:G,5,FALSE),"")</f>
        <v/>
      </c>
      <c r="D356" s="9" t="str">
        <f ca="1">IFERROR((IF(VLOOKUP(A356,'ECN-ECO_DATA'!B:G,6,FALSE)=0/1/1900,TODAY(),VLOOKUP(A356,'ECN-ECO_DATA'!B:G,6,FALSE))),"")</f>
        <v/>
      </c>
      <c r="E356" s="9" t="str">
        <f>IFERROR((IF(VLOOKUP(A356,'ECN-ECO_DATA'!B:G,6,FALSE)=0/1/1900,"",VLOOKUP(A356,'ECN-ECO_DATA'!B:G,6,FALSE))),"")</f>
        <v/>
      </c>
      <c r="F356" s="9" t="str">
        <f>IFERROR((IF(VLOOKUP(A356,'ECN-ECO_DATA'!B:J,7,FALSE)=0/1/1900,"",VLOOKUP(A356,'ECN-ECO_DATA'!B:J,7,FALSE))),"")</f>
        <v/>
      </c>
      <c r="G356" s="9" t="str">
        <f>IFERROR((IF(VLOOKUP(A356,'ECN-ECO_DATA'!B:J,8,FALSE)=0/1/1900,"",VLOOKUP(A356,'ECN-ECO_DATA'!B:J,8,FALSE))),"")</f>
        <v/>
      </c>
      <c r="H356" s="9" t="str">
        <f>IFERROR((IF(VLOOKUP(A356,'ECN-ECO_DATA'!B:J,9,FALSE)=0/1/1900,"",VLOOKUP(A356,'ECN-ECO_DATA'!B:J,9,FALSE))),"")</f>
        <v/>
      </c>
      <c r="I356" s="10" t="str">
        <f>IFERROR((IF(VLOOKUP(A356,'ECN-ECO_DATA'!B:Q,13,FALSE)="","",VLOOKUP(A356,'ECN-ECO_DATA'!B:Q,13,FALSE))),"")</f>
        <v/>
      </c>
      <c r="J356" s="10" t="str">
        <f>IFERROR((IF(VLOOKUP(A356,'ECN-ECO_DATA'!B:Q,14,FALSE)="","",VLOOKUP(A356,'ECN-ECO_DATA'!B:Q,14,FALSE))),"")</f>
        <v/>
      </c>
      <c r="K356" s="10" t="str">
        <f>IFERROR((IF(VLOOKUP(A356,'ECN-ECO_DATA'!B:Q,15,FALSE)="","",VLOOKUP(A356,'ECN-ECO_DATA'!B:Q,15,FALSE))),"")</f>
        <v/>
      </c>
      <c r="L356" s="10" t="str">
        <f>IFERROR((IF(VLOOKUP(A356,'ECN-ECO_DATA'!B:Q,16,FALSE)="","",VLOOKUP(A356,'ECN-ECO_DATA'!B:Q,16,FALSE))),"")</f>
        <v/>
      </c>
      <c r="M356" s="9" t="str">
        <f>IFERROR((IF(VLOOKUP(A356,'ECN-ECO_DATA'!B:V,18,FALSE)=0/1/1900,"",VLOOKUP(A356,'ECN-ECO_DATA'!B:V,18,FALSE))),"")</f>
        <v/>
      </c>
      <c r="N356" s="9" t="str">
        <f>IFERROR((IF(VLOOKUP(A356,'ECN-ECO_DATA'!B:V,19,FALSE)=0/1/1900,"",VLOOKUP(A356,'ECN-ECO_DATA'!B:V,19,FALSE))),"")</f>
        <v/>
      </c>
      <c r="O356" s="9" t="str">
        <f>IFERROR((IF(VLOOKUP(A356,'ECN-ECO_DATA'!B:V,20,FALSE)=0/1/1900,"",VLOOKUP(A356,'ECN-ECO_DATA'!B:V,20,FALSE))),"")</f>
        <v/>
      </c>
      <c r="P356" s="9" t="str">
        <f>IFERROR((IF(VLOOKUP(A356,'ECN-ECO_DATA'!B:V,21,FALSE)=0/1/1900,"",VLOOKUP(A356,'ECN-ECO_DATA'!B:V,21,FALSE))),"")</f>
        <v/>
      </c>
      <c r="Q356" s="10" t="str">
        <f t="shared" ca="1" si="25"/>
        <v/>
      </c>
      <c r="R356" s="4" t="str">
        <f t="shared" si="26"/>
        <v/>
      </c>
      <c r="S356" s="4" t="str">
        <f t="shared" si="27"/>
        <v/>
      </c>
      <c r="T356" s="4" t="str">
        <f t="shared" si="28"/>
        <v/>
      </c>
      <c r="U356" s="10" t="str">
        <f t="shared" si="29"/>
        <v/>
      </c>
      <c r="V356" s="4"/>
    </row>
    <row r="357" spans="2:22" x14ac:dyDescent="0.25">
      <c r="B357" s="4" t="str">
        <f>IFERROR(VLOOKUP(A357,'ECN-ECO_DATA'!B:G,4,FALSE),"")</f>
        <v/>
      </c>
      <c r="C357" s="9" t="str">
        <f>IFERROR(VLOOKUP(A357,'ECN-ECO_DATA'!B:G,5,FALSE),"")</f>
        <v/>
      </c>
      <c r="D357" s="9" t="str">
        <f ca="1">IFERROR((IF(VLOOKUP(A357,'ECN-ECO_DATA'!B:G,6,FALSE)=0/1/1900,TODAY(),VLOOKUP(A357,'ECN-ECO_DATA'!B:G,6,FALSE))),"")</f>
        <v/>
      </c>
      <c r="E357" s="9" t="str">
        <f>IFERROR((IF(VLOOKUP(A357,'ECN-ECO_DATA'!B:G,6,FALSE)=0/1/1900,"",VLOOKUP(A357,'ECN-ECO_DATA'!B:G,6,FALSE))),"")</f>
        <v/>
      </c>
      <c r="F357" s="9" t="str">
        <f>IFERROR((IF(VLOOKUP(A357,'ECN-ECO_DATA'!B:J,7,FALSE)=0/1/1900,"",VLOOKUP(A357,'ECN-ECO_DATA'!B:J,7,FALSE))),"")</f>
        <v/>
      </c>
      <c r="G357" s="9" t="str">
        <f>IFERROR((IF(VLOOKUP(A357,'ECN-ECO_DATA'!B:J,8,FALSE)=0/1/1900,"",VLOOKUP(A357,'ECN-ECO_DATA'!B:J,8,FALSE))),"")</f>
        <v/>
      </c>
      <c r="H357" s="9" t="str">
        <f>IFERROR((IF(VLOOKUP(A357,'ECN-ECO_DATA'!B:J,9,FALSE)=0/1/1900,"",VLOOKUP(A357,'ECN-ECO_DATA'!B:J,9,FALSE))),"")</f>
        <v/>
      </c>
      <c r="I357" s="10" t="str">
        <f>IFERROR((IF(VLOOKUP(A357,'ECN-ECO_DATA'!B:Q,13,FALSE)="","",VLOOKUP(A357,'ECN-ECO_DATA'!B:Q,13,FALSE))),"")</f>
        <v/>
      </c>
      <c r="J357" s="10" t="str">
        <f>IFERROR((IF(VLOOKUP(A357,'ECN-ECO_DATA'!B:Q,14,FALSE)="","",VLOOKUP(A357,'ECN-ECO_DATA'!B:Q,14,FALSE))),"")</f>
        <v/>
      </c>
      <c r="K357" s="10" t="str">
        <f>IFERROR((IF(VLOOKUP(A357,'ECN-ECO_DATA'!B:Q,15,FALSE)="","",VLOOKUP(A357,'ECN-ECO_DATA'!B:Q,15,FALSE))),"")</f>
        <v/>
      </c>
      <c r="L357" s="10" t="str">
        <f>IFERROR((IF(VLOOKUP(A357,'ECN-ECO_DATA'!B:Q,16,FALSE)="","",VLOOKUP(A357,'ECN-ECO_DATA'!B:Q,16,FALSE))),"")</f>
        <v/>
      </c>
      <c r="M357" s="9" t="str">
        <f>IFERROR((IF(VLOOKUP(A357,'ECN-ECO_DATA'!B:V,18,FALSE)=0/1/1900,"",VLOOKUP(A357,'ECN-ECO_DATA'!B:V,18,FALSE))),"")</f>
        <v/>
      </c>
      <c r="N357" s="9" t="str">
        <f>IFERROR((IF(VLOOKUP(A357,'ECN-ECO_DATA'!B:V,19,FALSE)=0/1/1900,"",VLOOKUP(A357,'ECN-ECO_DATA'!B:V,19,FALSE))),"")</f>
        <v/>
      </c>
      <c r="O357" s="9" t="str">
        <f>IFERROR((IF(VLOOKUP(A357,'ECN-ECO_DATA'!B:V,20,FALSE)=0/1/1900,"",VLOOKUP(A357,'ECN-ECO_DATA'!B:V,20,FALSE))),"")</f>
        <v/>
      </c>
      <c r="P357" s="9" t="str">
        <f>IFERROR((IF(VLOOKUP(A357,'ECN-ECO_DATA'!B:V,21,FALSE)=0/1/1900,"",VLOOKUP(A357,'ECN-ECO_DATA'!B:V,21,FALSE))),"")</f>
        <v/>
      </c>
      <c r="Q357" s="10" t="str">
        <f t="shared" ca="1" si="25"/>
        <v/>
      </c>
      <c r="R357" s="4" t="str">
        <f t="shared" si="26"/>
        <v/>
      </c>
      <c r="S357" s="4" t="str">
        <f t="shared" si="27"/>
        <v/>
      </c>
      <c r="T357" s="4" t="str">
        <f t="shared" si="28"/>
        <v/>
      </c>
      <c r="U357" s="10" t="str">
        <f t="shared" si="29"/>
        <v/>
      </c>
      <c r="V357" s="4"/>
    </row>
    <row r="358" spans="2:22" x14ac:dyDescent="0.25">
      <c r="B358" s="4" t="str">
        <f>IFERROR(VLOOKUP(A358,'ECN-ECO_DATA'!B:G,4,FALSE),"")</f>
        <v/>
      </c>
      <c r="C358" s="9" t="str">
        <f>IFERROR(VLOOKUP(A358,'ECN-ECO_DATA'!B:G,5,FALSE),"")</f>
        <v/>
      </c>
      <c r="D358" s="9" t="str">
        <f ca="1">IFERROR((IF(VLOOKUP(A358,'ECN-ECO_DATA'!B:G,6,FALSE)=0/1/1900,TODAY(),VLOOKUP(A358,'ECN-ECO_DATA'!B:G,6,FALSE))),"")</f>
        <v/>
      </c>
      <c r="E358" s="9" t="str">
        <f>IFERROR((IF(VLOOKUP(A358,'ECN-ECO_DATA'!B:G,6,FALSE)=0/1/1900,"",VLOOKUP(A358,'ECN-ECO_DATA'!B:G,6,FALSE))),"")</f>
        <v/>
      </c>
      <c r="F358" s="9" t="str">
        <f>IFERROR((IF(VLOOKUP(A358,'ECN-ECO_DATA'!B:J,7,FALSE)=0/1/1900,"",VLOOKUP(A358,'ECN-ECO_DATA'!B:J,7,FALSE))),"")</f>
        <v/>
      </c>
      <c r="G358" s="9" t="str">
        <f>IFERROR((IF(VLOOKUP(A358,'ECN-ECO_DATA'!B:J,8,FALSE)=0/1/1900,"",VLOOKUP(A358,'ECN-ECO_DATA'!B:J,8,FALSE))),"")</f>
        <v/>
      </c>
      <c r="H358" s="9" t="str">
        <f>IFERROR((IF(VLOOKUP(A358,'ECN-ECO_DATA'!B:J,9,FALSE)=0/1/1900,"",VLOOKUP(A358,'ECN-ECO_DATA'!B:J,9,FALSE))),"")</f>
        <v/>
      </c>
      <c r="I358" s="10" t="str">
        <f>IFERROR((IF(VLOOKUP(A358,'ECN-ECO_DATA'!B:Q,13,FALSE)="","",VLOOKUP(A358,'ECN-ECO_DATA'!B:Q,13,FALSE))),"")</f>
        <v/>
      </c>
      <c r="J358" s="10" t="str">
        <f>IFERROR((IF(VLOOKUP(A358,'ECN-ECO_DATA'!B:Q,14,FALSE)="","",VLOOKUP(A358,'ECN-ECO_DATA'!B:Q,14,FALSE))),"")</f>
        <v/>
      </c>
      <c r="K358" s="10" t="str">
        <f>IFERROR((IF(VLOOKUP(A358,'ECN-ECO_DATA'!B:Q,15,FALSE)="","",VLOOKUP(A358,'ECN-ECO_DATA'!B:Q,15,FALSE))),"")</f>
        <v/>
      </c>
      <c r="L358" s="10" t="str">
        <f>IFERROR((IF(VLOOKUP(A358,'ECN-ECO_DATA'!B:Q,16,FALSE)="","",VLOOKUP(A358,'ECN-ECO_DATA'!B:Q,16,FALSE))),"")</f>
        <v/>
      </c>
      <c r="M358" s="9" t="str">
        <f>IFERROR((IF(VLOOKUP(A358,'ECN-ECO_DATA'!B:V,18,FALSE)=0/1/1900,"",VLOOKUP(A358,'ECN-ECO_DATA'!B:V,18,FALSE))),"")</f>
        <v/>
      </c>
      <c r="N358" s="9" t="str">
        <f>IFERROR((IF(VLOOKUP(A358,'ECN-ECO_DATA'!B:V,19,FALSE)=0/1/1900,"",VLOOKUP(A358,'ECN-ECO_DATA'!B:V,19,FALSE))),"")</f>
        <v/>
      </c>
      <c r="O358" s="9" t="str">
        <f>IFERROR((IF(VLOOKUP(A358,'ECN-ECO_DATA'!B:V,20,FALSE)=0/1/1900,"",VLOOKUP(A358,'ECN-ECO_DATA'!B:V,20,FALSE))),"")</f>
        <v/>
      </c>
      <c r="P358" s="9" t="str">
        <f>IFERROR((IF(VLOOKUP(A358,'ECN-ECO_DATA'!B:V,21,FALSE)=0/1/1900,"",VLOOKUP(A358,'ECN-ECO_DATA'!B:V,21,FALSE))),"")</f>
        <v/>
      </c>
      <c r="Q358" s="10" t="str">
        <f t="shared" ca="1" si="25"/>
        <v/>
      </c>
      <c r="R358" s="4" t="str">
        <f t="shared" si="26"/>
        <v/>
      </c>
      <c r="S358" s="4" t="str">
        <f t="shared" si="27"/>
        <v/>
      </c>
      <c r="T358" s="4" t="str">
        <f t="shared" si="28"/>
        <v/>
      </c>
      <c r="U358" s="10" t="str">
        <f t="shared" si="29"/>
        <v/>
      </c>
      <c r="V358" s="4"/>
    </row>
    <row r="359" spans="2:22" x14ac:dyDescent="0.25">
      <c r="B359" s="4" t="str">
        <f>IFERROR(VLOOKUP(A359,'ECN-ECO_DATA'!B:G,4,FALSE),"")</f>
        <v/>
      </c>
      <c r="C359" s="9" t="str">
        <f>IFERROR(VLOOKUP(A359,'ECN-ECO_DATA'!B:G,5,FALSE),"")</f>
        <v/>
      </c>
      <c r="D359" s="9" t="str">
        <f ca="1">IFERROR((IF(VLOOKUP(A359,'ECN-ECO_DATA'!B:G,6,FALSE)=0/1/1900,TODAY(),VLOOKUP(A359,'ECN-ECO_DATA'!B:G,6,FALSE))),"")</f>
        <v/>
      </c>
      <c r="E359" s="9" t="str">
        <f>IFERROR((IF(VLOOKUP(A359,'ECN-ECO_DATA'!B:G,6,FALSE)=0/1/1900,"",VLOOKUP(A359,'ECN-ECO_DATA'!B:G,6,FALSE))),"")</f>
        <v/>
      </c>
      <c r="F359" s="9" t="str">
        <f>IFERROR((IF(VLOOKUP(A359,'ECN-ECO_DATA'!B:J,7,FALSE)=0/1/1900,"",VLOOKUP(A359,'ECN-ECO_DATA'!B:J,7,FALSE))),"")</f>
        <v/>
      </c>
      <c r="G359" s="9" t="str">
        <f>IFERROR((IF(VLOOKUP(A359,'ECN-ECO_DATA'!B:J,8,FALSE)=0/1/1900,"",VLOOKUP(A359,'ECN-ECO_DATA'!B:J,8,FALSE))),"")</f>
        <v/>
      </c>
      <c r="H359" s="9" t="str">
        <f>IFERROR((IF(VLOOKUP(A359,'ECN-ECO_DATA'!B:J,9,FALSE)=0/1/1900,"",VLOOKUP(A359,'ECN-ECO_DATA'!B:J,9,FALSE))),"")</f>
        <v/>
      </c>
      <c r="I359" s="10" t="str">
        <f>IFERROR((IF(VLOOKUP(A359,'ECN-ECO_DATA'!B:Q,13,FALSE)="","",VLOOKUP(A359,'ECN-ECO_DATA'!B:Q,13,FALSE))),"")</f>
        <v/>
      </c>
      <c r="J359" s="10" t="str">
        <f>IFERROR((IF(VLOOKUP(A359,'ECN-ECO_DATA'!B:Q,14,FALSE)="","",VLOOKUP(A359,'ECN-ECO_DATA'!B:Q,14,FALSE))),"")</f>
        <v/>
      </c>
      <c r="K359" s="10" t="str">
        <f>IFERROR((IF(VLOOKUP(A359,'ECN-ECO_DATA'!B:Q,15,FALSE)="","",VLOOKUP(A359,'ECN-ECO_DATA'!B:Q,15,FALSE))),"")</f>
        <v/>
      </c>
      <c r="L359" s="10" t="str">
        <f>IFERROR((IF(VLOOKUP(A359,'ECN-ECO_DATA'!B:Q,16,FALSE)="","",VLOOKUP(A359,'ECN-ECO_DATA'!B:Q,16,FALSE))),"")</f>
        <v/>
      </c>
      <c r="M359" s="9" t="str">
        <f>IFERROR((IF(VLOOKUP(A359,'ECN-ECO_DATA'!B:V,18,FALSE)=0/1/1900,"",VLOOKUP(A359,'ECN-ECO_DATA'!B:V,18,FALSE))),"")</f>
        <v/>
      </c>
      <c r="N359" s="9" t="str">
        <f>IFERROR((IF(VLOOKUP(A359,'ECN-ECO_DATA'!B:V,19,FALSE)=0/1/1900,"",VLOOKUP(A359,'ECN-ECO_DATA'!B:V,19,FALSE))),"")</f>
        <v/>
      </c>
      <c r="O359" s="9" t="str">
        <f>IFERROR((IF(VLOOKUP(A359,'ECN-ECO_DATA'!B:V,20,FALSE)=0/1/1900,"",VLOOKUP(A359,'ECN-ECO_DATA'!B:V,20,FALSE))),"")</f>
        <v/>
      </c>
      <c r="P359" s="9" t="str">
        <f>IFERROR((IF(VLOOKUP(A359,'ECN-ECO_DATA'!B:V,21,FALSE)=0/1/1900,"",VLOOKUP(A359,'ECN-ECO_DATA'!B:V,21,FALSE))),"")</f>
        <v/>
      </c>
      <c r="Q359" s="10" t="str">
        <f t="shared" ca="1" si="25"/>
        <v/>
      </c>
      <c r="R359" s="4" t="str">
        <f t="shared" si="26"/>
        <v/>
      </c>
      <c r="S359" s="4" t="str">
        <f t="shared" si="27"/>
        <v/>
      </c>
      <c r="T359" s="4" t="str">
        <f t="shared" si="28"/>
        <v/>
      </c>
      <c r="U359" s="10" t="str">
        <f t="shared" si="29"/>
        <v/>
      </c>
      <c r="V359" s="4"/>
    </row>
    <row r="360" spans="2:22" x14ac:dyDescent="0.25">
      <c r="B360" s="4" t="str">
        <f>IFERROR(VLOOKUP(A360,'ECN-ECO_DATA'!B:G,4,FALSE),"")</f>
        <v/>
      </c>
      <c r="C360" s="9" t="str">
        <f>IFERROR(VLOOKUP(A360,'ECN-ECO_DATA'!B:G,5,FALSE),"")</f>
        <v/>
      </c>
      <c r="D360" s="9" t="str">
        <f ca="1">IFERROR((IF(VLOOKUP(A360,'ECN-ECO_DATA'!B:G,6,FALSE)=0/1/1900,TODAY(),VLOOKUP(A360,'ECN-ECO_DATA'!B:G,6,FALSE))),"")</f>
        <v/>
      </c>
      <c r="E360" s="9" t="str">
        <f>IFERROR((IF(VLOOKUP(A360,'ECN-ECO_DATA'!B:G,6,FALSE)=0/1/1900,"",VLOOKUP(A360,'ECN-ECO_DATA'!B:G,6,FALSE))),"")</f>
        <v/>
      </c>
      <c r="F360" s="9" t="str">
        <f>IFERROR((IF(VLOOKUP(A360,'ECN-ECO_DATA'!B:J,7,FALSE)=0/1/1900,"",VLOOKUP(A360,'ECN-ECO_DATA'!B:J,7,FALSE))),"")</f>
        <v/>
      </c>
      <c r="G360" s="9" t="str">
        <f>IFERROR((IF(VLOOKUP(A360,'ECN-ECO_DATA'!B:J,8,FALSE)=0/1/1900,"",VLOOKUP(A360,'ECN-ECO_DATA'!B:J,8,FALSE))),"")</f>
        <v/>
      </c>
      <c r="H360" s="9" t="str">
        <f>IFERROR((IF(VLOOKUP(A360,'ECN-ECO_DATA'!B:J,9,FALSE)=0/1/1900,"",VLOOKUP(A360,'ECN-ECO_DATA'!B:J,9,FALSE))),"")</f>
        <v/>
      </c>
      <c r="I360" s="10" t="str">
        <f>IFERROR((IF(VLOOKUP(A360,'ECN-ECO_DATA'!B:Q,13,FALSE)="","",VLOOKUP(A360,'ECN-ECO_DATA'!B:Q,13,FALSE))),"")</f>
        <v/>
      </c>
      <c r="J360" s="10" t="str">
        <f>IFERROR((IF(VLOOKUP(A360,'ECN-ECO_DATA'!B:Q,14,FALSE)="","",VLOOKUP(A360,'ECN-ECO_DATA'!B:Q,14,FALSE))),"")</f>
        <v/>
      </c>
      <c r="K360" s="10" t="str">
        <f>IFERROR((IF(VLOOKUP(A360,'ECN-ECO_DATA'!B:Q,15,FALSE)="","",VLOOKUP(A360,'ECN-ECO_DATA'!B:Q,15,FALSE))),"")</f>
        <v/>
      </c>
      <c r="L360" s="10" t="str">
        <f>IFERROR((IF(VLOOKUP(A360,'ECN-ECO_DATA'!B:Q,16,FALSE)="","",VLOOKUP(A360,'ECN-ECO_DATA'!B:Q,16,FALSE))),"")</f>
        <v/>
      </c>
      <c r="M360" s="9" t="str">
        <f>IFERROR((IF(VLOOKUP(A360,'ECN-ECO_DATA'!B:V,18,FALSE)=0/1/1900,"",VLOOKUP(A360,'ECN-ECO_DATA'!B:V,18,FALSE))),"")</f>
        <v/>
      </c>
      <c r="N360" s="9" t="str">
        <f>IFERROR((IF(VLOOKUP(A360,'ECN-ECO_DATA'!B:V,19,FALSE)=0/1/1900,"",VLOOKUP(A360,'ECN-ECO_DATA'!B:V,19,FALSE))),"")</f>
        <v/>
      </c>
      <c r="O360" s="9" t="str">
        <f>IFERROR((IF(VLOOKUP(A360,'ECN-ECO_DATA'!B:V,20,FALSE)=0/1/1900,"",VLOOKUP(A360,'ECN-ECO_DATA'!B:V,20,FALSE))),"")</f>
        <v/>
      </c>
      <c r="P360" s="9" t="str">
        <f>IFERROR((IF(VLOOKUP(A360,'ECN-ECO_DATA'!B:V,21,FALSE)=0/1/1900,"",VLOOKUP(A360,'ECN-ECO_DATA'!B:V,21,FALSE))),"")</f>
        <v/>
      </c>
      <c r="Q360" s="10" t="str">
        <f t="shared" ca="1" si="25"/>
        <v/>
      </c>
      <c r="R360" s="4" t="str">
        <f t="shared" si="26"/>
        <v/>
      </c>
      <c r="S360" s="4" t="str">
        <f t="shared" si="27"/>
        <v/>
      </c>
      <c r="T360" s="4" t="str">
        <f t="shared" si="28"/>
        <v/>
      </c>
      <c r="U360" s="10" t="str">
        <f t="shared" si="29"/>
        <v/>
      </c>
      <c r="V360" s="4"/>
    </row>
    <row r="361" spans="2:22" x14ac:dyDescent="0.25">
      <c r="B361" s="4" t="str">
        <f>IFERROR(VLOOKUP(A361,'ECN-ECO_DATA'!B:G,4,FALSE),"")</f>
        <v/>
      </c>
      <c r="C361" s="9" t="str">
        <f>IFERROR(VLOOKUP(A361,'ECN-ECO_DATA'!B:G,5,FALSE),"")</f>
        <v/>
      </c>
      <c r="D361" s="9" t="str">
        <f ca="1">IFERROR((IF(VLOOKUP(A361,'ECN-ECO_DATA'!B:G,6,FALSE)=0/1/1900,TODAY(),VLOOKUP(A361,'ECN-ECO_DATA'!B:G,6,FALSE))),"")</f>
        <v/>
      </c>
      <c r="E361" s="9" t="str">
        <f>IFERROR((IF(VLOOKUP(A361,'ECN-ECO_DATA'!B:G,6,FALSE)=0/1/1900,"",VLOOKUP(A361,'ECN-ECO_DATA'!B:G,6,FALSE))),"")</f>
        <v/>
      </c>
      <c r="F361" s="9" t="str">
        <f>IFERROR((IF(VLOOKUP(A361,'ECN-ECO_DATA'!B:J,7,FALSE)=0/1/1900,"",VLOOKUP(A361,'ECN-ECO_DATA'!B:J,7,FALSE))),"")</f>
        <v/>
      </c>
      <c r="G361" s="9" t="str">
        <f>IFERROR((IF(VLOOKUP(A361,'ECN-ECO_DATA'!B:J,8,FALSE)=0/1/1900,"",VLOOKUP(A361,'ECN-ECO_DATA'!B:J,8,FALSE))),"")</f>
        <v/>
      </c>
      <c r="H361" s="9" t="str">
        <f>IFERROR((IF(VLOOKUP(A361,'ECN-ECO_DATA'!B:J,9,FALSE)=0/1/1900,"",VLOOKUP(A361,'ECN-ECO_DATA'!B:J,9,FALSE))),"")</f>
        <v/>
      </c>
      <c r="I361" s="10" t="str">
        <f>IFERROR((IF(VLOOKUP(A361,'ECN-ECO_DATA'!B:Q,13,FALSE)="","",VLOOKUP(A361,'ECN-ECO_DATA'!B:Q,13,FALSE))),"")</f>
        <v/>
      </c>
      <c r="J361" s="10" t="str">
        <f>IFERROR((IF(VLOOKUP(A361,'ECN-ECO_DATA'!B:Q,14,FALSE)="","",VLOOKUP(A361,'ECN-ECO_DATA'!B:Q,14,FALSE))),"")</f>
        <v/>
      </c>
      <c r="K361" s="10" t="str">
        <f>IFERROR((IF(VLOOKUP(A361,'ECN-ECO_DATA'!B:Q,15,FALSE)="","",VLOOKUP(A361,'ECN-ECO_DATA'!B:Q,15,FALSE))),"")</f>
        <v/>
      </c>
      <c r="L361" s="10" t="str">
        <f>IFERROR((IF(VLOOKUP(A361,'ECN-ECO_DATA'!B:Q,16,FALSE)="","",VLOOKUP(A361,'ECN-ECO_DATA'!B:Q,16,FALSE))),"")</f>
        <v/>
      </c>
      <c r="M361" s="9" t="str">
        <f>IFERROR((IF(VLOOKUP(A361,'ECN-ECO_DATA'!B:V,18,FALSE)=0/1/1900,"",VLOOKUP(A361,'ECN-ECO_DATA'!B:V,18,FALSE))),"")</f>
        <v/>
      </c>
      <c r="N361" s="9" t="str">
        <f>IFERROR((IF(VLOOKUP(A361,'ECN-ECO_DATA'!B:V,19,FALSE)=0/1/1900,"",VLOOKUP(A361,'ECN-ECO_DATA'!B:V,19,FALSE))),"")</f>
        <v/>
      </c>
      <c r="O361" s="9" t="str">
        <f>IFERROR((IF(VLOOKUP(A361,'ECN-ECO_DATA'!B:V,20,FALSE)=0/1/1900,"",VLOOKUP(A361,'ECN-ECO_DATA'!B:V,20,FALSE))),"")</f>
        <v/>
      </c>
      <c r="P361" s="9" t="str">
        <f>IFERROR((IF(VLOOKUP(A361,'ECN-ECO_DATA'!B:V,21,FALSE)=0/1/1900,"",VLOOKUP(A361,'ECN-ECO_DATA'!B:V,21,FALSE))),"")</f>
        <v/>
      </c>
      <c r="Q361" s="10" t="str">
        <f t="shared" ca="1" si="25"/>
        <v/>
      </c>
      <c r="R361" s="4" t="str">
        <f t="shared" si="26"/>
        <v/>
      </c>
      <c r="S361" s="4" t="str">
        <f t="shared" si="27"/>
        <v/>
      </c>
      <c r="T361" s="4" t="str">
        <f t="shared" si="28"/>
        <v/>
      </c>
      <c r="U361" s="10" t="str">
        <f t="shared" si="29"/>
        <v/>
      </c>
      <c r="V361" s="4"/>
    </row>
    <row r="362" spans="2:22" x14ac:dyDescent="0.25">
      <c r="B362" s="4" t="str">
        <f>IFERROR(VLOOKUP(A362,'ECN-ECO_DATA'!B:G,4,FALSE),"")</f>
        <v/>
      </c>
      <c r="C362" s="9" t="str">
        <f>IFERROR(VLOOKUP(A362,'ECN-ECO_DATA'!B:G,5,FALSE),"")</f>
        <v/>
      </c>
      <c r="D362" s="9" t="str">
        <f ca="1">IFERROR((IF(VLOOKUP(A362,'ECN-ECO_DATA'!B:G,6,FALSE)=0/1/1900,TODAY(),VLOOKUP(A362,'ECN-ECO_DATA'!B:G,6,FALSE))),"")</f>
        <v/>
      </c>
      <c r="E362" s="9" t="str">
        <f>IFERROR((IF(VLOOKUP(A362,'ECN-ECO_DATA'!B:G,6,FALSE)=0/1/1900,"",VLOOKUP(A362,'ECN-ECO_DATA'!B:G,6,FALSE))),"")</f>
        <v/>
      </c>
      <c r="F362" s="9" t="str">
        <f>IFERROR((IF(VLOOKUP(A362,'ECN-ECO_DATA'!B:J,7,FALSE)=0/1/1900,"",VLOOKUP(A362,'ECN-ECO_DATA'!B:J,7,FALSE))),"")</f>
        <v/>
      </c>
      <c r="G362" s="9" t="str">
        <f>IFERROR((IF(VLOOKUP(A362,'ECN-ECO_DATA'!B:J,8,FALSE)=0/1/1900,"",VLOOKUP(A362,'ECN-ECO_DATA'!B:J,8,FALSE))),"")</f>
        <v/>
      </c>
      <c r="H362" s="9" t="str">
        <f>IFERROR((IF(VLOOKUP(A362,'ECN-ECO_DATA'!B:J,9,FALSE)=0/1/1900,"",VLOOKUP(A362,'ECN-ECO_DATA'!B:J,9,FALSE))),"")</f>
        <v/>
      </c>
      <c r="I362" s="10" t="str">
        <f>IFERROR((IF(VLOOKUP(A362,'ECN-ECO_DATA'!B:Q,13,FALSE)="","",VLOOKUP(A362,'ECN-ECO_DATA'!B:Q,13,FALSE))),"")</f>
        <v/>
      </c>
      <c r="J362" s="10" t="str">
        <f>IFERROR((IF(VLOOKUP(A362,'ECN-ECO_DATA'!B:Q,14,FALSE)="","",VLOOKUP(A362,'ECN-ECO_DATA'!B:Q,14,FALSE))),"")</f>
        <v/>
      </c>
      <c r="K362" s="10" t="str">
        <f>IFERROR((IF(VLOOKUP(A362,'ECN-ECO_DATA'!B:Q,15,FALSE)="","",VLOOKUP(A362,'ECN-ECO_DATA'!B:Q,15,FALSE))),"")</f>
        <v/>
      </c>
      <c r="L362" s="10" t="str">
        <f>IFERROR((IF(VLOOKUP(A362,'ECN-ECO_DATA'!B:Q,16,FALSE)="","",VLOOKUP(A362,'ECN-ECO_DATA'!B:Q,16,FALSE))),"")</f>
        <v/>
      </c>
      <c r="M362" s="9" t="str">
        <f>IFERROR((IF(VLOOKUP(A362,'ECN-ECO_DATA'!B:V,18,FALSE)=0/1/1900,"",VLOOKUP(A362,'ECN-ECO_DATA'!B:V,18,FALSE))),"")</f>
        <v/>
      </c>
      <c r="N362" s="9" t="str">
        <f>IFERROR((IF(VLOOKUP(A362,'ECN-ECO_DATA'!B:V,19,FALSE)=0/1/1900,"",VLOOKUP(A362,'ECN-ECO_DATA'!B:V,19,FALSE))),"")</f>
        <v/>
      </c>
      <c r="O362" s="9" t="str">
        <f>IFERROR((IF(VLOOKUP(A362,'ECN-ECO_DATA'!B:V,20,FALSE)=0/1/1900,"",VLOOKUP(A362,'ECN-ECO_DATA'!B:V,20,FALSE))),"")</f>
        <v/>
      </c>
      <c r="P362" s="9" t="str">
        <f>IFERROR((IF(VLOOKUP(A362,'ECN-ECO_DATA'!B:V,21,FALSE)=0/1/1900,"",VLOOKUP(A362,'ECN-ECO_DATA'!B:V,21,FALSE))),"")</f>
        <v/>
      </c>
      <c r="Q362" s="10" t="str">
        <f t="shared" ca="1" si="25"/>
        <v/>
      </c>
      <c r="R362" s="4" t="str">
        <f t="shared" si="26"/>
        <v/>
      </c>
      <c r="S362" s="4" t="str">
        <f t="shared" si="27"/>
        <v/>
      </c>
      <c r="T362" s="4" t="str">
        <f t="shared" si="28"/>
        <v/>
      </c>
      <c r="U362" s="10" t="str">
        <f t="shared" si="29"/>
        <v/>
      </c>
      <c r="V362" s="4"/>
    </row>
    <row r="363" spans="2:22" x14ac:dyDescent="0.25">
      <c r="B363" s="4" t="str">
        <f>IFERROR(VLOOKUP(A363,'ECN-ECO_DATA'!B:G,4,FALSE),"")</f>
        <v/>
      </c>
      <c r="C363" s="9" t="str">
        <f>IFERROR(VLOOKUP(A363,'ECN-ECO_DATA'!B:G,5,FALSE),"")</f>
        <v/>
      </c>
      <c r="D363" s="9" t="str">
        <f ca="1">IFERROR((IF(VLOOKUP(A363,'ECN-ECO_DATA'!B:G,6,FALSE)=0/1/1900,TODAY(),VLOOKUP(A363,'ECN-ECO_DATA'!B:G,6,FALSE))),"")</f>
        <v/>
      </c>
      <c r="E363" s="9" t="str">
        <f>IFERROR((IF(VLOOKUP(A363,'ECN-ECO_DATA'!B:G,6,FALSE)=0/1/1900,"",VLOOKUP(A363,'ECN-ECO_DATA'!B:G,6,FALSE))),"")</f>
        <v/>
      </c>
      <c r="F363" s="9" t="str">
        <f>IFERROR((IF(VLOOKUP(A363,'ECN-ECO_DATA'!B:J,7,FALSE)=0/1/1900,"",VLOOKUP(A363,'ECN-ECO_DATA'!B:J,7,FALSE))),"")</f>
        <v/>
      </c>
      <c r="G363" s="9" t="str">
        <f>IFERROR((IF(VLOOKUP(A363,'ECN-ECO_DATA'!B:J,8,FALSE)=0/1/1900,"",VLOOKUP(A363,'ECN-ECO_DATA'!B:J,8,FALSE))),"")</f>
        <v/>
      </c>
      <c r="H363" s="9" t="str">
        <f>IFERROR((IF(VLOOKUP(A363,'ECN-ECO_DATA'!B:J,9,FALSE)=0/1/1900,"",VLOOKUP(A363,'ECN-ECO_DATA'!B:J,9,FALSE))),"")</f>
        <v/>
      </c>
      <c r="I363" s="10" t="str">
        <f>IFERROR((IF(VLOOKUP(A363,'ECN-ECO_DATA'!B:Q,13,FALSE)="","",VLOOKUP(A363,'ECN-ECO_DATA'!B:Q,13,FALSE))),"")</f>
        <v/>
      </c>
      <c r="J363" s="10" t="str">
        <f>IFERROR((IF(VLOOKUP(A363,'ECN-ECO_DATA'!B:Q,14,FALSE)="","",VLOOKUP(A363,'ECN-ECO_DATA'!B:Q,14,FALSE))),"")</f>
        <v/>
      </c>
      <c r="K363" s="10" t="str">
        <f>IFERROR((IF(VLOOKUP(A363,'ECN-ECO_DATA'!B:Q,15,FALSE)="","",VLOOKUP(A363,'ECN-ECO_DATA'!B:Q,15,FALSE))),"")</f>
        <v/>
      </c>
      <c r="L363" s="10" t="str">
        <f>IFERROR((IF(VLOOKUP(A363,'ECN-ECO_DATA'!B:Q,16,FALSE)="","",VLOOKUP(A363,'ECN-ECO_DATA'!B:Q,16,FALSE))),"")</f>
        <v/>
      </c>
      <c r="M363" s="9" t="str">
        <f>IFERROR((IF(VLOOKUP(A363,'ECN-ECO_DATA'!B:V,18,FALSE)=0/1/1900,"",VLOOKUP(A363,'ECN-ECO_DATA'!B:V,18,FALSE))),"")</f>
        <v/>
      </c>
      <c r="N363" s="9" t="str">
        <f>IFERROR((IF(VLOOKUP(A363,'ECN-ECO_DATA'!B:V,19,FALSE)=0/1/1900,"",VLOOKUP(A363,'ECN-ECO_DATA'!B:V,19,FALSE))),"")</f>
        <v/>
      </c>
      <c r="O363" s="9" t="str">
        <f>IFERROR((IF(VLOOKUP(A363,'ECN-ECO_DATA'!B:V,20,FALSE)=0/1/1900,"",VLOOKUP(A363,'ECN-ECO_DATA'!B:V,20,FALSE))),"")</f>
        <v/>
      </c>
      <c r="P363" s="9" t="str">
        <f>IFERROR((IF(VLOOKUP(A363,'ECN-ECO_DATA'!B:V,21,FALSE)=0/1/1900,"",VLOOKUP(A363,'ECN-ECO_DATA'!B:V,21,FALSE))),"")</f>
        <v/>
      </c>
      <c r="Q363" s="10" t="str">
        <f t="shared" ca="1" si="25"/>
        <v/>
      </c>
      <c r="R363" s="4" t="str">
        <f t="shared" si="26"/>
        <v/>
      </c>
      <c r="S363" s="4" t="str">
        <f t="shared" si="27"/>
        <v/>
      </c>
      <c r="T363" s="4" t="str">
        <f t="shared" si="28"/>
        <v/>
      </c>
      <c r="U363" s="10" t="str">
        <f t="shared" si="29"/>
        <v/>
      </c>
      <c r="V363" s="4"/>
    </row>
    <row r="364" spans="2:22" x14ac:dyDescent="0.25">
      <c r="B364" s="4" t="str">
        <f>IFERROR(VLOOKUP(A364,'ECN-ECO_DATA'!B:G,4,FALSE),"")</f>
        <v/>
      </c>
      <c r="C364" s="9" t="str">
        <f>IFERROR(VLOOKUP(A364,'ECN-ECO_DATA'!B:G,5,FALSE),"")</f>
        <v/>
      </c>
      <c r="D364" s="9" t="str">
        <f ca="1">IFERROR((IF(VLOOKUP(A364,'ECN-ECO_DATA'!B:G,6,FALSE)=0/1/1900,TODAY(),VLOOKUP(A364,'ECN-ECO_DATA'!B:G,6,FALSE))),"")</f>
        <v/>
      </c>
      <c r="E364" s="9" t="str">
        <f>IFERROR((IF(VLOOKUP(A364,'ECN-ECO_DATA'!B:G,6,FALSE)=0/1/1900,"",VLOOKUP(A364,'ECN-ECO_DATA'!B:G,6,FALSE))),"")</f>
        <v/>
      </c>
      <c r="F364" s="9" t="str">
        <f>IFERROR((IF(VLOOKUP(A364,'ECN-ECO_DATA'!B:J,7,FALSE)=0/1/1900,"",VLOOKUP(A364,'ECN-ECO_DATA'!B:J,7,FALSE))),"")</f>
        <v/>
      </c>
      <c r="G364" s="9" t="str">
        <f>IFERROR((IF(VLOOKUP(A364,'ECN-ECO_DATA'!B:J,8,FALSE)=0/1/1900,"",VLOOKUP(A364,'ECN-ECO_DATA'!B:J,8,FALSE))),"")</f>
        <v/>
      </c>
      <c r="H364" s="9" t="str">
        <f>IFERROR((IF(VLOOKUP(A364,'ECN-ECO_DATA'!B:J,9,FALSE)=0/1/1900,"",VLOOKUP(A364,'ECN-ECO_DATA'!B:J,9,FALSE))),"")</f>
        <v/>
      </c>
      <c r="I364" s="10" t="str">
        <f>IFERROR((IF(VLOOKUP(A364,'ECN-ECO_DATA'!B:Q,13,FALSE)="","",VLOOKUP(A364,'ECN-ECO_DATA'!B:Q,13,FALSE))),"")</f>
        <v/>
      </c>
      <c r="J364" s="10" t="str">
        <f>IFERROR((IF(VLOOKUP(A364,'ECN-ECO_DATA'!B:Q,14,FALSE)="","",VLOOKUP(A364,'ECN-ECO_DATA'!B:Q,14,FALSE))),"")</f>
        <v/>
      </c>
      <c r="K364" s="10" t="str">
        <f>IFERROR((IF(VLOOKUP(A364,'ECN-ECO_DATA'!B:Q,15,FALSE)="","",VLOOKUP(A364,'ECN-ECO_DATA'!B:Q,15,FALSE))),"")</f>
        <v/>
      </c>
      <c r="L364" s="10" t="str">
        <f>IFERROR((IF(VLOOKUP(A364,'ECN-ECO_DATA'!B:Q,16,FALSE)="","",VLOOKUP(A364,'ECN-ECO_DATA'!B:Q,16,FALSE))),"")</f>
        <v/>
      </c>
      <c r="M364" s="9" t="str">
        <f>IFERROR((IF(VLOOKUP(A364,'ECN-ECO_DATA'!B:V,18,FALSE)=0/1/1900,"",VLOOKUP(A364,'ECN-ECO_DATA'!B:V,18,FALSE))),"")</f>
        <v/>
      </c>
      <c r="N364" s="9" t="str">
        <f>IFERROR((IF(VLOOKUP(A364,'ECN-ECO_DATA'!B:V,19,FALSE)=0/1/1900,"",VLOOKUP(A364,'ECN-ECO_DATA'!B:V,19,FALSE))),"")</f>
        <v/>
      </c>
      <c r="O364" s="9" t="str">
        <f>IFERROR((IF(VLOOKUP(A364,'ECN-ECO_DATA'!B:V,20,FALSE)=0/1/1900,"",VLOOKUP(A364,'ECN-ECO_DATA'!B:V,20,FALSE))),"")</f>
        <v/>
      </c>
      <c r="P364" s="9" t="str">
        <f>IFERROR((IF(VLOOKUP(A364,'ECN-ECO_DATA'!B:V,21,FALSE)=0/1/1900,"",VLOOKUP(A364,'ECN-ECO_DATA'!B:V,21,FALSE))),"")</f>
        <v/>
      </c>
      <c r="Q364" s="10" t="str">
        <f t="shared" ca="1" si="25"/>
        <v/>
      </c>
      <c r="R364" s="4" t="str">
        <f t="shared" si="26"/>
        <v/>
      </c>
      <c r="S364" s="4" t="str">
        <f t="shared" si="27"/>
        <v/>
      </c>
      <c r="T364" s="4" t="str">
        <f t="shared" si="28"/>
        <v/>
      </c>
      <c r="U364" s="10" t="str">
        <f t="shared" si="29"/>
        <v/>
      </c>
      <c r="V364" s="4"/>
    </row>
    <row r="365" spans="2:22" x14ac:dyDescent="0.25">
      <c r="B365" s="4" t="str">
        <f>IFERROR(VLOOKUP(A365,'ECN-ECO_DATA'!B:G,4,FALSE),"")</f>
        <v/>
      </c>
      <c r="C365" s="9" t="str">
        <f>IFERROR(VLOOKUP(A365,'ECN-ECO_DATA'!B:G,5,FALSE),"")</f>
        <v/>
      </c>
      <c r="D365" s="9" t="str">
        <f ca="1">IFERROR((IF(VLOOKUP(A365,'ECN-ECO_DATA'!B:G,6,FALSE)=0/1/1900,TODAY(),VLOOKUP(A365,'ECN-ECO_DATA'!B:G,6,FALSE))),"")</f>
        <v/>
      </c>
      <c r="E365" s="9" t="str">
        <f>IFERROR((IF(VLOOKUP(A365,'ECN-ECO_DATA'!B:G,6,FALSE)=0/1/1900,"",VLOOKUP(A365,'ECN-ECO_DATA'!B:G,6,FALSE))),"")</f>
        <v/>
      </c>
      <c r="F365" s="9" t="str">
        <f>IFERROR((IF(VLOOKUP(A365,'ECN-ECO_DATA'!B:J,7,FALSE)=0/1/1900,"",VLOOKUP(A365,'ECN-ECO_DATA'!B:J,7,FALSE))),"")</f>
        <v/>
      </c>
      <c r="G365" s="9" t="str">
        <f>IFERROR((IF(VLOOKUP(A365,'ECN-ECO_DATA'!B:J,8,FALSE)=0/1/1900,"",VLOOKUP(A365,'ECN-ECO_DATA'!B:J,8,FALSE))),"")</f>
        <v/>
      </c>
      <c r="H365" s="9" t="str">
        <f>IFERROR((IF(VLOOKUP(A365,'ECN-ECO_DATA'!B:J,9,FALSE)=0/1/1900,"",VLOOKUP(A365,'ECN-ECO_DATA'!B:J,9,FALSE))),"")</f>
        <v/>
      </c>
      <c r="I365" s="10" t="str">
        <f>IFERROR((IF(VLOOKUP(A365,'ECN-ECO_DATA'!B:Q,13,FALSE)="","",VLOOKUP(A365,'ECN-ECO_DATA'!B:Q,13,FALSE))),"")</f>
        <v/>
      </c>
      <c r="J365" s="10" t="str">
        <f>IFERROR((IF(VLOOKUP(A365,'ECN-ECO_DATA'!B:Q,14,FALSE)="","",VLOOKUP(A365,'ECN-ECO_DATA'!B:Q,14,FALSE))),"")</f>
        <v/>
      </c>
      <c r="K365" s="10" t="str">
        <f>IFERROR((IF(VLOOKUP(A365,'ECN-ECO_DATA'!B:Q,15,FALSE)="","",VLOOKUP(A365,'ECN-ECO_DATA'!B:Q,15,FALSE))),"")</f>
        <v/>
      </c>
      <c r="L365" s="10" t="str">
        <f>IFERROR((IF(VLOOKUP(A365,'ECN-ECO_DATA'!B:Q,16,FALSE)="","",VLOOKUP(A365,'ECN-ECO_DATA'!B:Q,16,FALSE))),"")</f>
        <v/>
      </c>
      <c r="M365" s="9" t="str">
        <f>IFERROR((IF(VLOOKUP(A365,'ECN-ECO_DATA'!B:V,18,FALSE)=0/1/1900,"",VLOOKUP(A365,'ECN-ECO_DATA'!B:V,18,FALSE))),"")</f>
        <v/>
      </c>
      <c r="N365" s="9" t="str">
        <f>IFERROR((IF(VLOOKUP(A365,'ECN-ECO_DATA'!B:V,19,FALSE)=0/1/1900,"",VLOOKUP(A365,'ECN-ECO_DATA'!B:V,19,FALSE))),"")</f>
        <v/>
      </c>
      <c r="O365" s="9" t="str">
        <f>IFERROR((IF(VLOOKUP(A365,'ECN-ECO_DATA'!B:V,20,FALSE)=0/1/1900,"",VLOOKUP(A365,'ECN-ECO_DATA'!B:V,20,FALSE))),"")</f>
        <v/>
      </c>
      <c r="P365" s="9" t="str">
        <f>IFERROR((IF(VLOOKUP(A365,'ECN-ECO_DATA'!B:V,21,FALSE)=0/1/1900,"",VLOOKUP(A365,'ECN-ECO_DATA'!B:V,21,FALSE))),"")</f>
        <v/>
      </c>
      <c r="Q365" s="10" t="str">
        <f t="shared" ca="1" si="25"/>
        <v/>
      </c>
      <c r="R365" s="4" t="str">
        <f t="shared" si="26"/>
        <v/>
      </c>
      <c r="S365" s="4" t="str">
        <f t="shared" si="27"/>
        <v/>
      </c>
      <c r="T365" s="4" t="str">
        <f t="shared" si="28"/>
        <v/>
      </c>
      <c r="U365" s="10" t="str">
        <f t="shared" si="29"/>
        <v/>
      </c>
      <c r="V365" s="4"/>
    </row>
    <row r="366" spans="2:22" x14ac:dyDescent="0.25">
      <c r="B366" s="4" t="str">
        <f>IFERROR(VLOOKUP(A366,'ECN-ECO_DATA'!B:G,4,FALSE),"")</f>
        <v/>
      </c>
      <c r="C366" s="9" t="str">
        <f>IFERROR(VLOOKUP(A366,'ECN-ECO_DATA'!B:G,5,FALSE),"")</f>
        <v/>
      </c>
      <c r="D366" s="9" t="str">
        <f ca="1">IFERROR((IF(VLOOKUP(A366,'ECN-ECO_DATA'!B:G,6,FALSE)=0/1/1900,TODAY(),VLOOKUP(A366,'ECN-ECO_DATA'!B:G,6,FALSE))),"")</f>
        <v/>
      </c>
      <c r="E366" s="9" t="str">
        <f>IFERROR((IF(VLOOKUP(A366,'ECN-ECO_DATA'!B:G,6,FALSE)=0/1/1900,"",VLOOKUP(A366,'ECN-ECO_DATA'!B:G,6,FALSE))),"")</f>
        <v/>
      </c>
      <c r="F366" s="9" t="str">
        <f>IFERROR((IF(VLOOKUP(A366,'ECN-ECO_DATA'!B:J,7,FALSE)=0/1/1900,"",VLOOKUP(A366,'ECN-ECO_DATA'!B:J,7,FALSE))),"")</f>
        <v/>
      </c>
      <c r="G366" s="9" t="str">
        <f>IFERROR((IF(VLOOKUP(A366,'ECN-ECO_DATA'!B:J,8,FALSE)=0/1/1900,"",VLOOKUP(A366,'ECN-ECO_DATA'!B:J,8,FALSE))),"")</f>
        <v/>
      </c>
      <c r="H366" s="9" t="str">
        <f>IFERROR((IF(VLOOKUP(A366,'ECN-ECO_DATA'!B:J,9,FALSE)=0/1/1900,"",VLOOKUP(A366,'ECN-ECO_DATA'!B:J,9,FALSE))),"")</f>
        <v/>
      </c>
      <c r="I366" s="10" t="str">
        <f>IFERROR((IF(VLOOKUP(A366,'ECN-ECO_DATA'!B:Q,13,FALSE)="","",VLOOKUP(A366,'ECN-ECO_DATA'!B:Q,13,FALSE))),"")</f>
        <v/>
      </c>
      <c r="J366" s="10" t="str">
        <f>IFERROR((IF(VLOOKUP(A366,'ECN-ECO_DATA'!B:Q,14,FALSE)="","",VLOOKUP(A366,'ECN-ECO_DATA'!B:Q,14,FALSE))),"")</f>
        <v/>
      </c>
      <c r="K366" s="10" t="str">
        <f>IFERROR((IF(VLOOKUP(A366,'ECN-ECO_DATA'!B:Q,15,FALSE)="","",VLOOKUP(A366,'ECN-ECO_DATA'!B:Q,15,FALSE))),"")</f>
        <v/>
      </c>
      <c r="L366" s="10" t="str">
        <f>IFERROR((IF(VLOOKUP(A366,'ECN-ECO_DATA'!B:Q,16,FALSE)="","",VLOOKUP(A366,'ECN-ECO_DATA'!B:Q,16,FALSE))),"")</f>
        <v/>
      </c>
      <c r="M366" s="9" t="str">
        <f>IFERROR((IF(VLOOKUP(A366,'ECN-ECO_DATA'!B:V,18,FALSE)=0/1/1900,"",VLOOKUP(A366,'ECN-ECO_DATA'!B:V,18,FALSE))),"")</f>
        <v/>
      </c>
      <c r="N366" s="9" t="str">
        <f>IFERROR((IF(VLOOKUP(A366,'ECN-ECO_DATA'!B:V,19,FALSE)=0/1/1900,"",VLOOKUP(A366,'ECN-ECO_DATA'!B:V,19,FALSE))),"")</f>
        <v/>
      </c>
      <c r="O366" s="9" t="str">
        <f>IFERROR((IF(VLOOKUP(A366,'ECN-ECO_DATA'!B:V,20,FALSE)=0/1/1900,"",VLOOKUP(A366,'ECN-ECO_DATA'!B:V,20,FALSE))),"")</f>
        <v/>
      </c>
      <c r="P366" s="9" t="str">
        <f>IFERROR((IF(VLOOKUP(A366,'ECN-ECO_DATA'!B:V,21,FALSE)=0/1/1900,"",VLOOKUP(A366,'ECN-ECO_DATA'!B:V,21,FALSE))),"")</f>
        <v/>
      </c>
      <c r="Q366" s="10" t="str">
        <f t="shared" ca="1" si="25"/>
        <v/>
      </c>
      <c r="R366" s="4" t="str">
        <f t="shared" si="26"/>
        <v/>
      </c>
      <c r="S366" s="4" t="str">
        <f t="shared" si="27"/>
        <v/>
      </c>
      <c r="T366" s="4" t="str">
        <f t="shared" si="28"/>
        <v/>
      </c>
      <c r="U366" s="10" t="str">
        <f t="shared" si="29"/>
        <v/>
      </c>
      <c r="V366" s="4"/>
    </row>
    <row r="367" spans="2:22" x14ac:dyDescent="0.25">
      <c r="B367" s="4" t="str">
        <f>IFERROR(VLOOKUP(A367,'ECN-ECO_DATA'!B:G,4,FALSE),"")</f>
        <v/>
      </c>
      <c r="C367" s="9" t="str">
        <f>IFERROR(VLOOKUP(A367,'ECN-ECO_DATA'!B:G,5,FALSE),"")</f>
        <v/>
      </c>
      <c r="D367" s="9" t="str">
        <f ca="1">IFERROR((IF(VLOOKUP(A367,'ECN-ECO_DATA'!B:G,6,FALSE)=0/1/1900,TODAY(),VLOOKUP(A367,'ECN-ECO_DATA'!B:G,6,FALSE))),"")</f>
        <v/>
      </c>
      <c r="E367" s="9" t="str">
        <f>IFERROR((IF(VLOOKUP(A367,'ECN-ECO_DATA'!B:G,6,FALSE)=0/1/1900,"",VLOOKUP(A367,'ECN-ECO_DATA'!B:G,6,FALSE))),"")</f>
        <v/>
      </c>
      <c r="F367" s="9" t="str">
        <f>IFERROR((IF(VLOOKUP(A367,'ECN-ECO_DATA'!B:J,7,FALSE)=0/1/1900,"",VLOOKUP(A367,'ECN-ECO_DATA'!B:J,7,FALSE))),"")</f>
        <v/>
      </c>
      <c r="G367" s="9" t="str">
        <f>IFERROR((IF(VLOOKUP(A367,'ECN-ECO_DATA'!B:J,8,FALSE)=0/1/1900,"",VLOOKUP(A367,'ECN-ECO_DATA'!B:J,8,FALSE))),"")</f>
        <v/>
      </c>
      <c r="H367" s="9" t="str">
        <f>IFERROR((IF(VLOOKUP(A367,'ECN-ECO_DATA'!B:J,9,FALSE)=0/1/1900,"",VLOOKUP(A367,'ECN-ECO_DATA'!B:J,9,FALSE))),"")</f>
        <v/>
      </c>
      <c r="I367" s="10" t="str">
        <f>IFERROR((IF(VLOOKUP(A367,'ECN-ECO_DATA'!B:Q,13,FALSE)="","",VLOOKUP(A367,'ECN-ECO_DATA'!B:Q,13,FALSE))),"")</f>
        <v/>
      </c>
      <c r="J367" s="10" t="str">
        <f>IFERROR((IF(VLOOKUP(A367,'ECN-ECO_DATA'!B:Q,14,FALSE)="","",VLOOKUP(A367,'ECN-ECO_DATA'!B:Q,14,FALSE))),"")</f>
        <v/>
      </c>
      <c r="K367" s="10" t="str">
        <f>IFERROR((IF(VLOOKUP(A367,'ECN-ECO_DATA'!B:Q,15,FALSE)="","",VLOOKUP(A367,'ECN-ECO_DATA'!B:Q,15,FALSE))),"")</f>
        <v/>
      </c>
      <c r="L367" s="10" t="str">
        <f>IFERROR((IF(VLOOKUP(A367,'ECN-ECO_DATA'!B:Q,16,FALSE)="","",VLOOKUP(A367,'ECN-ECO_DATA'!B:Q,16,FALSE))),"")</f>
        <v/>
      </c>
      <c r="M367" s="9" t="str">
        <f>IFERROR((IF(VLOOKUP(A367,'ECN-ECO_DATA'!B:V,18,FALSE)=0/1/1900,"",VLOOKUP(A367,'ECN-ECO_DATA'!B:V,18,FALSE))),"")</f>
        <v/>
      </c>
      <c r="N367" s="9" t="str">
        <f>IFERROR((IF(VLOOKUP(A367,'ECN-ECO_DATA'!B:V,19,FALSE)=0/1/1900,"",VLOOKUP(A367,'ECN-ECO_DATA'!B:V,19,FALSE))),"")</f>
        <v/>
      </c>
      <c r="O367" s="9" t="str">
        <f>IFERROR((IF(VLOOKUP(A367,'ECN-ECO_DATA'!B:V,20,FALSE)=0/1/1900,"",VLOOKUP(A367,'ECN-ECO_DATA'!B:V,20,FALSE))),"")</f>
        <v/>
      </c>
      <c r="P367" s="9" t="str">
        <f>IFERROR((IF(VLOOKUP(A367,'ECN-ECO_DATA'!B:V,21,FALSE)=0/1/1900,"",VLOOKUP(A367,'ECN-ECO_DATA'!B:V,21,FALSE))),"")</f>
        <v/>
      </c>
      <c r="Q367" s="10" t="str">
        <f t="shared" ca="1" si="25"/>
        <v/>
      </c>
      <c r="R367" s="4" t="str">
        <f t="shared" si="26"/>
        <v/>
      </c>
      <c r="S367" s="4" t="str">
        <f t="shared" si="27"/>
        <v/>
      </c>
      <c r="T367" s="4" t="str">
        <f t="shared" si="28"/>
        <v/>
      </c>
      <c r="U367" s="10" t="str">
        <f t="shared" si="29"/>
        <v/>
      </c>
      <c r="V367" s="4"/>
    </row>
    <row r="368" spans="2:22" x14ac:dyDescent="0.25">
      <c r="B368" s="4" t="str">
        <f>IFERROR(VLOOKUP(A368,'ECN-ECO_DATA'!B:G,4,FALSE),"")</f>
        <v/>
      </c>
      <c r="C368" s="9" t="str">
        <f>IFERROR(VLOOKUP(A368,'ECN-ECO_DATA'!B:G,5,FALSE),"")</f>
        <v/>
      </c>
      <c r="D368" s="9" t="str">
        <f ca="1">IFERROR((IF(VLOOKUP(A368,'ECN-ECO_DATA'!B:G,6,FALSE)=0/1/1900,TODAY(),VLOOKUP(A368,'ECN-ECO_DATA'!B:G,6,FALSE))),"")</f>
        <v/>
      </c>
      <c r="E368" s="9" t="str">
        <f>IFERROR((IF(VLOOKUP(A368,'ECN-ECO_DATA'!B:G,6,FALSE)=0/1/1900,"",VLOOKUP(A368,'ECN-ECO_DATA'!B:G,6,FALSE))),"")</f>
        <v/>
      </c>
      <c r="F368" s="9" t="str">
        <f>IFERROR((IF(VLOOKUP(A368,'ECN-ECO_DATA'!B:J,7,FALSE)=0/1/1900,"",VLOOKUP(A368,'ECN-ECO_DATA'!B:J,7,FALSE))),"")</f>
        <v/>
      </c>
      <c r="G368" s="9" t="str">
        <f>IFERROR((IF(VLOOKUP(A368,'ECN-ECO_DATA'!B:J,8,FALSE)=0/1/1900,"",VLOOKUP(A368,'ECN-ECO_DATA'!B:J,8,FALSE))),"")</f>
        <v/>
      </c>
      <c r="H368" s="9" t="str">
        <f>IFERROR((IF(VLOOKUP(A368,'ECN-ECO_DATA'!B:J,9,FALSE)=0/1/1900,"",VLOOKUP(A368,'ECN-ECO_DATA'!B:J,9,FALSE))),"")</f>
        <v/>
      </c>
      <c r="I368" s="10" t="str">
        <f>IFERROR((IF(VLOOKUP(A368,'ECN-ECO_DATA'!B:Q,13,FALSE)="","",VLOOKUP(A368,'ECN-ECO_DATA'!B:Q,13,FALSE))),"")</f>
        <v/>
      </c>
      <c r="J368" s="10" t="str">
        <f>IFERROR((IF(VLOOKUP(A368,'ECN-ECO_DATA'!B:Q,14,FALSE)="","",VLOOKUP(A368,'ECN-ECO_DATA'!B:Q,14,FALSE))),"")</f>
        <v/>
      </c>
      <c r="K368" s="10" t="str">
        <f>IFERROR((IF(VLOOKUP(A368,'ECN-ECO_DATA'!B:Q,15,FALSE)="","",VLOOKUP(A368,'ECN-ECO_DATA'!B:Q,15,FALSE))),"")</f>
        <v/>
      </c>
      <c r="L368" s="10" t="str">
        <f>IFERROR((IF(VLOOKUP(A368,'ECN-ECO_DATA'!B:Q,16,FALSE)="","",VLOOKUP(A368,'ECN-ECO_DATA'!B:Q,16,FALSE))),"")</f>
        <v/>
      </c>
      <c r="M368" s="9" t="str">
        <f>IFERROR((IF(VLOOKUP(A368,'ECN-ECO_DATA'!B:V,18,FALSE)=0/1/1900,"",VLOOKUP(A368,'ECN-ECO_DATA'!B:V,18,FALSE))),"")</f>
        <v/>
      </c>
      <c r="N368" s="9" t="str">
        <f>IFERROR((IF(VLOOKUP(A368,'ECN-ECO_DATA'!B:V,19,FALSE)=0/1/1900,"",VLOOKUP(A368,'ECN-ECO_DATA'!B:V,19,FALSE))),"")</f>
        <v/>
      </c>
      <c r="O368" s="9" t="str">
        <f>IFERROR((IF(VLOOKUP(A368,'ECN-ECO_DATA'!B:V,20,FALSE)=0/1/1900,"",VLOOKUP(A368,'ECN-ECO_DATA'!B:V,20,FALSE))),"")</f>
        <v/>
      </c>
      <c r="P368" s="9" t="str">
        <f>IFERROR((IF(VLOOKUP(A368,'ECN-ECO_DATA'!B:V,21,FALSE)=0/1/1900,"",VLOOKUP(A368,'ECN-ECO_DATA'!B:V,21,FALSE))),"")</f>
        <v/>
      </c>
      <c r="Q368" s="10" t="str">
        <f t="shared" ca="1" si="25"/>
        <v/>
      </c>
      <c r="R368" s="4" t="str">
        <f t="shared" si="26"/>
        <v/>
      </c>
      <c r="S368" s="4" t="str">
        <f t="shared" si="27"/>
        <v/>
      </c>
      <c r="T368" s="4" t="str">
        <f t="shared" si="28"/>
        <v/>
      </c>
      <c r="U368" s="10" t="str">
        <f t="shared" si="29"/>
        <v/>
      </c>
      <c r="V368" s="4"/>
    </row>
    <row r="369" spans="2:22" x14ac:dyDescent="0.25">
      <c r="B369" s="4" t="str">
        <f>IFERROR(VLOOKUP(A369,'ECN-ECO_DATA'!B:G,4,FALSE),"")</f>
        <v/>
      </c>
      <c r="C369" s="9" t="str">
        <f>IFERROR(VLOOKUP(A369,'ECN-ECO_DATA'!B:G,5,FALSE),"")</f>
        <v/>
      </c>
      <c r="D369" s="9" t="str">
        <f ca="1">IFERROR((IF(VLOOKUP(A369,'ECN-ECO_DATA'!B:G,6,FALSE)=0/1/1900,TODAY(),VLOOKUP(A369,'ECN-ECO_DATA'!B:G,6,FALSE))),"")</f>
        <v/>
      </c>
      <c r="E369" s="9" t="str">
        <f>IFERROR((IF(VLOOKUP(A369,'ECN-ECO_DATA'!B:G,6,FALSE)=0/1/1900,"",VLOOKUP(A369,'ECN-ECO_DATA'!B:G,6,FALSE))),"")</f>
        <v/>
      </c>
      <c r="F369" s="9" t="str">
        <f>IFERROR((IF(VLOOKUP(A369,'ECN-ECO_DATA'!B:J,7,FALSE)=0/1/1900,"",VLOOKUP(A369,'ECN-ECO_DATA'!B:J,7,FALSE))),"")</f>
        <v/>
      </c>
      <c r="G369" s="9" t="str">
        <f>IFERROR((IF(VLOOKUP(A369,'ECN-ECO_DATA'!B:J,8,FALSE)=0/1/1900,"",VLOOKUP(A369,'ECN-ECO_DATA'!B:J,8,FALSE))),"")</f>
        <v/>
      </c>
      <c r="H369" s="9" t="str">
        <f>IFERROR((IF(VLOOKUP(A369,'ECN-ECO_DATA'!B:J,9,FALSE)=0/1/1900,"",VLOOKUP(A369,'ECN-ECO_DATA'!B:J,9,FALSE))),"")</f>
        <v/>
      </c>
      <c r="I369" s="10" t="str">
        <f>IFERROR((IF(VLOOKUP(A369,'ECN-ECO_DATA'!B:Q,13,FALSE)="","",VLOOKUP(A369,'ECN-ECO_DATA'!B:Q,13,FALSE))),"")</f>
        <v/>
      </c>
      <c r="J369" s="10" t="str">
        <f>IFERROR((IF(VLOOKUP(A369,'ECN-ECO_DATA'!B:Q,14,FALSE)="","",VLOOKUP(A369,'ECN-ECO_DATA'!B:Q,14,FALSE))),"")</f>
        <v/>
      </c>
      <c r="K369" s="10" t="str">
        <f>IFERROR((IF(VLOOKUP(A369,'ECN-ECO_DATA'!B:Q,15,FALSE)="","",VLOOKUP(A369,'ECN-ECO_DATA'!B:Q,15,FALSE))),"")</f>
        <v/>
      </c>
      <c r="L369" s="10" t="str">
        <f>IFERROR((IF(VLOOKUP(A369,'ECN-ECO_DATA'!B:Q,16,FALSE)="","",VLOOKUP(A369,'ECN-ECO_DATA'!B:Q,16,FALSE))),"")</f>
        <v/>
      </c>
      <c r="M369" s="9" t="str">
        <f>IFERROR((IF(VLOOKUP(A369,'ECN-ECO_DATA'!B:V,18,FALSE)=0/1/1900,"",VLOOKUP(A369,'ECN-ECO_DATA'!B:V,18,FALSE))),"")</f>
        <v/>
      </c>
      <c r="N369" s="9" t="str">
        <f>IFERROR((IF(VLOOKUP(A369,'ECN-ECO_DATA'!B:V,19,FALSE)=0/1/1900,"",VLOOKUP(A369,'ECN-ECO_DATA'!B:V,19,FALSE))),"")</f>
        <v/>
      </c>
      <c r="O369" s="9" t="str">
        <f>IFERROR((IF(VLOOKUP(A369,'ECN-ECO_DATA'!B:V,20,FALSE)=0/1/1900,"",VLOOKUP(A369,'ECN-ECO_DATA'!B:V,20,FALSE))),"")</f>
        <v/>
      </c>
      <c r="P369" s="9" t="str">
        <f>IFERROR((IF(VLOOKUP(A369,'ECN-ECO_DATA'!B:V,21,FALSE)=0/1/1900,"",VLOOKUP(A369,'ECN-ECO_DATA'!B:V,21,FALSE))),"")</f>
        <v/>
      </c>
      <c r="Q369" s="10" t="str">
        <f t="shared" ca="1" si="25"/>
        <v/>
      </c>
      <c r="R369" s="4" t="str">
        <f t="shared" si="26"/>
        <v/>
      </c>
      <c r="S369" s="4" t="str">
        <f t="shared" si="27"/>
        <v/>
      </c>
      <c r="T369" s="4" t="str">
        <f t="shared" si="28"/>
        <v/>
      </c>
      <c r="U369" s="10" t="str">
        <f t="shared" si="29"/>
        <v/>
      </c>
      <c r="V369" s="4"/>
    </row>
    <row r="370" spans="2:22" x14ac:dyDescent="0.25">
      <c r="B370" s="4" t="str">
        <f>IFERROR(VLOOKUP(A370,'ECN-ECO_DATA'!B:G,4,FALSE),"")</f>
        <v/>
      </c>
      <c r="C370" s="9" t="str">
        <f>IFERROR(VLOOKUP(A370,'ECN-ECO_DATA'!B:G,5,FALSE),"")</f>
        <v/>
      </c>
      <c r="D370" s="9" t="str">
        <f ca="1">IFERROR((IF(VLOOKUP(A370,'ECN-ECO_DATA'!B:G,6,FALSE)=0/1/1900,TODAY(),VLOOKUP(A370,'ECN-ECO_DATA'!B:G,6,FALSE))),"")</f>
        <v/>
      </c>
      <c r="E370" s="9" t="str">
        <f>IFERROR((IF(VLOOKUP(A370,'ECN-ECO_DATA'!B:G,6,FALSE)=0/1/1900,"",VLOOKUP(A370,'ECN-ECO_DATA'!B:G,6,FALSE))),"")</f>
        <v/>
      </c>
      <c r="F370" s="9" t="str">
        <f>IFERROR((IF(VLOOKUP(A370,'ECN-ECO_DATA'!B:J,7,FALSE)=0/1/1900,"",VLOOKUP(A370,'ECN-ECO_DATA'!B:J,7,FALSE))),"")</f>
        <v/>
      </c>
      <c r="G370" s="9" t="str">
        <f>IFERROR((IF(VLOOKUP(A370,'ECN-ECO_DATA'!B:J,8,FALSE)=0/1/1900,"",VLOOKUP(A370,'ECN-ECO_DATA'!B:J,8,FALSE))),"")</f>
        <v/>
      </c>
      <c r="H370" s="9" t="str">
        <f>IFERROR((IF(VLOOKUP(A370,'ECN-ECO_DATA'!B:J,9,FALSE)=0/1/1900,"",VLOOKUP(A370,'ECN-ECO_DATA'!B:J,9,FALSE))),"")</f>
        <v/>
      </c>
      <c r="I370" s="10" t="str">
        <f>IFERROR((IF(VLOOKUP(A370,'ECN-ECO_DATA'!B:Q,13,FALSE)="","",VLOOKUP(A370,'ECN-ECO_DATA'!B:Q,13,FALSE))),"")</f>
        <v/>
      </c>
      <c r="J370" s="10" t="str">
        <f>IFERROR((IF(VLOOKUP(A370,'ECN-ECO_DATA'!B:Q,14,FALSE)="","",VLOOKUP(A370,'ECN-ECO_DATA'!B:Q,14,FALSE))),"")</f>
        <v/>
      </c>
      <c r="K370" s="10" t="str">
        <f>IFERROR((IF(VLOOKUP(A370,'ECN-ECO_DATA'!B:Q,15,FALSE)="","",VLOOKUP(A370,'ECN-ECO_DATA'!B:Q,15,FALSE))),"")</f>
        <v/>
      </c>
      <c r="L370" s="10" t="str">
        <f>IFERROR((IF(VLOOKUP(A370,'ECN-ECO_DATA'!B:Q,16,FALSE)="","",VLOOKUP(A370,'ECN-ECO_DATA'!B:Q,16,FALSE))),"")</f>
        <v/>
      </c>
      <c r="M370" s="9" t="str">
        <f>IFERROR((IF(VLOOKUP(A370,'ECN-ECO_DATA'!B:V,18,FALSE)=0/1/1900,"",VLOOKUP(A370,'ECN-ECO_DATA'!B:V,18,FALSE))),"")</f>
        <v/>
      </c>
      <c r="N370" s="9" t="str">
        <f>IFERROR((IF(VLOOKUP(A370,'ECN-ECO_DATA'!B:V,19,FALSE)=0/1/1900,"",VLOOKUP(A370,'ECN-ECO_DATA'!B:V,19,FALSE))),"")</f>
        <v/>
      </c>
      <c r="O370" s="9" t="str">
        <f>IFERROR((IF(VLOOKUP(A370,'ECN-ECO_DATA'!B:V,20,FALSE)=0/1/1900,"",VLOOKUP(A370,'ECN-ECO_DATA'!B:V,20,FALSE))),"")</f>
        <v/>
      </c>
      <c r="P370" s="9" t="str">
        <f>IFERROR((IF(VLOOKUP(A370,'ECN-ECO_DATA'!B:V,21,FALSE)=0/1/1900,"",VLOOKUP(A370,'ECN-ECO_DATA'!B:V,21,FALSE))),"")</f>
        <v/>
      </c>
      <c r="Q370" s="10" t="str">
        <f t="shared" ca="1" si="25"/>
        <v/>
      </c>
      <c r="R370" s="4" t="str">
        <f t="shared" si="26"/>
        <v/>
      </c>
      <c r="S370" s="4" t="str">
        <f t="shared" si="27"/>
        <v/>
      </c>
      <c r="T370" s="4" t="str">
        <f t="shared" si="28"/>
        <v/>
      </c>
      <c r="U370" s="10" t="str">
        <f t="shared" si="29"/>
        <v/>
      </c>
      <c r="V370" s="4"/>
    </row>
    <row r="371" spans="2:22" x14ac:dyDescent="0.25">
      <c r="B371" s="4" t="str">
        <f>IFERROR(VLOOKUP(A371,'ECN-ECO_DATA'!B:G,4,FALSE),"")</f>
        <v/>
      </c>
      <c r="C371" s="9" t="str">
        <f>IFERROR(VLOOKUP(A371,'ECN-ECO_DATA'!B:G,5,FALSE),"")</f>
        <v/>
      </c>
      <c r="D371" s="9" t="str">
        <f ca="1">IFERROR((IF(VLOOKUP(A371,'ECN-ECO_DATA'!B:G,6,FALSE)=0/1/1900,TODAY(),VLOOKUP(A371,'ECN-ECO_DATA'!B:G,6,FALSE))),"")</f>
        <v/>
      </c>
      <c r="E371" s="9" t="str">
        <f>IFERROR((IF(VLOOKUP(A371,'ECN-ECO_DATA'!B:G,6,FALSE)=0/1/1900,"",VLOOKUP(A371,'ECN-ECO_DATA'!B:G,6,FALSE))),"")</f>
        <v/>
      </c>
      <c r="F371" s="9" t="str">
        <f>IFERROR((IF(VLOOKUP(A371,'ECN-ECO_DATA'!B:J,7,FALSE)=0/1/1900,"",VLOOKUP(A371,'ECN-ECO_DATA'!B:J,7,FALSE))),"")</f>
        <v/>
      </c>
      <c r="G371" s="9" t="str">
        <f>IFERROR((IF(VLOOKUP(A371,'ECN-ECO_DATA'!B:J,8,FALSE)=0/1/1900,"",VLOOKUP(A371,'ECN-ECO_DATA'!B:J,8,FALSE))),"")</f>
        <v/>
      </c>
      <c r="H371" s="9" t="str">
        <f>IFERROR((IF(VLOOKUP(A371,'ECN-ECO_DATA'!B:J,9,FALSE)=0/1/1900,"",VLOOKUP(A371,'ECN-ECO_DATA'!B:J,9,FALSE))),"")</f>
        <v/>
      </c>
      <c r="I371" s="10" t="str">
        <f>IFERROR((IF(VLOOKUP(A371,'ECN-ECO_DATA'!B:Q,13,FALSE)="","",VLOOKUP(A371,'ECN-ECO_DATA'!B:Q,13,FALSE))),"")</f>
        <v/>
      </c>
      <c r="J371" s="10" t="str">
        <f>IFERROR((IF(VLOOKUP(A371,'ECN-ECO_DATA'!B:Q,14,FALSE)="","",VLOOKUP(A371,'ECN-ECO_DATA'!B:Q,14,FALSE))),"")</f>
        <v/>
      </c>
      <c r="K371" s="10" t="str">
        <f>IFERROR((IF(VLOOKUP(A371,'ECN-ECO_DATA'!B:Q,15,FALSE)="","",VLOOKUP(A371,'ECN-ECO_DATA'!B:Q,15,FALSE))),"")</f>
        <v/>
      </c>
      <c r="L371" s="10" t="str">
        <f>IFERROR((IF(VLOOKUP(A371,'ECN-ECO_DATA'!B:Q,16,FALSE)="","",VLOOKUP(A371,'ECN-ECO_DATA'!B:Q,16,FALSE))),"")</f>
        <v/>
      </c>
      <c r="M371" s="9" t="str">
        <f>IFERROR((IF(VLOOKUP(A371,'ECN-ECO_DATA'!B:V,18,FALSE)=0/1/1900,"",VLOOKUP(A371,'ECN-ECO_DATA'!B:V,18,FALSE))),"")</f>
        <v/>
      </c>
      <c r="N371" s="9" t="str">
        <f>IFERROR((IF(VLOOKUP(A371,'ECN-ECO_DATA'!B:V,19,FALSE)=0/1/1900,"",VLOOKUP(A371,'ECN-ECO_DATA'!B:V,19,FALSE))),"")</f>
        <v/>
      </c>
      <c r="O371" s="9" t="str">
        <f>IFERROR((IF(VLOOKUP(A371,'ECN-ECO_DATA'!B:V,20,FALSE)=0/1/1900,"",VLOOKUP(A371,'ECN-ECO_DATA'!B:V,20,FALSE))),"")</f>
        <v/>
      </c>
      <c r="P371" s="9" t="str">
        <f>IFERROR((IF(VLOOKUP(A371,'ECN-ECO_DATA'!B:V,21,FALSE)=0/1/1900,"",VLOOKUP(A371,'ECN-ECO_DATA'!B:V,21,FALSE))),"")</f>
        <v/>
      </c>
      <c r="Q371" s="10" t="str">
        <f t="shared" ca="1" si="25"/>
        <v/>
      </c>
      <c r="R371" s="4" t="str">
        <f t="shared" si="26"/>
        <v/>
      </c>
      <c r="S371" s="4" t="str">
        <f t="shared" si="27"/>
        <v/>
      </c>
      <c r="T371" s="4" t="str">
        <f t="shared" si="28"/>
        <v/>
      </c>
      <c r="U371" s="10" t="str">
        <f t="shared" si="29"/>
        <v/>
      </c>
      <c r="V371" s="4"/>
    </row>
    <row r="372" spans="2:22" x14ac:dyDescent="0.25">
      <c r="B372" s="4" t="str">
        <f>IFERROR(VLOOKUP(A372,'ECN-ECO_DATA'!B:G,4,FALSE),"")</f>
        <v/>
      </c>
      <c r="C372" s="9" t="str">
        <f>IFERROR(VLOOKUP(A372,'ECN-ECO_DATA'!B:G,5,FALSE),"")</f>
        <v/>
      </c>
      <c r="D372" s="9" t="str">
        <f ca="1">IFERROR((IF(VLOOKUP(A372,'ECN-ECO_DATA'!B:G,6,FALSE)=0/1/1900,TODAY(),VLOOKUP(A372,'ECN-ECO_DATA'!B:G,6,FALSE))),"")</f>
        <v/>
      </c>
      <c r="E372" s="9" t="str">
        <f>IFERROR((IF(VLOOKUP(A372,'ECN-ECO_DATA'!B:G,6,FALSE)=0/1/1900,"",VLOOKUP(A372,'ECN-ECO_DATA'!B:G,6,FALSE))),"")</f>
        <v/>
      </c>
      <c r="F372" s="9" t="str">
        <f>IFERROR((IF(VLOOKUP(A372,'ECN-ECO_DATA'!B:J,7,FALSE)=0/1/1900,"",VLOOKUP(A372,'ECN-ECO_DATA'!B:J,7,FALSE))),"")</f>
        <v/>
      </c>
      <c r="G372" s="9" t="str">
        <f>IFERROR((IF(VLOOKUP(A372,'ECN-ECO_DATA'!B:J,8,FALSE)=0/1/1900,"",VLOOKUP(A372,'ECN-ECO_DATA'!B:J,8,FALSE))),"")</f>
        <v/>
      </c>
      <c r="H372" s="9" t="str">
        <f>IFERROR((IF(VLOOKUP(A372,'ECN-ECO_DATA'!B:J,9,FALSE)=0/1/1900,"",VLOOKUP(A372,'ECN-ECO_DATA'!B:J,9,FALSE))),"")</f>
        <v/>
      </c>
      <c r="I372" s="10" t="str">
        <f>IFERROR((IF(VLOOKUP(A372,'ECN-ECO_DATA'!B:Q,13,FALSE)="","",VLOOKUP(A372,'ECN-ECO_DATA'!B:Q,13,FALSE))),"")</f>
        <v/>
      </c>
      <c r="J372" s="10" t="str">
        <f>IFERROR((IF(VLOOKUP(A372,'ECN-ECO_DATA'!B:Q,14,FALSE)="","",VLOOKUP(A372,'ECN-ECO_DATA'!B:Q,14,FALSE))),"")</f>
        <v/>
      </c>
      <c r="K372" s="10" t="str">
        <f>IFERROR((IF(VLOOKUP(A372,'ECN-ECO_DATA'!B:Q,15,FALSE)="","",VLOOKUP(A372,'ECN-ECO_DATA'!B:Q,15,FALSE))),"")</f>
        <v/>
      </c>
      <c r="L372" s="10" t="str">
        <f>IFERROR((IF(VLOOKUP(A372,'ECN-ECO_DATA'!B:Q,16,FALSE)="","",VLOOKUP(A372,'ECN-ECO_DATA'!B:Q,16,FALSE))),"")</f>
        <v/>
      </c>
      <c r="M372" s="9" t="str">
        <f>IFERROR((IF(VLOOKUP(A372,'ECN-ECO_DATA'!B:V,18,FALSE)=0/1/1900,"",VLOOKUP(A372,'ECN-ECO_DATA'!B:V,18,FALSE))),"")</f>
        <v/>
      </c>
      <c r="N372" s="9" t="str">
        <f>IFERROR((IF(VLOOKUP(A372,'ECN-ECO_DATA'!B:V,19,FALSE)=0/1/1900,"",VLOOKUP(A372,'ECN-ECO_DATA'!B:V,19,FALSE))),"")</f>
        <v/>
      </c>
      <c r="O372" s="9" t="str">
        <f>IFERROR((IF(VLOOKUP(A372,'ECN-ECO_DATA'!B:V,20,FALSE)=0/1/1900,"",VLOOKUP(A372,'ECN-ECO_DATA'!B:V,20,FALSE))),"")</f>
        <v/>
      </c>
      <c r="P372" s="9" t="str">
        <f>IFERROR((IF(VLOOKUP(A372,'ECN-ECO_DATA'!B:V,21,FALSE)=0/1/1900,"",VLOOKUP(A372,'ECN-ECO_DATA'!B:V,21,FALSE))),"")</f>
        <v/>
      </c>
      <c r="Q372" s="10" t="str">
        <f t="shared" ca="1" si="25"/>
        <v/>
      </c>
      <c r="R372" s="4" t="str">
        <f t="shared" si="26"/>
        <v/>
      </c>
      <c r="S372" s="4" t="str">
        <f t="shared" si="27"/>
        <v/>
      </c>
      <c r="T372" s="4" t="str">
        <f t="shared" si="28"/>
        <v/>
      </c>
      <c r="U372" s="10" t="str">
        <f t="shared" si="29"/>
        <v/>
      </c>
      <c r="V372" s="4"/>
    </row>
    <row r="373" spans="2:22" x14ac:dyDescent="0.25">
      <c r="B373" s="4" t="str">
        <f>IFERROR(VLOOKUP(A373,'ECN-ECO_DATA'!B:G,4,FALSE),"")</f>
        <v/>
      </c>
      <c r="C373" s="9" t="str">
        <f>IFERROR(VLOOKUP(A373,'ECN-ECO_DATA'!B:G,5,FALSE),"")</f>
        <v/>
      </c>
      <c r="D373" s="9" t="str">
        <f ca="1">IFERROR((IF(VLOOKUP(A373,'ECN-ECO_DATA'!B:G,6,FALSE)=0/1/1900,TODAY(),VLOOKUP(A373,'ECN-ECO_DATA'!B:G,6,FALSE))),"")</f>
        <v/>
      </c>
      <c r="E373" s="9" t="str">
        <f>IFERROR((IF(VLOOKUP(A373,'ECN-ECO_DATA'!B:G,6,FALSE)=0/1/1900,"",VLOOKUP(A373,'ECN-ECO_DATA'!B:G,6,FALSE))),"")</f>
        <v/>
      </c>
      <c r="F373" s="9" t="str">
        <f>IFERROR((IF(VLOOKUP(A373,'ECN-ECO_DATA'!B:J,7,FALSE)=0/1/1900,"",VLOOKUP(A373,'ECN-ECO_DATA'!B:J,7,FALSE))),"")</f>
        <v/>
      </c>
      <c r="G373" s="9" t="str">
        <f>IFERROR((IF(VLOOKUP(A373,'ECN-ECO_DATA'!B:J,8,FALSE)=0/1/1900,"",VLOOKUP(A373,'ECN-ECO_DATA'!B:J,8,FALSE))),"")</f>
        <v/>
      </c>
      <c r="H373" s="9" t="str">
        <f>IFERROR((IF(VLOOKUP(A373,'ECN-ECO_DATA'!B:J,9,FALSE)=0/1/1900,"",VLOOKUP(A373,'ECN-ECO_DATA'!B:J,9,FALSE))),"")</f>
        <v/>
      </c>
      <c r="I373" s="10" t="str">
        <f>IFERROR((IF(VLOOKUP(A373,'ECN-ECO_DATA'!B:Q,13,FALSE)="","",VLOOKUP(A373,'ECN-ECO_DATA'!B:Q,13,FALSE))),"")</f>
        <v/>
      </c>
      <c r="J373" s="10" t="str">
        <f>IFERROR((IF(VLOOKUP(A373,'ECN-ECO_DATA'!B:Q,14,FALSE)="","",VLOOKUP(A373,'ECN-ECO_DATA'!B:Q,14,FALSE))),"")</f>
        <v/>
      </c>
      <c r="K373" s="10" t="str">
        <f>IFERROR((IF(VLOOKUP(A373,'ECN-ECO_DATA'!B:Q,15,FALSE)="","",VLOOKUP(A373,'ECN-ECO_DATA'!B:Q,15,FALSE))),"")</f>
        <v/>
      </c>
      <c r="L373" s="10" t="str">
        <f>IFERROR((IF(VLOOKUP(A373,'ECN-ECO_DATA'!B:Q,16,FALSE)="","",VLOOKUP(A373,'ECN-ECO_DATA'!B:Q,16,FALSE))),"")</f>
        <v/>
      </c>
      <c r="M373" s="9" t="str">
        <f>IFERROR((IF(VLOOKUP(A373,'ECN-ECO_DATA'!B:V,18,FALSE)=0/1/1900,"",VLOOKUP(A373,'ECN-ECO_DATA'!B:V,18,FALSE))),"")</f>
        <v/>
      </c>
      <c r="N373" s="9" t="str">
        <f>IFERROR((IF(VLOOKUP(A373,'ECN-ECO_DATA'!B:V,19,FALSE)=0/1/1900,"",VLOOKUP(A373,'ECN-ECO_DATA'!B:V,19,FALSE))),"")</f>
        <v/>
      </c>
      <c r="O373" s="9" t="str">
        <f>IFERROR((IF(VLOOKUP(A373,'ECN-ECO_DATA'!B:V,20,FALSE)=0/1/1900,"",VLOOKUP(A373,'ECN-ECO_DATA'!B:V,20,FALSE))),"")</f>
        <v/>
      </c>
      <c r="P373" s="9" t="str">
        <f>IFERROR((IF(VLOOKUP(A373,'ECN-ECO_DATA'!B:V,21,FALSE)=0/1/1900,"",VLOOKUP(A373,'ECN-ECO_DATA'!B:V,21,FALSE))),"")</f>
        <v/>
      </c>
      <c r="Q373" s="10" t="str">
        <f t="shared" ca="1" si="25"/>
        <v/>
      </c>
      <c r="R373" s="4" t="str">
        <f t="shared" si="26"/>
        <v/>
      </c>
      <c r="S373" s="4" t="str">
        <f t="shared" si="27"/>
        <v/>
      </c>
      <c r="T373" s="4" t="str">
        <f t="shared" si="28"/>
        <v/>
      </c>
      <c r="U373" s="10" t="str">
        <f t="shared" si="29"/>
        <v/>
      </c>
      <c r="V373" s="4"/>
    </row>
    <row r="374" spans="2:22" x14ac:dyDescent="0.25">
      <c r="B374" s="4" t="str">
        <f>IFERROR(VLOOKUP(A374,'ECN-ECO_DATA'!B:G,4,FALSE),"")</f>
        <v/>
      </c>
      <c r="C374" s="9" t="str">
        <f>IFERROR(VLOOKUP(A374,'ECN-ECO_DATA'!B:G,5,FALSE),"")</f>
        <v/>
      </c>
      <c r="D374" s="9" t="str">
        <f ca="1">IFERROR((IF(VLOOKUP(A374,'ECN-ECO_DATA'!B:G,6,FALSE)=0/1/1900,TODAY(),VLOOKUP(A374,'ECN-ECO_DATA'!B:G,6,FALSE))),"")</f>
        <v/>
      </c>
      <c r="E374" s="9" t="str">
        <f>IFERROR((IF(VLOOKUP(A374,'ECN-ECO_DATA'!B:G,6,FALSE)=0/1/1900,"",VLOOKUP(A374,'ECN-ECO_DATA'!B:G,6,FALSE))),"")</f>
        <v/>
      </c>
      <c r="F374" s="9" t="str">
        <f>IFERROR((IF(VLOOKUP(A374,'ECN-ECO_DATA'!B:J,7,FALSE)=0/1/1900,"",VLOOKUP(A374,'ECN-ECO_DATA'!B:J,7,FALSE))),"")</f>
        <v/>
      </c>
      <c r="G374" s="9" t="str">
        <f>IFERROR((IF(VLOOKUP(A374,'ECN-ECO_DATA'!B:J,8,FALSE)=0/1/1900,"",VLOOKUP(A374,'ECN-ECO_DATA'!B:J,8,FALSE))),"")</f>
        <v/>
      </c>
      <c r="H374" s="9" t="str">
        <f>IFERROR((IF(VLOOKUP(A374,'ECN-ECO_DATA'!B:J,9,FALSE)=0/1/1900,"",VLOOKUP(A374,'ECN-ECO_DATA'!B:J,9,FALSE))),"")</f>
        <v/>
      </c>
      <c r="I374" s="10" t="str">
        <f>IFERROR((IF(VLOOKUP(A374,'ECN-ECO_DATA'!B:Q,13,FALSE)="","",VLOOKUP(A374,'ECN-ECO_DATA'!B:Q,13,FALSE))),"")</f>
        <v/>
      </c>
      <c r="J374" s="10" t="str">
        <f>IFERROR((IF(VLOOKUP(A374,'ECN-ECO_DATA'!B:Q,14,FALSE)="","",VLOOKUP(A374,'ECN-ECO_DATA'!B:Q,14,FALSE))),"")</f>
        <v/>
      </c>
      <c r="K374" s="10" t="str">
        <f>IFERROR((IF(VLOOKUP(A374,'ECN-ECO_DATA'!B:Q,15,FALSE)="","",VLOOKUP(A374,'ECN-ECO_DATA'!B:Q,15,FALSE))),"")</f>
        <v/>
      </c>
      <c r="L374" s="10" t="str">
        <f>IFERROR((IF(VLOOKUP(A374,'ECN-ECO_DATA'!B:Q,16,FALSE)="","",VLOOKUP(A374,'ECN-ECO_DATA'!B:Q,16,FALSE))),"")</f>
        <v/>
      </c>
      <c r="M374" s="9" t="str">
        <f>IFERROR((IF(VLOOKUP(A374,'ECN-ECO_DATA'!B:V,18,FALSE)=0/1/1900,"",VLOOKUP(A374,'ECN-ECO_DATA'!B:V,18,FALSE))),"")</f>
        <v/>
      </c>
      <c r="N374" s="9" t="str">
        <f>IFERROR((IF(VLOOKUP(A374,'ECN-ECO_DATA'!B:V,19,FALSE)=0/1/1900,"",VLOOKUP(A374,'ECN-ECO_DATA'!B:V,19,FALSE))),"")</f>
        <v/>
      </c>
      <c r="O374" s="9" t="str">
        <f>IFERROR((IF(VLOOKUP(A374,'ECN-ECO_DATA'!B:V,20,FALSE)=0/1/1900,"",VLOOKUP(A374,'ECN-ECO_DATA'!B:V,20,FALSE))),"")</f>
        <v/>
      </c>
      <c r="P374" s="9" t="str">
        <f>IFERROR((IF(VLOOKUP(A374,'ECN-ECO_DATA'!B:V,21,FALSE)=0/1/1900,"",VLOOKUP(A374,'ECN-ECO_DATA'!B:V,21,FALSE))),"")</f>
        <v/>
      </c>
      <c r="Q374" s="10" t="str">
        <f t="shared" ca="1" si="25"/>
        <v/>
      </c>
      <c r="R374" s="4" t="str">
        <f t="shared" si="26"/>
        <v/>
      </c>
      <c r="S374" s="4" t="str">
        <f t="shared" si="27"/>
        <v/>
      </c>
      <c r="T374" s="4" t="str">
        <f t="shared" si="28"/>
        <v/>
      </c>
      <c r="U374" s="10" t="str">
        <f t="shared" si="29"/>
        <v/>
      </c>
      <c r="V374" s="4"/>
    </row>
    <row r="375" spans="2:22" x14ac:dyDescent="0.25">
      <c r="B375" s="4" t="str">
        <f>IFERROR(VLOOKUP(A375,'ECN-ECO_DATA'!B:G,4,FALSE),"")</f>
        <v/>
      </c>
      <c r="C375" s="9" t="str">
        <f>IFERROR(VLOOKUP(A375,'ECN-ECO_DATA'!B:G,5,FALSE),"")</f>
        <v/>
      </c>
      <c r="D375" s="9" t="str">
        <f ca="1">IFERROR((IF(VLOOKUP(A375,'ECN-ECO_DATA'!B:G,6,FALSE)=0/1/1900,TODAY(),VLOOKUP(A375,'ECN-ECO_DATA'!B:G,6,FALSE))),"")</f>
        <v/>
      </c>
      <c r="E375" s="9" t="str">
        <f>IFERROR((IF(VLOOKUP(A375,'ECN-ECO_DATA'!B:G,6,FALSE)=0/1/1900,"",VLOOKUP(A375,'ECN-ECO_DATA'!B:G,6,FALSE))),"")</f>
        <v/>
      </c>
      <c r="F375" s="9" t="str">
        <f>IFERROR((IF(VLOOKUP(A375,'ECN-ECO_DATA'!B:J,7,FALSE)=0/1/1900,"",VLOOKUP(A375,'ECN-ECO_DATA'!B:J,7,FALSE))),"")</f>
        <v/>
      </c>
      <c r="G375" s="9" t="str">
        <f>IFERROR((IF(VLOOKUP(A375,'ECN-ECO_DATA'!B:J,8,FALSE)=0/1/1900,"",VLOOKUP(A375,'ECN-ECO_DATA'!B:J,8,FALSE))),"")</f>
        <v/>
      </c>
      <c r="H375" s="9" t="str">
        <f>IFERROR((IF(VLOOKUP(A375,'ECN-ECO_DATA'!B:J,9,FALSE)=0/1/1900,"",VLOOKUP(A375,'ECN-ECO_DATA'!B:J,9,FALSE))),"")</f>
        <v/>
      </c>
      <c r="I375" s="10" t="str">
        <f>IFERROR((IF(VLOOKUP(A375,'ECN-ECO_DATA'!B:Q,13,FALSE)="","",VLOOKUP(A375,'ECN-ECO_DATA'!B:Q,13,FALSE))),"")</f>
        <v/>
      </c>
      <c r="J375" s="10" t="str">
        <f>IFERROR((IF(VLOOKUP(A375,'ECN-ECO_DATA'!B:Q,14,FALSE)="","",VLOOKUP(A375,'ECN-ECO_DATA'!B:Q,14,FALSE))),"")</f>
        <v/>
      </c>
      <c r="K375" s="10" t="str">
        <f>IFERROR((IF(VLOOKUP(A375,'ECN-ECO_DATA'!B:Q,15,FALSE)="","",VLOOKUP(A375,'ECN-ECO_DATA'!B:Q,15,FALSE))),"")</f>
        <v/>
      </c>
      <c r="L375" s="10" t="str">
        <f>IFERROR((IF(VLOOKUP(A375,'ECN-ECO_DATA'!B:Q,16,FALSE)="","",VLOOKUP(A375,'ECN-ECO_DATA'!B:Q,16,FALSE))),"")</f>
        <v/>
      </c>
      <c r="M375" s="9" t="str">
        <f>IFERROR((IF(VLOOKUP(A375,'ECN-ECO_DATA'!B:V,18,FALSE)=0/1/1900,"",VLOOKUP(A375,'ECN-ECO_DATA'!B:V,18,FALSE))),"")</f>
        <v/>
      </c>
      <c r="N375" s="9" t="str">
        <f>IFERROR((IF(VLOOKUP(A375,'ECN-ECO_DATA'!B:V,19,FALSE)=0/1/1900,"",VLOOKUP(A375,'ECN-ECO_DATA'!B:V,19,FALSE))),"")</f>
        <v/>
      </c>
      <c r="O375" s="9" t="str">
        <f>IFERROR((IF(VLOOKUP(A375,'ECN-ECO_DATA'!B:V,20,FALSE)=0/1/1900,"",VLOOKUP(A375,'ECN-ECO_DATA'!B:V,20,FALSE))),"")</f>
        <v/>
      </c>
      <c r="P375" s="9" t="str">
        <f>IFERROR((IF(VLOOKUP(A375,'ECN-ECO_DATA'!B:V,21,FALSE)=0/1/1900,"",VLOOKUP(A375,'ECN-ECO_DATA'!B:V,21,FALSE))),"")</f>
        <v/>
      </c>
      <c r="Q375" s="10" t="str">
        <f t="shared" ca="1" si="25"/>
        <v/>
      </c>
      <c r="R375" s="4" t="str">
        <f t="shared" si="26"/>
        <v/>
      </c>
      <c r="S375" s="4" t="str">
        <f t="shared" si="27"/>
        <v/>
      </c>
      <c r="T375" s="4" t="str">
        <f t="shared" si="28"/>
        <v/>
      </c>
      <c r="U375" s="10" t="str">
        <f t="shared" si="29"/>
        <v/>
      </c>
      <c r="V375" s="4"/>
    </row>
    <row r="376" spans="2:22" x14ac:dyDescent="0.25">
      <c r="B376" s="4" t="str">
        <f>IFERROR(VLOOKUP(A376,'ECN-ECO_DATA'!B:G,4,FALSE),"")</f>
        <v/>
      </c>
      <c r="C376" s="9" t="str">
        <f>IFERROR(VLOOKUP(A376,'ECN-ECO_DATA'!B:G,5,FALSE),"")</f>
        <v/>
      </c>
      <c r="D376" s="9" t="str">
        <f ca="1">IFERROR((IF(VLOOKUP(A376,'ECN-ECO_DATA'!B:G,6,FALSE)=0/1/1900,TODAY(),VLOOKUP(A376,'ECN-ECO_DATA'!B:G,6,FALSE))),"")</f>
        <v/>
      </c>
      <c r="E376" s="9" t="str">
        <f>IFERROR((IF(VLOOKUP(A376,'ECN-ECO_DATA'!B:G,6,FALSE)=0/1/1900,"",VLOOKUP(A376,'ECN-ECO_DATA'!B:G,6,FALSE))),"")</f>
        <v/>
      </c>
      <c r="F376" s="9" t="str">
        <f>IFERROR((IF(VLOOKUP(A376,'ECN-ECO_DATA'!B:J,7,FALSE)=0/1/1900,"",VLOOKUP(A376,'ECN-ECO_DATA'!B:J,7,FALSE))),"")</f>
        <v/>
      </c>
      <c r="G376" s="9" t="str">
        <f>IFERROR((IF(VLOOKUP(A376,'ECN-ECO_DATA'!B:J,8,FALSE)=0/1/1900,"",VLOOKUP(A376,'ECN-ECO_DATA'!B:J,8,FALSE))),"")</f>
        <v/>
      </c>
      <c r="H376" s="9" t="str">
        <f>IFERROR((IF(VLOOKUP(A376,'ECN-ECO_DATA'!B:J,9,FALSE)=0/1/1900,"",VLOOKUP(A376,'ECN-ECO_DATA'!B:J,9,FALSE))),"")</f>
        <v/>
      </c>
      <c r="I376" s="10" t="str">
        <f>IFERROR((IF(VLOOKUP(A376,'ECN-ECO_DATA'!B:Q,13,FALSE)="","",VLOOKUP(A376,'ECN-ECO_DATA'!B:Q,13,FALSE))),"")</f>
        <v/>
      </c>
      <c r="J376" s="10" t="str">
        <f>IFERROR((IF(VLOOKUP(A376,'ECN-ECO_DATA'!B:Q,14,FALSE)="","",VLOOKUP(A376,'ECN-ECO_DATA'!B:Q,14,FALSE))),"")</f>
        <v/>
      </c>
      <c r="K376" s="10" t="str">
        <f>IFERROR((IF(VLOOKUP(A376,'ECN-ECO_DATA'!B:Q,15,FALSE)="","",VLOOKUP(A376,'ECN-ECO_DATA'!B:Q,15,FALSE))),"")</f>
        <v/>
      </c>
      <c r="L376" s="10" t="str">
        <f>IFERROR((IF(VLOOKUP(A376,'ECN-ECO_DATA'!B:Q,16,FALSE)="","",VLOOKUP(A376,'ECN-ECO_DATA'!B:Q,16,FALSE))),"")</f>
        <v/>
      </c>
      <c r="M376" s="9" t="str">
        <f>IFERROR((IF(VLOOKUP(A376,'ECN-ECO_DATA'!B:V,18,FALSE)=0/1/1900,"",VLOOKUP(A376,'ECN-ECO_DATA'!B:V,18,FALSE))),"")</f>
        <v/>
      </c>
      <c r="N376" s="9" t="str">
        <f>IFERROR((IF(VLOOKUP(A376,'ECN-ECO_DATA'!B:V,19,FALSE)=0/1/1900,"",VLOOKUP(A376,'ECN-ECO_DATA'!B:V,19,FALSE))),"")</f>
        <v/>
      </c>
      <c r="O376" s="9" t="str">
        <f>IFERROR((IF(VLOOKUP(A376,'ECN-ECO_DATA'!B:V,20,FALSE)=0/1/1900,"",VLOOKUP(A376,'ECN-ECO_DATA'!B:V,20,FALSE))),"")</f>
        <v/>
      </c>
      <c r="P376" s="9" t="str">
        <f>IFERROR((IF(VLOOKUP(A376,'ECN-ECO_DATA'!B:V,21,FALSE)=0/1/1900,"",VLOOKUP(A376,'ECN-ECO_DATA'!B:V,21,FALSE))),"")</f>
        <v/>
      </c>
      <c r="Q376" s="10" t="str">
        <f t="shared" ca="1" si="25"/>
        <v/>
      </c>
      <c r="R376" s="4" t="str">
        <f t="shared" si="26"/>
        <v/>
      </c>
      <c r="S376" s="4" t="str">
        <f t="shared" si="27"/>
        <v/>
      </c>
      <c r="T376" s="4" t="str">
        <f t="shared" si="28"/>
        <v/>
      </c>
      <c r="U376" s="10" t="str">
        <f t="shared" si="29"/>
        <v/>
      </c>
      <c r="V376" s="4"/>
    </row>
    <row r="377" spans="2:22" x14ac:dyDescent="0.25">
      <c r="B377" s="4" t="str">
        <f>IFERROR(VLOOKUP(A377,'ECN-ECO_DATA'!B:G,4,FALSE),"")</f>
        <v/>
      </c>
      <c r="C377" s="9" t="str">
        <f>IFERROR(VLOOKUP(A377,'ECN-ECO_DATA'!B:G,5,FALSE),"")</f>
        <v/>
      </c>
      <c r="D377" s="9" t="str">
        <f ca="1">IFERROR((IF(VLOOKUP(A377,'ECN-ECO_DATA'!B:G,6,FALSE)=0/1/1900,TODAY(),VLOOKUP(A377,'ECN-ECO_DATA'!B:G,6,FALSE))),"")</f>
        <v/>
      </c>
      <c r="E377" s="9" t="str">
        <f>IFERROR((IF(VLOOKUP(A377,'ECN-ECO_DATA'!B:G,6,FALSE)=0/1/1900,"",VLOOKUP(A377,'ECN-ECO_DATA'!B:G,6,FALSE))),"")</f>
        <v/>
      </c>
      <c r="F377" s="9" t="str">
        <f>IFERROR((IF(VLOOKUP(A377,'ECN-ECO_DATA'!B:J,7,FALSE)=0/1/1900,"",VLOOKUP(A377,'ECN-ECO_DATA'!B:J,7,FALSE))),"")</f>
        <v/>
      </c>
      <c r="G377" s="9" t="str">
        <f>IFERROR((IF(VLOOKUP(A377,'ECN-ECO_DATA'!B:J,8,FALSE)=0/1/1900,"",VLOOKUP(A377,'ECN-ECO_DATA'!B:J,8,FALSE))),"")</f>
        <v/>
      </c>
      <c r="H377" s="9" t="str">
        <f>IFERROR((IF(VLOOKUP(A377,'ECN-ECO_DATA'!B:J,9,FALSE)=0/1/1900,"",VLOOKUP(A377,'ECN-ECO_DATA'!B:J,9,FALSE))),"")</f>
        <v/>
      </c>
      <c r="I377" s="10" t="str">
        <f>IFERROR((IF(VLOOKUP(A377,'ECN-ECO_DATA'!B:Q,13,FALSE)="","",VLOOKUP(A377,'ECN-ECO_DATA'!B:Q,13,FALSE))),"")</f>
        <v/>
      </c>
      <c r="J377" s="10" t="str">
        <f>IFERROR((IF(VLOOKUP(A377,'ECN-ECO_DATA'!B:Q,14,FALSE)="","",VLOOKUP(A377,'ECN-ECO_DATA'!B:Q,14,FALSE))),"")</f>
        <v/>
      </c>
      <c r="K377" s="10" t="str">
        <f>IFERROR((IF(VLOOKUP(A377,'ECN-ECO_DATA'!B:Q,15,FALSE)="","",VLOOKUP(A377,'ECN-ECO_DATA'!B:Q,15,FALSE))),"")</f>
        <v/>
      </c>
      <c r="L377" s="10" t="str">
        <f>IFERROR((IF(VLOOKUP(A377,'ECN-ECO_DATA'!B:Q,16,FALSE)="","",VLOOKUP(A377,'ECN-ECO_DATA'!B:Q,16,FALSE))),"")</f>
        <v/>
      </c>
      <c r="M377" s="9" t="str">
        <f>IFERROR((IF(VLOOKUP(A377,'ECN-ECO_DATA'!B:V,18,FALSE)=0/1/1900,"",VLOOKUP(A377,'ECN-ECO_DATA'!B:V,18,FALSE))),"")</f>
        <v/>
      </c>
      <c r="N377" s="9" t="str">
        <f>IFERROR((IF(VLOOKUP(A377,'ECN-ECO_DATA'!B:V,19,FALSE)=0/1/1900,"",VLOOKUP(A377,'ECN-ECO_DATA'!B:V,19,FALSE))),"")</f>
        <v/>
      </c>
      <c r="O377" s="9" t="str">
        <f>IFERROR((IF(VLOOKUP(A377,'ECN-ECO_DATA'!B:V,20,FALSE)=0/1/1900,"",VLOOKUP(A377,'ECN-ECO_DATA'!B:V,20,FALSE))),"")</f>
        <v/>
      </c>
      <c r="P377" s="9" t="str">
        <f>IFERROR((IF(VLOOKUP(A377,'ECN-ECO_DATA'!B:V,21,FALSE)=0/1/1900,"",VLOOKUP(A377,'ECN-ECO_DATA'!B:V,21,FALSE))),"")</f>
        <v/>
      </c>
      <c r="Q377" s="10" t="str">
        <f t="shared" ca="1" si="25"/>
        <v/>
      </c>
      <c r="R377" s="4" t="str">
        <f t="shared" si="26"/>
        <v/>
      </c>
      <c r="S377" s="4" t="str">
        <f t="shared" si="27"/>
        <v/>
      </c>
      <c r="T377" s="4" t="str">
        <f t="shared" si="28"/>
        <v/>
      </c>
      <c r="U377" s="10" t="str">
        <f t="shared" si="29"/>
        <v/>
      </c>
      <c r="V377" s="4"/>
    </row>
    <row r="378" spans="2:22" x14ac:dyDescent="0.25">
      <c r="B378" s="4" t="str">
        <f>IFERROR(VLOOKUP(A378,'ECN-ECO_DATA'!B:G,4,FALSE),"")</f>
        <v/>
      </c>
      <c r="C378" s="9" t="str">
        <f>IFERROR(VLOOKUP(A378,'ECN-ECO_DATA'!B:G,5,FALSE),"")</f>
        <v/>
      </c>
      <c r="D378" s="9" t="str">
        <f ca="1">IFERROR((IF(VLOOKUP(A378,'ECN-ECO_DATA'!B:G,6,FALSE)=0/1/1900,TODAY(),VLOOKUP(A378,'ECN-ECO_DATA'!B:G,6,FALSE))),"")</f>
        <v/>
      </c>
      <c r="E378" s="9" t="str">
        <f>IFERROR((IF(VLOOKUP(A378,'ECN-ECO_DATA'!B:G,6,FALSE)=0/1/1900,"",VLOOKUP(A378,'ECN-ECO_DATA'!B:G,6,FALSE))),"")</f>
        <v/>
      </c>
      <c r="F378" s="9" t="str">
        <f>IFERROR((IF(VLOOKUP(A378,'ECN-ECO_DATA'!B:J,7,FALSE)=0/1/1900,"",VLOOKUP(A378,'ECN-ECO_DATA'!B:J,7,FALSE))),"")</f>
        <v/>
      </c>
      <c r="G378" s="9" t="str">
        <f>IFERROR((IF(VLOOKUP(A378,'ECN-ECO_DATA'!B:J,8,FALSE)=0/1/1900,"",VLOOKUP(A378,'ECN-ECO_DATA'!B:J,8,FALSE))),"")</f>
        <v/>
      </c>
      <c r="H378" s="9" t="str">
        <f>IFERROR((IF(VLOOKUP(A378,'ECN-ECO_DATA'!B:J,9,FALSE)=0/1/1900,"",VLOOKUP(A378,'ECN-ECO_DATA'!B:J,9,FALSE))),"")</f>
        <v/>
      </c>
      <c r="I378" s="10" t="str">
        <f>IFERROR((IF(VLOOKUP(A378,'ECN-ECO_DATA'!B:Q,13,FALSE)="","",VLOOKUP(A378,'ECN-ECO_DATA'!B:Q,13,FALSE))),"")</f>
        <v/>
      </c>
      <c r="J378" s="10" t="str">
        <f>IFERROR((IF(VLOOKUP(A378,'ECN-ECO_DATA'!B:Q,14,FALSE)="","",VLOOKUP(A378,'ECN-ECO_DATA'!B:Q,14,FALSE))),"")</f>
        <v/>
      </c>
      <c r="K378" s="10" t="str">
        <f>IFERROR((IF(VLOOKUP(A378,'ECN-ECO_DATA'!B:Q,15,FALSE)="","",VLOOKUP(A378,'ECN-ECO_DATA'!B:Q,15,FALSE))),"")</f>
        <v/>
      </c>
      <c r="L378" s="10" t="str">
        <f>IFERROR((IF(VLOOKUP(A378,'ECN-ECO_DATA'!B:Q,16,FALSE)="","",VLOOKUP(A378,'ECN-ECO_DATA'!B:Q,16,FALSE))),"")</f>
        <v/>
      </c>
      <c r="M378" s="9" t="str">
        <f>IFERROR((IF(VLOOKUP(A378,'ECN-ECO_DATA'!B:V,18,FALSE)=0/1/1900,"",VLOOKUP(A378,'ECN-ECO_DATA'!B:V,18,FALSE))),"")</f>
        <v/>
      </c>
      <c r="N378" s="9" t="str">
        <f>IFERROR((IF(VLOOKUP(A378,'ECN-ECO_DATA'!B:V,19,FALSE)=0/1/1900,"",VLOOKUP(A378,'ECN-ECO_DATA'!B:V,19,FALSE))),"")</f>
        <v/>
      </c>
      <c r="O378" s="9" t="str">
        <f>IFERROR((IF(VLOOKUP(A378,'ECN-ECO_DATA'!B:V,20,FALSE)=0/1/1900,"",VLOOKUP(A378,'ECN-ECO_DATA'!B:V,20,FALSE))),"")</f>
        <v/>
      </c>
      <c r="P378" s="9" t="str">
        <f>IFERROR((IF(VLOOKUP(A378,'ECN-ECO_DATA'!B:V,21,FALSE)=0/1/1900,"",VLOOKUP(A378,'ECN-ECO_DATA'!B:V,21,FALSE))),"")</f>
        <v/>
      </c>
      <c r="Q378" s="10" t="str">
        <f t="shared" ca="1" si="25"/>
        <v/>
      </c>
      <c r="R378" s="4" t="str">
        <f t="shared" si="26"/>
        <v/>
      </c>
      <c r="S378" s="4" t="str">
        <f t="shared" si="27"/>
        <v/>
      </c>
      <c r="T378" s="4" t="str">
        <f t="shared" si="28"/>
        <v/>
      </c>
      <c r="U378" s="10" t="str">
        <f t="shared" si="29"/>
        <v/>
      </c>
      <c r="V378" s="4"/>
    </row>
    <row r="379" spans="2:22" x14ac:dyDescent="0.25">
      <c r="B379" s="4" t="str">
        <f>IFERROR(VLOOKUP(A379,'ECN-ECO_DATA'!B:G,4,FALSE),"")</f>
        <v/>
      </c>
      <c r="C379" s="9" t="str">
        <f>IFERROR(VLOOKUP(A379,'ECN-ECO_DATA'!B:G,5,FALSE),"")</f>
        <v/>
      </c>
      <c r="D379" s="9" t="str">
        <f ca="1">IFERROR((IF(VLOOKUP(A379,'ECN-ECO_DATA'!B:G,6,FALSE)=0/1/1900,TODAY(),VLOOKUP(A379,'ECN-ECO_DATA'!B:G,6,FALSE))),"")</f>
        <v/>
      </c>
      <c r="E379" s="9" t="str">
        <f>IFERROR((IF(VLOOKUP(A379,'ECN-ECO_DATA'!B:G,6,FALSE)=0/1/1900,"",VLOOKUP(A379,'ECN-ECO_DATA'!B:G,6,FALSE))),"")</f>
        <v/>
      </c>
      <c r="F379" s="9" t="str">
        <f>IFERROR((IF(VLOOKUP(A379,'ECN-ECO_DATA'!B:J,7,FALSE)=0/1/1900,"",VLOOKUP(A379,'ECN-ECO_DATA'!B:J,7,FALSE))),"")</f>
        <v/>
      </c>
      <c r="G379" s="9" t="str">
        <f>IFERROR((IF(VLOOKUP(A379,'ECN-ECO_DATA'!B:J,8,FALSE)=0/1/1900,"",VLOOKUP(A379,'ECN-ECO_DATA'!B:J,8,FALSE))),"")</f>
        <v/>
      </c>
      <c r="H379" s="9" t="str">
        <f>IFERROR((IF(VLOOKUP(A379,'ECN-ECO_DATA'!B:J,9,FALSE)=0/1/1900,"",VLOOKUP(A379,'ECN-ECO_DATA'!B:J,9,FALSE))),"")</f>
        <v/>
      </c>
      <c r="I379" s="10" t="str">
        <f>IFERROR((IF(VLOOKUP(A379,'ECN-ECO_DATA'!B:Q,13,FALSE)="","",VLOOKUP(A379,'ECN-ECO_DATA'!B:Q,13,FALSE))),"")</f>
        <v/>
      </c>
      <c r="J379" s="10" t="str">
        <f>IFERROR((IF(VLOOKUP(A379,'ECN-ECO_DATA'!B:Q,14,FALSE)="","",VLOOKUP(A379,'ECN-ECO_DATA'!B:Q,14,FALSE))),"")</f>
        <v/>
      </c>
      <c r="K379" s="10" t="str">
        <f>IFERROR((IF(VLOOKUP(A379,'ECN-ECO_DATA'!B:Q,15,FALSE)="","",VLOOKUP(A379,'ECN-ECO_DATA'!B:Q,15,FALSE))),"")</f>
        <v/>
      </c>
      <c r="L379" s="10" t="str">
        <f>IFERROR((IF(VLOOKUP(A379,'ECN-ECO_DATA'!B:Q,16,FALSE)="","",VLOOKUP(A379,'ECN-ECO_DATA'!B:Q,16,FALSE))),"")</f>
        <v/>
      </c>
      <c r="M379" s="9" t="str">
        <f>IFERROR((IF(VLOOKUP(A379,'ECN-ECO_DATA'!B:V,18,FALSE)=0/1/1900,"",VLOOKUP(A379,'ECN-ECO_DATA'!B:V,18,FALSE))),"")</f>
        <v/>
      </c>
      <c r="N379" s="9" t="str">
        <f>IFERROR((IF(VLOOKUP(A379,'ECN-ECO_DATA'!B:V,19,FALSE)=0/1/1900,"",VLOOKUP(A379,'ECN-ECO_DATA'!B:V,19,FALSE))),"")</f>
        <v/>
      </c>
      <c r="O379" s="9" t="str">
        <f>IFERROR((IF(VLOOKUP(A379,'ECN-ECO_DATA'!B:V,20,FALSE)=0/1/1900,"",VLOOKUP(A379,'ECN-ECO_DATA'!B:V,20,FALSE))),"")</f>
        <v/>
      </c>
      <c r="P379" s="9" t="str">
        <f>IFERROR((IF(VLOOKUP(A379,'ECN-ECO_DATA'!B:V,21,FALSE)=0/1/1900,"",VLOOKUP(A379,'ECN-ECO_DATA'!B:V,21,FALSE))),"")</f>
        <v/>
      </c>
      <c r="Q379" s="10" t="str">
        <f t="shared" ca="1" si="25"/>
        <v/>
      </c>
      <c r="R379" s="4" t="str">
        <f t="shared" si="26"/>
        <v/>
      </c>
      <c r="S379" s="4" t="str">
        <f t="shared" si="27"/>
        <v/>
      </c>
      <c r="T379" s="4" t="str">
        <f t="shared" si="28"/>
        <v/>
      </c>
      <c r="U379" s="10" t="str">
        <f t="shared" si="29"/>
        <v/>
      </c>
      <c r="V379" s="4"/>
    </row>
    <row r="380" spans="2:22" x14ac:dyDescent="0.25">
      <c r="B380" s="4" t="str">
        <f>IFERROR(VLOOKUP(A380,'ECN-ECO_DATA'!B:G,4,FALSE),"")</f>
        <v/>
      </c>
      <c r="C380" s="9" t="str">
        <f>IFERROR(VLOOKUP(A380,'ECN-ECO_DATA'!B:G,5,FALSE),"")</f>
        <v/>
      </c>
      <c r="D380" s="9" t="str">
        <f ca="1">IFERROR((IF(VLOOKUP(A380,'ECN-ECO_DATA'!B:G,6,FALSE)=0/1/1900,TODAY(),VLOOKUP(A380,'ECN-ECO_DATA'!B:G,6,FALSE))),"")</f>
        <v/>
      </c>
      <c r="E380" s="9" t="str">
        <f>IFERROR((IF(VLOOKUP(A380,'ECN-ECO_DATA'!B:G,6,FALSE)=0/1/1900,"",VLOOKUP(A380,'ECN-ECO_DATA'!B:G,6,FALSE))),"")</f>
        <v/>
      </c>
      <c r="F380" s="9" t="str">
        <f>IFERROR((IF(VLOOKUP(A380,'ECN-ECO_DATA'!B:J,7,FALSE)=0/1/1900,"",VLOOKUP(A380,'ECN-ECO_DATA'!B:J,7,FALSE))),"")</f>
        <v/>
      </c>
      <c r="G380" s="9" t="str">
        <f>IFERROR((IF(VLOOKUP(A380,'ECN-ECO_DATA'!B:J,8,FALSE)=0/1/1900,"",VLOOKUP(A380,'ECN-ECO_DATA'!B:J,8,FALSE))),"")</f>
        <v/>
      </c>
      <c r="H380" s="9" t="str">
        <f>IFERROR((IF(VLOOKUP(A380,'ECN-ECO_DATA'!B:J,9,FALSE)=0/1/1900,"",VLOOKUP(A380,'ECN-ECO_DATA'!B:J,9,FALSE))),"")</f>
        <v/>
      </c>
      <c r="I380" s="10" t="str">
        <f>IFERROR((IF(VLOOKUP(A380,'ECN-ECO_DATA'!B:Q,13,FALSE)="","",VLOOKUP(A380,'ECN-ECO_DATA'!B:Q,13,FALSE))),"")</f>
        <v/>
      </c>
      <c r="J380" s="10" t="str">
        <f>IFERROR((IF(VLOOKUP(A380,'ECN-ECO_DATA'!B:Q,14,FALSE)="","",VLOOKUP(A380,'ECN-ECO_DATA'!B:Q,14,FALSE))),"")</f>
        <v/>
      </c>
      <c r="K380" s="10" t="str">
        <f>IFERROR((IF(VLOOKUP(A380,'ECN-ECO_DATA'!B:Q,15,FALSE)="","",VLOOKUP(A380,'ECN-ECO_DATA'!B:Q,15,FALSE))),"")</f>
        <v/>
      </c>
      <c r="L380" s="10" t="str">
        <f>IFERROR((IF(VLOOKUP(A380,'ECN-ECO_DATA'!B:Q,16,FALSE)="","",VLOOKUP(A380,'ECN-ECO_DATA'!B:Q,16,FALSE))),"")</f>
        <v/>
      </c>
      <c r="M380" s="9" t="str">
        <f>IFERROR((IF(VLOOKUP(A380,'ECN-ECO_DATA'!B:V,18,FALSE)=0/1/1900,"",VLOOKUP(A380,'ECN-ECO_DATA'!B:V,18,FALSE))),"")</f>
        <v/>
      </c>
      <c r="N380" s="9" t="str">
        <f>IFERROR((IF(VLOOKUP(A380,'ECN-ECO_DATA'!B:V,19,FALSE)=0/1/1900,"",VLOOKUP(A380,'ECN-ECO_DATA'!B:V,19,FALSE))),"")</f>
        <v/>
      </c>
      <c r="O380" s="9" t="str">
        <f>IFERROR((IF(VLOOKUP(A380,'ECN-ECO_DATA'!B:V,20,FALSE)=0/1/1900,"",VLOOKUP(A380,'ECN-ECO_DATA'!B:V,20,FALSE))),"")</f>
        <v/>
      </c>
      <c r="P380" s="9" t="str">
        <f>IFERROR((IF(VLOOKUP(A380,'ECN-ECO_DATA'!B:V,21,FALSE)=0/1/1900,"",VLOOKUP(A380,'ECN-ECO_DATA'!B:V,21,FALSE))),"")</f>
        <v/>
      </c>
      <c r="Q380" s="10" t="str">
        <f t="shared" ca="1" si="25"/>
        <v/>
      </c>
      <c r="R380" s="4" t="str">
        <f t="shared" si="26"/>
        <v/>
      </c>
      <c r="S380" s="4" t="str">
        <f t="shared" si="27"/>
        <v/>
      </c>
      <c r="T380" s="4" t="str">
        <f t="shared" si="28"/>
        <v/>
      </c>
      <c r="U380" s="10" t="str">
        <f t="shared" si="29"/>
        <v/>
      </c>
      <c r="V380" s="4"/>
    </row>
    <row r="381" spans="2:22" x14ac:dyDescent="0.25">
      <c r="B381" s="4" t="str">
        <f>IFERROR(VLOOKUP(A381,'ECN-ECO_DATA'!B:G,4,FALSE),"")</f>
        <v/>
      </c>
      <c r="C381" s="9" t="str">
        <f>IFERROR(VLOOKUP(A381,'ECN-ECO_DATA'!B:G,5,FALSE),"")</f>
        <v/>
      </c>
      <c r="D381" s="9" t="str">
        <f ca="1">IFERROR((IF(VLOOKUP(A381,'ECN-ECO_DATA'!B:G,6,FALSE)=0/1/1900,TODAY(),VLOOKUP(A381,'ECN-ECO_DATA'!B:G,6,FALSE))),"")</f>
        <v/>
      </c>
      <c r="E381" s="9" t="str">
        <f>IFERROR((IF(VLOOKUP(A381,'ECN-ECO_DATA'!B:G,6,FALSE)=0/1/1900,"",VLOOKUP(A381,'ECN-ECO_DATA'!B:G,6,FALSE))),"")</f>
        <v/>
      </c>
      <c r="F381" s="9" t="str">
        <f>IFERROR((IF(VLOOKUP(A381,'ECN-ECO_DATA'!B:J,7,FALSE)=0/1/1900,"",VLOOKUP(A381,'ECN-ECO_DATA'!B:J,7,FALSE))),"")</f>
        <v/>
      </c>
      <c r="G381" s="9" t="str">
        <f>IFERROR((IF(VLOOKUP(A381,'ECN-ECO_DATA'!B:J,8,FALSE)=0/1/1900,"",VLOOKUP(A381,'ECN-ECO_DATA'!B:J,8,FALSE))),"")</f>
        <v/>
      </c>
      <c r="H381" s="9" t="str">
        <f>IFERROR((IF(VLOOKUP(A381,'ECN-ECO_DATA'!B:J,9,FALSE)=0/1/1900,"",VLOOKUP(A381,'ECN-ECO_DATA'!B:J,9,FALSE))),"")</f>
        <v/>
      </c>
      <c r="I381" s="10" t="str">
        <f>IFERROR((IF(VLOOKUP(A381,'ECN-ECO_DATA'!B:Q,13,FALSE)="","",VLOOKUP(A381,'ECN-ECO_DATA'!B:Q,13,FALSE))),"")</f>
        <v/>
      </c>
      <c r="J381" s="10" t="str">
        <f>IFERROR((IF(VLOOKUP(A381,'ECN-ECO_DATA'!B:Q,14,FALSE)="","",VLOOKUP(A381,'ECN-ECO_DATA'!B:Q,14,FALSE))),"")</f>
        <v/>
      </c>
      <c r="K381" s="10" t="str">
        <f>IFERROR((IF(VLOOKUP(A381,'ECN-ECO_DATA'!B:Q,15,FALSE)="","",VLOOKUP(A381,'ECN-ECO_DATA'!B:Q,15,FALSE))),"")</f>
        <v/>
      </c>
      <c r="L381" s="10" t="str">
        <f>IFERROR((IF(VLOOKUP(A381,'ECN-ECO_DATA'!B:Q,16,FALSE)="","",VLOOKUP(A381,'ECN-ECO_DATA'!B:Q,16,FALSE))),"")</f>
        <v/>
      </c>
      <c r="M381" s="9" t="str">
        <f>IFERROR((IF(VLOOKUP(A381,'ECN-ECO_DATA'!B:V,18,FALSE)=0/1/1900,"",VLOOKUP(A381,'ECN-ECO_DATA'!B:V,18,FALSE))),"")</f>
        <v/>
      </c>
      <c r="N381" s="9" t="str">
        <f>IFERROR((IF(VLOOKUP(A381,'ECN-ECO_DATA'!B:V,19,FALSE)=0/1/1900,"",VLOOKUP(A381,'ECN-ECO_DATA'!B:V,19,FALSE))),"")</f>
        <v/>
      </c>
      <c r="O381" s="9" t="str">
        <f>IFERROR((IF(VLOOKUP(A381,'ECN-ECO_DATA'!B:V,20,FALSE)=0/1/1900,"",VLOOKUP(A381,'ECN-ECO_DATA'!B:V,20,FALSE))),"")</f>
        <v/>
      </c>
      <c r="P381" s="9" t="str">
        <f>IFERROR((IF(VLOOKUP(A381,'ECN-ECO_DATA'!B:V,21,FALSE)=0/1/1900,"",VLOOKUP(A381,'ECN-ECO_DATA'!B:V,21,FALSE))),"")</f>
        <v/>
      </c>
      <c r="Q381" s="10" t="str">
        <f t="shared" ca="1" si="25"/>
        <v/>
      </c>
      <c r="R381" s="4" t="str">
        <f t="shared" si="26"/>
        <v/>
      </c>
      <c r="S381" s="4" t="str">
        <f t="shared" si="27"/>
        <v/>
      </c>
      <c r="T381" s="4" t="str">
        <f t="shared" si="28"/>
        <v/>
      </c>
      <c r="U381" s="10" t="str">
        <f t="shared" si="29"/>
        <v/>
      </c>
      <c r="V381" s="4"/>
    </row>
    <row r="382" spans="2:22" x14ac:dyDescent="0.25">
      <c r="B382" s="4" t="str">
        <f>IFERROR(VLOOKUP(A382,'ECN-ECO_DATA'!B:G,4,FALSE),"")</f>
        <v/>
      </c>
      <c r="C382" s="9" t="str">
        <f>IFERROR(VLOOKUP(A382,'ECN-ECO_DATA'!B:G,5,FALSE),"")</f>
        <v/>
      </c>
      <c r="D382" s="9" t="str">
        <f ca="1">IFERROR((IF(VLOOKUP(A382,'ECN-ECO_DATA'!B:G,6,FALSE)=0/1/1900,TODAY(),VLOOKUP(A382,'ECN-ECO_DATA'!B:G,6,FALSE))),"")</f>
        <v/>
      </c>
      <c r="E382" s="9" t="str">
        <f>IFERROR((IF(VLOOKUP(A382,'ECN-ECO_DATA'!B:G,6,FALSE)=0/1/1900,"",VLOOKUP(A382,'ECN-ECO_DATA'!B:G,6,FALSE))),"")</f>
        <v/>
      </c>
      <c r="F382" s="9" t="str">
        <f>IFERROR((IF(VLOOKUP(A382,'ECN-ECO_DATA'!B:J,7,FALSE)=0/1/1900,"",VLOOKUP(A382,'ECN-ECO_DATA'!B:J,7,FALSE))),"")</f>
        <v/>
      </c>
      <c r="G382" s="9" t="str">
        <f>IFERROR((IF(VLOOKUP(A382,'ECN-ECO_DATA'!B:J,8,FALSE)=0/1/1900,"",VLOOKUP(A382,'ECN-ECO_DATA'!B:J,8,FALSE))),"")</f>
        <v/>
      </c>
      <c r="H382" s="9" t="str">
        <f>IFERROR((IF(VLOOKUP(A382,'ECN-ECO_DATA'!B:J,9,FALSE)=0/1/1900,"",VLOOKUP(A382,'ECN-ECO_DATA'!B:J,9,FALSE))),"")</f>
        <v/>
      </c>
      <c r="I382" s="10" t="str">
        <f>IFERROR((IF(VLOOKUP(A382,'ECN-ECO_DATA'!B:Q,13,FALSE)="","",VLOOKUP(A382,'ECN-ECO_DATA'!B:Q,13,FALSE))),"")</f>
        <v/>
      </c>
      <c r="J382" s="10" t="str">
        <f>IFERROR((IF(VLOOKUP(A382,'ECN-ECO_DATA'!B:Q,14,FALSE)="","",VLOOKUP(A382,'ECN-ECO_DATA'!B:Q,14,FALSE))),"")</f>
        <v/>
      </c>
      <c r="K382" s="10" t="str">
        <f>IFERROR((IF(VLOOKUP(A382,'ECN-ECO_DATA'!B:Q,15,FALSE)="","",VLOOKUP(A382,'ECN-ECO_DATA'!B:Q,15,FALSE))),"")</f>
        <v/>
      </c>
      <c r="L382" s="10" t="str">
        <f>IFERROR((IF(VLOOKUP(A382,'ECN-ECO_DATA'!B:Q,16,FALSE)="","",VLOOKUP(A382,'ECN-ECO_DATA'!B:Q,16,FALSE))),"")</f>
        <v/>
      </c>
      <c r="M382" s="9" t="str">
        <f>IFERROR((IF(VLOOKUP(A382,'ECN-ECO_DATA'!B:V,18,FALSE)=0/1/1900,"",VLOOKUP(A382,'ECN-ECO_DATA'!B:V,18,FALSE))),"")</f>
        <v/>
      </c>
      <c r="N382" s="9" t="str">
        <f>IFERROR((IF(VLOOKUP(A382,'ECN-ECO_DATA'!B:V,19,FALSE)=0/1/1900,"",VLOOKUP(A382,'ECN-ECO_DATA'!B:V,19,FALSE))),"")</f>
        <v/>
      </c>
      <c r="O382" s="9" t="str">
        <f>IFERROR((IF(VLOOKUP(A382,'ECN-ECO_DATA'!B:V,20,FALSE)=0/1/1900,"",VLOOKUP(A382,'ECN-ECO_DATA'!B:V,20,FALSE))),"")</f>
        <v/>
      </c>
      <c r="P382" s="9" t="str">
        <f>IFERROR((IF(VLOOKUP(A382,'ECN-ECO_DATA'!B:V,21,FALSE)=0/1/1900,"",VLOOKUP(A382,'ECN-ECO_DATA'!B:V,21,FALSE))),"")</f>
        <v/>
      </c>
      <c r="Q382" s="10" t="str">
        <f t="shared" ca="1" si="25"/>
        <v/>
      </c>
      <c r="R382" s="4" t="str">
        <f t="shared" si="26"/>
        <v/>
      </c>
      <c r="S382" s="4" t="str">
        <f t="shared" si="27"/>
        <v/>
      </c>
      <c r="T382" s="4" t="str">
        <f t="shared" si="28"/>
        <v/>
      </c>
      <c r="U382" s="10" t="str">
        <f t="shared" si="29"/>
        <v/>
      </c>
      <c r="V382" s="4"/>
    </row>
    <row r="383" spans="2:22" x14ac:dyDescent="0.25">
      <c r="B383" s="4" t="str">
        <f>IFERROR(VLOOKUP(A383,'ECN-ECO_DATA'!B:G,4,FALSE),"")</f>
        <v/>
      </c>
      <c r="C383" s="9" t="str">
        <f>IFERROR(VLOOKUP(A383,'ECN-ECO_DATA'!B:G,5,FALSE),"")</f>
        <v/>
      </c>
      <c r="D383" s="9" t="str">
        <f ca="1">IFERROR((IF(VLOOKUP(A383,'ECN-ECO_DATA'!B:G,6,FALSE)=0/1/1900,TODAY(),VLOOKUP(A383,'ECN-ECO_DATA'!B:G,6,FALSE))),"")</f>
        <v/>
      </c>
      <c r="E383" s="9" t="str">
        <f>IFERROR((IF(VLOOKUP(A383,'ECN-ECO_DATA'!B:G,6,FALSE)=0/1/1900,"",VLOOKUP(A383,'ECN-ECO_DATA'!B:G,6,FALSE))),"")</f>
        <v/>
      </c>
      <c r="F383" s="9" t="str">
        <f>IFERROR((IF(VLOOKUP(A383,'ECN-ECO_DATA'!B:J,7,FALSE)=0/1/1900,"",VLOOKUP(A383,'ECN-ECO_DATA'!B:J,7,FALSE))),"")</f>
        <v/>
      </c>
      <c r="G383" s="9" t="str">
        <f>IFERROR((IF(VLOOKUP(A383,'ECN-ECO_DATA'!B:J,8,FALSE)=0/1/1900,"",VLOOKUP(A383,'ECN-ECO_DATA'!B:J,8,FALSE))),"")</f>
        <v/>
      </c>
      <c r="H383" s="9" t="str">
        <f>IFERROR((IF(VLOOKUP(A383,'ECN-ECO_DATA'!B:J,9,FALSE)=0/1/1900,"",VLOOKUP(A383,'ECN-ECO_DATA'!B:J,9,FALSE))),"")</f>
        <v/>
      </c>
      <c r="I383" s="10" t="str">
        <f>IFERROR((IF(VLOOKUP(A383,'ECN-ECO_DATA'!B:Q,13,FALSE)="","",VLOOKUP(A383,'ECN-ECO_DATA'!B:Q,13,FALSE))),"")</f>
        <v/>
      </c>
      <c r="J383" s="10" t="str">
        <f>IFERROR((IF(VLOOKUP(A383,'ECN-ECO_DATA'!B:Q,14,FALSE)="","",VLOOKUP(A383,'ECN-ECO_DATA'!B:Q,14,FALSE))),"")</f>
        <v/>
      </c>
      <c r="K383" s="10" t="str">
        <f>IFERROR((IF(VLOOKUP(A383,'ECN-ECO_DATA'!B:Q,15,FALSE)="","",VLOOKUP(A383,'ECN-ECO_DATA'!B:Q,15,FALSE))),"")</f>
        <v/>
      </c>
      <c r="L383" s="10" t="str">
        <f>IFERROR((IF(VLOOKUP(A383,'ECN-ECO_DATA'!B:Q,16,FALSE)="","",VLOOKUP(A383,'ECN-ECO_DATA'!B:Q,16,FALSE))),"")</f>
        <v/>
      </c>
      <c r="M383" s="9" t="str">
        <f>IFERROR((IF(VLOOKUP(A383,'ECN-ECO_DATA'!B:V,18,FALSE)=0/1/1900,"",VLOOKUP(A383,'ECN-ECO_DATA'!B:V,18,FALSE))),"")</f>
        <v/>
      </c>
      <c r="N383" s="9" t="str">
        <f>IFERROR((IF(VLOOKUP(A383,'ECN-ECO_DATA'!B:V,19,FALSE)=0/1/1900,"",VLOOKUP(A383,'ECN-ECO_DATA'!B:V,19,FALSE))),"")</f>
        <v/>
      </c>
      <c r="O383" s="9" t="str">
        <f>IFERROR((IF(VLOOKUP(A383,'ECN-ECO_DATA'!B:V,20,FALSE)=0/1/1900,"",VLOOKUP(A383,'ECN-ECO_DATA'!B:V,20,FALSE))),"")</f>
        <v/>
      </c>
      <c r="P383" s="9" t="str">
        <f>IFERROR((IF(VLOOKUP(A383,'ECN-ECO_DATA'!B:V,21,FALSE)=0/1/1900,"",VLOOKUP(A383,'ECN-ECO_DATA'!B:V,21,FALSE))),"")</f>
        <v/>
      </c>
      <c r="Q383" s="10" t="str">
        <f t="shared" ca="1" si="25"/>
        <v/>
      </c>
      <c r="R383" s="4" t="str">
        <f t="shared" si="26"/>
        <v/>
      </c>
      <c r="S383" s="4" t="str">
        <f t="shared" si="27"/>
        <v/>
      </c>
      <c r="T383" s="4" t="str">
        <f t="shared" si="28"/>
        <v/>
      </c>
      <c r="U383" s="10" t="str">
        <f t="shared" si="29"/>
        <v/>
      </c>
      <c r="V383" s="4"/>
    </row>
    <row r="384" spans="2:22" x14ac:dyDescent="0.25">
      <c r="B384" s="4" t="str">
        <f>IFERROR(VLOOKUP(A384,'ECN-ECO_DATA'!B:G,4,FALSE),"")</f>
        <v/>
      </c>
      <c r="C384" s="9" t="str">
        <f>IFERROR(VLOOKUP(A384,'ECN-ECO_DATA'!B:G,5,FALSE),"")</f>
        <v/>
      </c>
      <c r="D384" s="9" t="str">
        <f ca="1">IFERROR((IF(VLOOKUP(A384,'ECN-ECO_DATA'!B:G,6,FALSE)=0/1/1900,TODAY(),VLOOKUP(A384,'ECN-ECO_DATA'!B:G,6,FALSE))),"")</f>
        <v/>
      </c>
      <c r="E384" s="9" t="str">
        <f>IFERROR((IF(VLOOKUP(A384,'ECN-ECO_DATA'!B:G,6,FALSE)=0/1/1900,"",VLOOKUP(A384,'ECN-ECO_DATA'!B:G,6,FALSE))),"")</f>
        <v/>
      </c>
      <c r="F384" s="9" t="str">
        <f>IFERROR((IF(VLOOKUP(A384,'ECN-ECO_DATA'!B:J,7,FALSE)=0/1/1900,"",VLOOKUP(A384,'ECN-ECO_DATA'!B:J,7,FALSE))),"")</f>
        <v/>
      </c>
      <c r="G384" s="9" t="str">
        <f>IFERROR((IF(VLOOKUP(A384,'ECN-ECO_DATA'!B:J,8,FALSE)=0/1/1900,"",VLOOKUP(A384,'ECN-ECO_DATA'!B:J,8,FALSE))),"")</f>
        <v/>
      </c>
      <c r="H384" s="9" t="str">
        <f>IFERROR((IF(VLOOKUP(A384,'ECN-ECO_DATA'!B:J,9,FALSE)=0/1/1900,"",VLOOKUP(A384,'ECN-ECO_DATA'!B:J,9,FALSE))),"")</f>
        <v/>
      </c>
      <c r="I384" s="10" t="str">
        <f>IFERROR((IF(VLOOKUP(A384,'ECN-ECO_DATA'!B:Q,13,FALSE)="","",VLOOKUP(A384,'ECN-ECO_DATA'!B:Q,13,FALSE))),"")</f>
        <v/>
      </c>
      <c r="J384" s="10" t="str">
        <f>IFERROR((IF(VLOOKUP(A384,'ECN-ECO_DATA'!B:Q,14,FALSE)="","",VLOOKUP(A384,'ECN-ECO_DATA'!B:Q,14,FALSE))),"")</f>
        <v/>
      </c>
      <c r="K384" s="10" t="str">
        <f>IFERROR((IF(VLOOKUP(A384,'ECN-ECO_DATA'!B:Q,15,FALSE)="","",VLOOKUP(A384,'ECN-ECO_DATA'!B:Q,15,FALSE))),"")</f>
        <v/>
      </c>
      <c r="L384" s="10" t="str">
        <f>IFERROR((IF(VLOOKUP(A384,'ECN-ECO_DATA'!B:Q,16,FALSE)="","",VLOOKUP(A384,'ECN-ECO_DATA'!B:Q,16,FALSE))),"")</f>
        <v/>
      </c>
      <c r="M384" s="9" t="str">
        <f>IFERROR((IF(VLOOKUP(A384,'ECN-ECO_DATA'!B:V,18,FALSE)=0/1/1900,"",VLOOKUP(A384,'ECN-ECO_DATA'!B:V,18,FALSE))),"")</f>
        <v/>
      </c>
      <c r="N384" s="9" t="str">
        <f>IFERROR((IF(VLOOKUP(A384,'ECN-ECO_DATA'!B:V,19,FALSE)=0/1/1900,"",VLOOKUP(A384,'ECN-ECO_DATA'!B:V,19,FALSE))),"")</f>
        <v/>
      </c>
      <c r="O384" s="9" t="str">
        <f>IFERROR((IF(VLOOKUP(A384,'ECN-ECO_DATA'!B:V,20,FALSE)=0/1/1900,"",VLOOKUP(A384,'ECN-ECO_DATA'!B:V,20,FALSE))),"")</f>
        <v/>
      </c>
      <c r="P384" s="9" t="str">
        <f>IFERROR((IF(VLOOKUP(A384,'ECN-ECO_DATA'!B:V,21,FALSE)=0/1/1900,"",VLOOKUP(A384,'ECN-ECO_DATA'!B:V,21,FALSE))),"")</f>
        <v/>
      </c>
      <c r="Q384" s="10" t="str">
        <f t="shared" ca="1" si="25"/>
        <v/>
      </c>
      <c r="R384" s="4" t="str">
        <f t="shared" si="26"/>
        <v/>
      </c>
      <c r="S384" s="4" t="str">
        <f t="shared" si="27"/>
        <v/>
      </c>
      <c r="T384" s="4" t="str">
        <f t="shared" si="28"/>
        <v/>
      </c>
      <c r="U384" s="10" t="str">
        <f t="shared" si="29"/>
        <v/>
      </c>
      <c r="V384" s="4"/>
    </row>
    <row r="385" spans="2:22" x14ac:dyDescent="0.25">
      <c r="B385" s="4" t="str">
        <f>IFERROR(VLOOKUP(A385,'ECN-ECO_DATA'!B:G,4,FALSE),"")</f>
        <v/>
      </c>
      <c r="C385" s="9" t="str">
        <f>IFERROR(VLOOKUP(A385,'ECN-ECO_DATA'!B:G,5,FALSE),"")</f>
        <v/>
      </c>
      <c r="D385" s="9" t="str">
        <f ca="1">IFERROR((IF(VLOOKUP(A385,'ECN-ECO_DATA'!B:G,6,FALSE)=0/1/1900,TODAY(),VLOOKUP(A385,'ECN-ECO_DATA'!B:G,6,FALSE))),"")</f>
        <v/>
      </c>
      <c r="E385" s="9" t="str">
        <f>IFERROR((IF(VLOOKUP(A385,'ECN-ECO_DATA'!B:G,6,FALSE)=0/1/1900,"",VLOOKUP(A385,'ECN-ECO_DATA'!B:G,6,FALSE))),"")</f>
        <v/>
      </c>
      <c r="F385" s="9" t="str">
        <f>IFERROR((IF(VLOOKUP(A385,'ECN-ECO_DATA'!B:J,7,FALSE)=0/1/1900,"",VLOOKUP(A385,'ECN-ECO_DATA'!B:J,7,FALSE))),"")</f>
        <v/>
      </c>
      <c r="G385" s="9" t="str">
        <f>IFERROR((IF(VLOOKUP(A385,'ECN-ECO_DATA'!B:J,8,FALSE)=0/1/1900,"",VLOOKUP(A385,'ECN-ECO_DATA'!B:J,8,FALSE))),"")</f>
        <v/>
      </c>
      <c r="H385" s="9" t="str">
        <f>IFERROR((IF(VLOOKUP(A385,'ECN-ECO_DATA'!B:J,9,FALSE)=0/1/1900,"",VLOOKUP(A385,'ECN-ECO_DATA'!B:J,9,FALSE))),"")</f>
        <v/>
      </c>
      <c r="I385" s="10" t="str">
        <f>IFERROR((IF(VLOOKUP(A385,'ECN-ECO_DATA'!B:Q,13,FALSE)="","",VLOOKUP(A385,'ECN-ECO_DATA'!B:Q,13,FALSE))),"")</f>
        <v/>
      </c>
      <c r="J385" s="10" t="str">
        <f>IFERROR((IF(VLOOKUP(A385,'ECN-ECO_DATA'!B:Q,14,FALSE)="","",VLOOKUP(A385,'ECN-ECO_DATA'!B:Q,14,FALSE))),"")</f>
        <v/>
      </c>
      <c r="K385" s="10" t="str">
        <f>IFERROR((IF(VLOOKUP(A385,'ECN-ECO_DATA'!B:Q,15,FALSE)="","",VLOOKUP(A385,'ECN-ECO_DATA'!B:Q,15,FALSE))),"")</f>
        <v/>
      </c>
      <c r="L385" s="10" t="str">
        <f>IFERROR((IF(VLOOKUP(A385,'ECN-ECO_DATA'!B:Q,16,FALSE)="","",VLOOKUP(A385,'ECN-ECO_DATA'!B:Q,16,FALSE))),"")</f>
        <v/>
      </c>
      <c r="M385" s="9" t="str">
        <f>IFERROR((IF(VLOOKUP(A385,'ECN-ECO_DATA'!B:V,18,FALSE)=0/1/1900,"",VLOOKUP(A385,'ECN-ECO_DATA'!B:V,18,FALSE))),"")</f>
        <v/>
      </c>
      <c r="N385" s="9" t="str">
        <f>IFERROR((IF(VLOOKUP(A385,'ECN-ECO_DATA'!B:V,19,FALSE)=0/1/1900,"",VLOOKUP(A385,'ECN-ECO_DATA'!B:V,19,FALSE))),"")</f>
        <v/>
      </c>
      <c r="O385" s="9" t="str">
        <f>IFERROR((IF(VLOOKUP(A385,'ECN-ECO_DATA'!B:V,20,FALSE)=0/1/1900,"",VLOOKUP(A385,'ECN-ECO_DATA'!B:V,20,FALSE))),"")</f>
        <v/>
      </c>
      <c r="P385" s="9" t="str">
        <f>IFERROR((IF(VLOOKUP(A385,'ECN-ECO_DATA'!B:V,21,FALSE)=0/1/1900,"",VLOOKUP(A385,'ECN-ECO_DATA'!B:V,21,FALSE))),"")</f>
        <v/>
      </c>
      <c r="Q385" s="10" t="str">
        <f t="shared" ca="1" si="25"/>
        <v/>
      </c>
      <c r="R385" s="4" t="str">
        <f t="shared" si="26"/>
        <v/>
      </c>
      <c r="S385" s="4" t="str">
        <f t="shared" si="27"/>
        <v/>
      </c>
      <c r="T385" s="4" t="str">
        <f t="shared" si="28"/>
        <v/>
      </c>
      <c r="U385" s="10" t="str">
        <f t="shared" si="29"/>
        <v/>
      </c>
      <c r="V385" s="4"/>
    </row>
    <row r="386" spans="2:22" x14ac:dyDescent="0.25">
      <c r="B386" s="4" t="str">
        <f>IFERROR(VLOOKUP(A386,'ECN-ECO_DATA'!B:G,4,FALSE),"")</f>
        <v/>
      </c>
      <c r="C386" s="9" t="str">
        <f>IFERROR(VLOOKUP(A386,'ECN-ECO_DATA'!B:G,5,FALSE),"")</f>
        <v/>
      </c>
      <c r="D386" s="9" t="str">
        <f ca="1">IFERROR((IF(VLOOKUP(A386,'ECN-ECO_DATA'!B:G,6,FALSE)=0/1/1900,TODAY(),VLOOKUP(A386,'ECN-ECO_DATA'!B:G,6,FALSE))),"")</f>
        <v/>
      </c>
      <c r="E386" s="9" t="str">
        <f>IFERROR((IF(VLOOKUP(A386,'ECN-ECO_DATA'!B:G,6,FALSE)=0/1/1900,"",VLOOKUP(A386,'ECN-ECO_DATA'!B:G,6,FALSE))),"")</f>
        <v/>
      </c>
      <c r="F386" s="9" t="str">
        <f>IFERROR((IF(VLOOKUP(A386,'ECN-ECO_DATA'!B:J,7,FALSE)=0/1/1900,"",VLOOKUP(A386,'ECN-ECO_DATA'!B:J,7,FALSE))),"")</f>
        <v/>
      </c>
      <c r="G386" s="9" t="str">
        <f>IFERROR((IF(VLOOKUP(A386,'ECN-ECO_DATA'!B:J,8,FALSE)=0/1/1900,"",VLOOKUP(A386,'ECN-ECO_DATA'!B:J,8,FALSE))),"")</f>
        <v/>
      </c>
      <c r="H386" s="9" t="str">
        <f>IFERROR((IF(VLOOKUP(A386,'ECN-ECO_DATA'!B:J,9,FALSE)=0/1/1900,"",VLOOKUP(A386,'ECN-ECO_DATA'!B:J,9,FALSE))),"")</f>
        <v/>
      </c>
      <c r="I386" s="10" t="str">
        <f>IFERROR((IF(VLOOKUP(A386,'ECN-ECO_DATA'!B:Q,13,FALSE)="","",VLOOKUP(A386,'ECN-ECO_DATA'!B:Q,13,FALSE))),"")</f>
        <v/>
      </c>
      <c r="J386" s="10" t="str">
        <f>IFERROR((IF(VLOOKUP(A386,'ECN-ECO_DATA'!B:Q,14,FALSE)="","",VLOOKUP(A386,'ECN-ECO_DATA'!B:Q,14,FALSE))),"")</f>
        <v/>
      </c>
      <c r="K386" s="10" t="str">
        <f>IFERROR((IF(VLOOKUP(A386,'ECN-ECO_DATA'!B:Q,15,FALSE)="","",VLOOKUP(A386,'ECN-ECO_DATA'!B:Q,15,FALSE))),"")</f>
        <v/>
      </c>
      <c r="L386" s="10" t="str">
        <f>IFERROR((IF(VLOOKUP(A386,'ECN-ECO_DATA'!B:Q,16,FALSE)="","",VLOOKUP(A386,'ECN-ECO_DATA'!B:Q,16,FALSE))),"")</f>
        <v/>
      </c>
      <c r="M386" s="9" t="str">
        <f>IFERROR((IF(VLOOKUP(A386,'ECN-ECO_DATA'!B:V,18,FALSE)=0/1/1900,"",VLOOKUP(A386,'ECN-ECO_DATA'!B:V,18,FALSE))),"")</f>
        <v/>
      </c>
      <c r="N386" s="9" t="str">
        <f>IFERROR((IF(VLOOKUP(A386,'ECN-ECO_DATA'!B:V,19,FALSE)=0/1/1900,"",VLOOKUP(A386,'ECN-ECO_DATA'!B:V,19,FALSE))),"")</f>
        <v/>
      </c>
      <c r="O386" s="9" t="str">
        <f>IFERROR((IF(VLOOKUP(A386,'ECN-ECO_DATA'!B:V,20,FALSE)=0/1/1900,"",VLOOKUP(A386,'ECN-ECO_DATA'!B:V,20,FALSE))),"")</f>
        <v/>
      </c>
      <c r="P386" s="9" t="str">
        <f>IFERROR((IF(VLOOKUP(A386,'ECN-ECO_DATA'!B:V,21,FALSE)=0/1/1900,"",VLOOKUP(A386,'ECN-ECO_DATA'!B:V,21,FALSE))),"")</f>
        <v/>
      </c>
      <c r="Q386" s="10" t="str">
        <f t="shared" ca="1" si="25"/>
        <v/>
      </c>
      <c r="R386" s="4" t="str">
        <f t="shared" si="26"/>
        <v/>
      </c>
      <c r="S386" s="4" t="str">
        <f t="shared" si="27"/>
        <v/>
      </c>
      <c r="T386" s="4" t="str">
        <f t="shared" si="28"/>
        <v/>
      </c>
      <c r="U386" s="10" t="str">
        <f t="shared" si="29"/>
        <v/>
      </c>
      <c r="V386" s="4"/>
    </row>
    <row r="387" spans="2:22" x14ac:dyDescent="0.25">
      <c r="B387" s="4" t="str">
        <f>IFERROR(VLOOKUP(A387,'ECN-ECO_DATA'!B:G,4,FALSE),"")</f>
        <v/>
      </c>
      <c r="C387" s="9" t="str">
        <f>IFERROR(VLOOKUP(A387,'ECN-ECO_DATA'!B:G,5,FALSE),"")</f>
        <v/>
      </c>
      <c r="D387" s="9" t="str">
        <f ca="1">IFERROR((IF(VLOOKUP(A387,'ECN-ECO_DATA'!B:G,6,FALSE)=0/1/1900,TODAY(),VLOOKUP(A387,'ECN-ECO_DATA'!B:G,6,FALSE))),"")</f>
        <v/>
      </c>
      <c r="E387" s="9" t="str">
        <f>IFERROR((IF(VLOOKUP(A387,'ECN-ECO_DATA'!B:G,6,FALSE)=0/1/1900,"",VLOOKUP(A387,'ECN-ECO_DATA'!B:G,6,FALSE))),"")</f>
        <v/>
      </c>
      <c r="F387" s="9" t="str">
        <f>IFERROR((IF(VLOOKUP(A387,'ECN-ECO_DATA'!B:J,7,FALSE)=0/1/1900,"",VLOOKUP(A387,'ECN-ECO_DATA'!B:J,7,FALSE))),"")</f>
        <v/>
      </c>
      <c r="G387" s="9" t="str">
        <f>IFERROR((IF(VLOOKUP(A387,'ECN-ECO_DATA'!B:J,8,FALSE)=0/1/1900,"",VLOOKUP(A387,'ECN-ECO_DATA'!B:J,8,FALSE))),"")</f>
        <v/>
      </c>
      <c r="H387" s="9" t="str">
        <f>IFERROR((IF(VLOOKUP(A387,'ECN-ECO_DATA'!B:J,9,FALSE)=0/1/1900,"",VLOOKUP(A387,'ECN-ECO_DATA'!B:J,9,FALSE))),"")</f>
        <v/>
      </c>
      <c r="I387" s="10" t="str">
        <f>IFERROR((IF(VLOOKUP(A387,'ECN-ECO_DATA'!B:Q,13,FALSE)="","",VLOOKUP(A387,'ECN-ECO_DATA'!B:Q,13,FALSE))),"")</f>
        <v/>
      </c>
      <c r="J387" s="10" t="str">
        <f>IFERROR((IF(VLOOKUP(A387,'ECN-ECO_DATA'!B:Q,14,FALSE)="","",VLOOKUP(A387,'ECN-ECO_DATA'!B:Q,14,FALSE))),"")</f>
        <v/>
      </c>
      <c r="K387" s="10" t="str">
        <f>IFERROR((IF(VLOOKUP(A387,'ECN-ECO_DATA'!B:Q,15,FALSE)="","",VLOOKUP(A387,'ECN-ECO_DATA'!B:Q,15,FALSE))),"")</f>
        <v/>
      </c>
      <c r="L387" s="10" t="str">
        <f>IFERROR((IF(VLOOKUP(A387,'ECN-ECO_DATA'!B:Q,16,FALSE)="","",VLOOKUP(A387,'ECN-ECO_DATA'!B:Q,16,FALSE))),"")</f>
        <v/>
      </c>
      <c r="M387" s="9" t="str">
        <f>IFERROR((IF(VLOOKUP(A387,'ECN-ECO_DATA'!B:V,18,FALSE)=0/1/1900,"",VLOOKUP(A387,'ECN-ECO_DATA'!B:V,18,FALSE))),"")</f>
        <v/>
      </c>
      <c r="N387" s="9" t="str">
        <f>IFERROR((IF(VLOOKUP(A387,'ECN-ECO_DATA'!B:V,19,FALSE)=0/1/1900,"",VLOOKUP(A387,'ECN-ECO_DATA'!B:V,19,FALSE))),"")</f>
        <v/>
      </c>
      <c r="O387" s="9" t="str">
        <f>IFERROR((IF(VLOOKUP(A387,'ECN-ECO_DATA'!B:V,20,FALSE)=0/1/1900,"",VLOOKUP(A387,'ECN-ECO_DATA'!B:V,20,FALSE))),"")</f>
        <v/>
      </c>
      <c r="P387" s="9" t="str">
        <f>IFERROR((IF(VLOOKUP(A387,'ECN-ECO_DATA'!B:V,21,FALSE)=0/1/1900,"",VLOOKUP(A387,'ECN-ECO_DATA'!B:V,21,FALSE))),"")</f>
        <v/>
      </c>
      <c r="Q387" s="10" t="str">
        <f t="shared" ref="Q387:Q450" ca="1" si="30">IFERROR(D387-C387,"")</f>
        <v/>
      </c>
      <c r="R387" s="4" t="str">
        <f t="shared" ref="R387:R450" si="31">IFERROR(H387-E387,"")</f>
        <v/>
      </c>
      <c r="S387" s="4" t="str">
        <f t="shared" ref="S387:S450" si="32">IFERROR(N387-H387,"")</f>
        <v/>
      </c>
      <c r="T387" s="4" t="str">
        <f t="shared" ref="T387:T450" si="33">IFERROR(O387-N387,"")</f>
        <v/>
      </c>
      <c r="U387" s="10" t="str">
        <f t="shared" ref="U387:U450" si="34">IF(O387="","",IF(SUM(Q387:T387)=0,"",SUM(Q387:T387)))</f>
        <v/>
      </c>
      <c r="V387" s="4"/>
    </row>
    <row r="388" spans="2:22" x14ac:dyDescent="0.25">
      <c r="B388" s="4" t="str">
        <f>IFERROR(VLOOKUP(A388,'ECN-ECO_DATA'!B:G,4,FALSE),"")</f>
        <v/>
      </c>
      <c r="C388" s="9" t="str">
        <f>IFERROR(VLOOKUP(A388,'ECN-ECO_DATA'!B:G,5,FALSE),"")</f>
        <v/>
      </c>
      <c r="D388" s="9" t="str">
        <f ca="1">IFERROR((IF(VLOOKUP(A388,'ECN-ECO_DATA'!B:G,6,FALSE)=0/1/1900,TODAY(),VLOOKUP(A388,'ECN-ECO_DATA'!B:G,6,FALSE))),"")</f>
        <v/>
      </c>
      <c r="E388" s="9" t="str">
        <f>IFERROR((IF(VLOOKUP(A388,'ECN-ECO_DATA'!B:G,6,FALSE)=0/1/1900,"",VLOOKUP(A388,'ECN-ECO_DATA'!B:G,6,FALSE))),"")</f>
        <v/>
      </c>
      <c r="F388" s="9" t="str">
        <f>IFERROR((IF(VLOOKUP(A388,'ECN-ECO_DATA'!B:J,7,FALSE)=0/1/1900,"",VLOOKUP(A388,'ECN-ECO_DATA'!B:J,7,FALSE))),"")</f>
        <v/>
      </c>
      <c r="G388" s="9" t="str">
        <f>IFERROR((IF(VLOOKUP(A388,'ECN-ECO_DATA'!B:J,8,FALSE)=0/1/1900,"",VLOOKUP(A388,'ECN-ECO_DATA'!B:J,8,FALSE))),"")</f>
        <v/>
      </c>
      <c r="H388" s="9" t="str">
        <f>IFERROR((IF(VLOOKUP(A388,'ECN-ECO_DATA'!B:J,9,FALSE)=0/1/1900,"",VLOOKUP(A388,'ECN-ECO_DATA'!B:J,9,FALSE))),"")</f>
        <v/>
      </c>
      <c r="I388" s="10" t="str">
        <f>IFERROR((IF(VLOOKUP(A388,'ECN-ECO_DATA'!B:Q,13,FALSE)="","",VLOOKUP(A388,'ECN-ECO_DATA'!B:Q,13,FALSE))),"")</f>
        <v/>
      </c>
      <c r="J388" s="10" t="str">
        <f>IFERROR((IF(VLOOKUP(A388,'ECN-ECO_DATA'!B:Q,14,FALSE)="","",VLOOKUP(A388,'ECN-ECO_DATA'!B:Q,14,FALSE))),"")</f>
        <v/>
      </c>
      <c r="K388" s="10" t="str">
        <f>IFERROR((IF(VLOOKUP(A388,'ECN-ECO_DATA'!B:Q,15,FALSE)="","",VLOOKUP(A388,'ECN-ECO_DATA'!B:Q,15,FALSE))),"")</f>
        <v/>
      </c>
      <c r="L388" s="10" t="str">
        <f>IFERROR((IF(VLOOKUP(A388,'ECN-ECO_DATA'!B:Q,16,FALSE)="","",VLOOKUP(A388,'ECN-ECO_DATA'!B:Q,16,FALSE))),"")</f>
        <v/>
      </c>
      <c r="M388" s="9" t="str">
        <f>IFERROR((IF(VLOOKUP(A388,'ECN-ECO_DATA'!B:V,18,FALSE)=0/1/1900,"",VLOOKUP(A388,'ECN-ECO_DATA'!B:V,18,FALSE))),"")</f>
        <v/>
      </c>
      <c r="N388" s="9" t="str">
        <f>IFERROR((IF(VLOOKUP(A388,'ECN-ECO_DATA'!B:V,19,FALSE)=0/1/1900,"",VLOOKUP(A388,'ECN-ECO_DATA'!B:V,19,FALSE))),"")</f>
        <v/>
      </c>
      <c r="O388" s="9" t="str">
        <f>IFERROR((IF(VLOOKUP(A388,'ECN-ECO_DATA'!B:V,20,FALSE)=0/1/1900,"",VLOOKUP(A388,'ECN-ECO_DATA'!B:V,20,FALSE))),"")</f>
        <v/>
      </c>
      <c r="P388" s="9" t="str">
        <f>IFERROR((IF(VLOOKUP(A388,'ECN-ECO_DATA'!B:V,21,FALSE)=0/1/1900,"",VLOOKUP(A388,'ECN-ECO_DATA'!B:V,21,FALSE))),"")</f>
        <v/>
      </c>
      <c r="Q388" s="10" t="str">
        <f t="shared" ca="1" si="30"/>
        <v/>
      </c>
      <c r="R388" s="4" t="str">
        <f t="shared" si="31"/>
        <v/>
      </c>
      <c r="S388" s="4" t="str">
        <f t="shared" si="32"/>
        <v/>
      </c>
      <c r="T388" s="4" t="str">
        <f t="shared" si="33"/>
        <v/>
      </c>
      <c r="U388" s="10" t="str">
        <f t="shared" si="34"/>
        <v/>
      </c>
      <c r="V388" s="4"/>
    </row>
    <row r="389" spans="2:22" x14ac:dyDescent="0.25">
      <c r="B389" s="4" t="str">
        <f>IFERROR(VLOOKUP(A389,'ECN-ECO_DATA'!B:G,4,FALSE),"")</f>
        <v/>
      </c>
      <c r="C389" s="9" t="str">
        <f>IFERROR(VLOOKUP(A389,'ECN-ECO_DATA'!B:G,5,FALSE),"")</f>
        <v/>
      </c>
      <c r="D389" s="9" t="str">
        <f ca="1">IFERROR((IF(VLOOKUP(A389,'ECN-ECO_DATA'!B:G,6,FALSE)=0/1/1900,TODAY(),VLOOKUP(A389,'ECN-ECO_DATA'!B:G,6,FALSE))),"")</f>
        <v/>
      </c>
      <c r="E389" s="9" t="str">
        <f>IFERROR((IF(VLOOKUP(A389,'ECN-ECO_DATA'!B:G,6,FALSE)=0/1/1900,"",VLOOKUP(A389,'ECN-ECO_DATA'!B:G,6,FALSE))),"")</f>
        <v/>
      </c>
      <c r="F389" s="9" t="str">
        <f>IFERROR((IF(VLOOKUP(A389,'ECN-ECO_DATA'!B:J,7,FALSE)=0/1/1900,"",VLOOKUP(A389,'ECN-ECO_DATA'!B:J,7,FALSE))),"")</f>
        <v/>
      </c>
      <c r="G389" s="9" t="str">
        <f>IFERROR((IF(VLOOKUP(A389,'ECN-ECO_DATA'!B:J,8,FALSE)=0/1/1900,"",VLOOKUP(A389,'ECN-ECO_DATA'!B:J,8,FALSE))),"")</f>
        <v/>
      </c>
      <c r="H389" s="9" t="str">
        <f>IFERROR((IF(VLOOKUP(A389,'ECN-ECO_DATA'!B:J,9,FALSE)=0/1/1900,"",VLOOKUP(A389,'ECN-ECO_DATA'!B:J,9,FALSE))),"")</f>
        <v/>
      </c>
      <c r="I389" s="10" t="str">
        <f>IFERROR((IF(VLOOKUP(A389,'ECN-ECO_DATA'!B:Q,13,FALSE)="","",VLOOKUP(A389,'ECN-ECO_DATA'!B:Q,13,FALSE))),"")</f>
        <v/>
      </c>
      <c r="J389" s="10" t="str">
        <f>IFERROR((IF(VLOOKUP(A389,'ECN-ECO_DATA'!B:Q,14,FALSE)="","",VLOOKUP(A389,'ECN-ECO_DATA'!B:Q,14,FALSE))),"")</f>
        <v/>
      </c>
      <c r="K389" s="10" t="str">
        <f>IFERROR((IF(VLOOKUP(A389,'ECN-ECO_DATA'!B:Q,15,FALSE)="","",VLOOKUP(A389,'ECN-ECO_DATA'!B:Q,15,FALSE))),"")</f>
        <v/>
      </c>
      <c r="L389" s="10" t="str">
        <f>IFERROR((IF(VLOOKUP(A389,'ECN-ECO_DATA'!B:Q,16,FALSE)="","",VLOOKUP(A389,'ECN-ECO_DATA'!B:Q,16,FALSE))),"")</f>
        <v/>
      </c>
      <c r="M389" s="9" t="str">
        <f>IFERROR((IF(VLOOKUP(A389,'ECN-ECO_DATA'!B:V,18,FALSE)=0/1/1900,"",VLOOKUP(A389,'ECN-ECO_DATA'!B:V,18,FALSE))),"")</f>
        <v/>
      </c>
      <c r="N389" s="9" t="str">
        <f>IFERROR((IF(VLOOKUP(A389,'ECN-ECO_DATA'!B:V,19,FALSE)=0/1/1900,"",VLOOKUP(A389,'ECN-ECO_DATA'!B:V,19,FALSE))),"")</f>
        <v/>
      </c>
      <c r="O389" s="9" t="str">
        <f>IFERROR((IF(VLOOKUP(A389,'ECN-ECO_DATA'!B:V,20,FALSE)=0/1/1900,"",VLOOKUP(A389,'ECN-ECO_DATA'!B:V,20,FALSE))),"")</f>
        <v/>
      </c>
      <c r="P389" s="9" t="str">
        <f>IFERROR((IF(VLOOKUP(A389,'ECN-ECO_DATA'!B:V,21,FALSE)=0/1/1900,"",VLOOKUP(A389,'ECN-ECO_DATA'!B:V,21,FALSE))),"")</f>
        <v/>
      </c>
      <c r="Q389" s="10" t="str">
        <f t="shared" ca="1" si="30"/>
        <v/>
      </c>
      <c r="R389" s="4" t="str">
        <f t="shared" si="31"/>
        <v/>
      </c>
      <c r="S389" s="4" t="str">
        <f t="shared" si="32"/>
        <v/>
      </c>
      <c r="T389" s="4" t="str">
        <f t="shared" si="33"/>
        <v/>
      </c>
      <c r="U389" s="10" t="str">
        <f t="shared" si="34"/>
        <v/>
      </c>
      <c r="V389" s="4"/>
    </row>
    <row r="390" spans="2:22" x14ac:dyDescent="0.25">
      <c r="B390" s="4" t="str">
        <f>IFERROR(VLOOKUP(A390,'ECN-ECO_DATA'!B:G,4,FALSE),"")</f>
        <v/>
      </c>
      <c r="C390" s="9" t="str">
        <f>IFERROR(VLOOKUP(A390,'ECN-ECO_DATA'!B:G,5,FALSE),"")</f>
        <v/>
      </c>
      <c r="D390" s="9" t="str">
        <f ca="1">IFERROR((IF(VLOOKUP(A390,'ECN-ECO_DATA'!B:G,6,FALSE)=0/1/1900,TODAY(),VLOOKUP(A390,'ECN-ECO_DATA'!B:G,6,FALSE))),"")</f>
        <v/>
      </c>
      <c r="E390" s="9" t="str">
        <f>IFERROR((IF(VLOOKUP(A390,'ECN-ECO_DATA'!B:G,6,FALSE)=0/1/1900,"",VLOOKUP(A390,'ECN-ECO_DATA'!B:G,6,FALSE))),"")</f>
        <v/>
      </c>
      <c r="F390" s="9" t="str">
        <f>IFERROR((IF(VLOOKUP(A390,'ECN-ECO_DATA'!B:J,7,FALSE)=0/1/1900,"",VLOOKUP(A390,'ECN-ECO_DATA'!B:J,7,FALSE))),"")</f>
        <v/>
      </c>
      <c r="G390" s="9" t="str">
        <f>IFERROR((IF(VLOOKUP(A390,'ECN-ECO_DATA'!B:J,8,FALSE)=0/1/1900,"",VLOOKUP(A390,'ECN-ECO_DATA'!B:J,8,FALSE))),"")</f>
        <v/>
      </c>
      <c r="H390" s="9" t="str">
        <f>IFERROR((IF(VLOOKUP(A390,'ECN-ECO_DATA'!B:J,9,FALSE)=0/1/1900,"",VLOOKUP(A390,'ECN-ECO_DATA'!B:J,9,FALSE))),"")</f>
        <v/>
      </c>
      <c r="I390" s="10" t="str">
        <f>IFERROR((IF(VLOOKUP(A390,'ECN-ECO_DATA'!B:Q,13,FALSE)="","",VLOOKUP(A390,'ECN-ECO_DATA'!B:Q,13,FALSE))),"")</f>
        <v/>
      </c>
      <c r="J390" s="10" t="str">
        <f>IFERROR((IF(VLOOKUP(A390,'ECN-ECO_DATA'!B:Q,14,FALSE)="","",VLOOKUP(A390,'ECN-ECO_DATA'!B:Q,14,FALSE))),"")</f>
        <v/>
      </c>
      <c r="K390" s="10" t="str">
        <f>IFERROR((IF(VLOOKUP(A390,'ECN-ECO_DATA'!B:Q,15,FALSE)="","",VLOOKUP(A390,'ECN-ECO_DATA'!B:Q,15,FALSE))),"")</f>
        <v/>
      </c>
      <c r="L390" s="10" t="str">
        <f>IFERROR((IF(VLOOKUP(A390,'ECN-ECO_DATA'!B:Q,16,FALSE)="","",VLOOKUP(A390,'ECN-ECO_DATA'!B:Q,16,FALSE))),"")</f>
        <v/>
      </c>
      <c r="M390" s="9" t="str">
        <f>IFERROR((IF(VLOOKUP(A390,'ECN-ECO_DATA'!B:V,18,FALSE)=0/1/1900,"",VLOOKUP(A390,'ECN-ECO_DATA'!B:V,18,FALSE))),"")</f>
        <v/>
      </c>
      <c r="N390" s="9" t="str">
        <f>IFERROR((IF(VLOOKUP(A390,'ECN-ECO_DATA'!B:V,19,FALSE)=0/1/1900,"",VLOOKUP(A390,'ECN-ECO_DATA'!B:V,19,FALSE))),"")</f>
        <v/>
      </c>
      <c r="O390" s="9" t="str">
        <f>IFERROR((IF(VLOOKUP(A390,'ECN-ECO_DATA'!B:V,20,FALSE)=0/1/1900,"",VLOOKUP(A390,'ECN-ECO_DATA'!B:V,20,FALSE))),"")</f>
        <v/>
      </c>
      <c r="P390" s="9" t="str">
        <f>IFERROR((IF(VLOOKUP(A390,'ECN-ECO_DATA'!B:V,21,FALSE)=0/1/1900,"",VLOOKUP(A390,'ECN-ECO_DATA'!B:V,21,FALSE))),"")</f>
        <v/>
      </c>
      <c r="Q390" s="10" t="str">
        <f t="shared" ca="1" si="30"/>
        <v/>
      </c>
      <c r="R390" s="4" t="str">
        <f t="shared" si="31"/>
        <v/>
      </c>
      <c r="S390" s="4" t="str">
        <f t="shared" si="32"/>
        <v/>
      </c>
      <c r="T390" s="4" t="str">
        <f t="shared" si="33"/>
        <v/>
      </c>
      <c r="U390" s="10" t="str">
        <f t="shared" si="34"/>
        <v/>
      </c>
      <c r="V390" s="4"/>
    </row>
    <row r="391" spans="2:22" x14ac:dyDescent="0.25">
      <c r="B391" s="4" t="str">
        <f>IFERROR(VLOOKUP(A391,'ECN-ECO_DATA'!B:G,4,FALSE),"")</f>
        <v/>
      </c>
      <c r="C391" s="9" t="str">
        <f>IFERROR(VLOOKUP(A391,'ECN-ECO_DATA'!B:G,5,FALSE),"")</f>
        <v/>
      </c>
      <c r="D391" s="9" t="str">
        <f ca="1">IFERROR((IF(VLOOKUP(A391,'ECN-ECO_DATA'!B:G,6,FALSE)=0/1/1900,TODAY(),VLOOKUP(A391,'ECN-ECO_DATA'!B:G,6,FALSE))),"")</f>
        <v/>
      </c>
      <c r="E391" s="9" t="str">
        <f>IFERROR((IF(VLOOKUP(A391,'ECN-ECO_DATA'!B:G,6,FALSE)=0/1/1900,"",VLOOKUP(A391,'ECN-ECO_DATA'!B:G,6,FALSE))),"")</f>
        <v/>
      </c>
      <c r="F391" s="9" t="str">
        <f>IFERROR((IF(VLOOKUP(A391,'ECN-ECO_DATA'!B:J,7,FALSE)=0/1/1900,"",VLOOKUP(A391,'ECN-ECO_DATA'!B:J,7,FALSE))),"")</f>
        <v/>
      </c>
      <c r="G391" s="9" t="str">
        <f>IFERROR((IF(VLOOKUP(A391,'ECN-ECO_DATA'!B:J,8,FALSE)=0/1/1900,"",VLOOKUP(A391,'ECN-ECO_DATA'!B:J,8,FALSE))),"")</f>
        <v/>
      </c>
      <c r="H391" s="9" t="str">
        <f>IFERROR((IF(VLOOKUP(A391,'ECN-ECO_DATA'!B:J,9,FALSE)=0/1/1900,"",VLOOKUP(A391,'ECN-ECO_DATA'!B:J,9,FALSE))),"")</f>
        <v/>
      </c>
      <c r="I391" s="10" t="str">
        <f>IFERROR((IF(VLOOKUP(A391,'ECN-ECO_DATA'!B:Q,13,FALSE)="","",VLOOKUP(A391,'ECN-ECO_DATA'!B:Q,13,FALSE))),"")</f>
        <v/>
      </c>
      <c r="J391" s="10" t="str">
        <f>IFERROR((IF(VLOOKUP(A391,'ECN-ECO_DATA'!B:Q,14,FALSE)="","",VLOOKUP(A391,'ECN-ECO_DATA'!B:Q,14,FALSE))),"")</f>
        <v/>
      </c>
      <c r="K391" s="10" t="str">
        <f>IFERROR((IF(VLOOKUP(A391,'ECN-ECO_DATA'!B:Q,15,FALSE)="","",VLOOKUP(A391,'ECN-ECO_DATA'!B:Q,15,FALSE))),"")</f>
        <v/>
      </c>
      <c r="L391" s="10" t="str">
        <f>IFERROR((IF(VLOOKUP(A391,'ECN-ECO_DATA'!B:Q,16,FALSE)="","",VLOOKUP(A391,'ECN-ECO_DATA'!B:Q,16,FALSE))),"")</f>
        <v/>
      </c>
      <c r="M391" s="9" t="str">
        <f>IFERROR((IF(VLOOKUP(A391,'ECN-ECO_DATA'!B:V,18,FALSE)=0/1/1900,"",VLOOKUP(A391,'ECN-ECO_DATA'!B:V,18,FALSE))),"")</f>
        <v/>
      </c>
      <c r="N391" s="9" t="str">
        <f>IFERROR((IF(VLOOKUP(A391,'ECN-ECO_DATA'!B:V,19,FALSE)=0/1/1900,"",VLOOKUP(A391,'ECN-ECO_DATA'!B:V,19,FALSE))),"")</f>
        <v/>
      </c>
      <c r="O391" s="9" t="str">
        <f>IFERROR((IF(VLOOKUP(A391,'ECN-ECO_DATA'!B:V,20,FALSE)=0/1/1900,"",VLOOKUP(A391,'ECN-ECO_DATA'!B:V,20,FALSE))),"")</f>
        <v/>
      </c>
      <c r="P391" s="9" t="str">
        <f>IFERROR((IF(VLOOKUP(A391,'ECN-ECO_DATA'!B:V,21,FALSE)=0/1/1900,"",VLOOKUP(A391,'ECN-ECO_DATA'!B:V,21,FALSE))),"")</f>
        <v/>
      </c>
      <c r="Q391" s="10" t="str">
        <f t="shared" ca="1" si="30"/>
        <v/>
      </c>
      <c r="R391" s="4" t="str">
        <f t="shared" si="31"/>
        <v/>
      </c>
      <c r="S391" s="4" t="str">
        <f t="shared" si="32"/>
        <v/>
      </c>
      <c r="T391" s="4" t="str">
        <f t="shared" si="33"/>
        <v/>
      </c>
      <c r="U391" s="10" t="str">
        <f t="shared" si="34"/>
        <v/>
      </c>
      <c r="V391" s="4"/>
    </row>
    <row r="392" spans="2:22" x14ac:dyDescent="0.25">
      <c r="B392" s="4" t="str">
        <f>IFERROR(VLOOKUP(A392,'ECN-ECO_DATA'!B:G,4,FALSE),"")</f>
        <v/>
      </c>
      <c r="C392" s="9" t="str">
        <f>IFERROR(VLOOKUP(A392,'ECN-ECO_DATA'!B:G,5,FALSE),"")</f>
        <v/>
      </c>
      <c r="D392" s="9" t="str">
        <f ca="1">IFERROR((IF(VLOOKUP(A392,'ECN-ECO_DATA'!B:G,6,FALSE)=0/1/1900,TODAY(),VLOOKUP(A392,'ECN-ECO_DATA'!B:G,6,FALSE))),"")</f>
        <v/>
      </c>
      <c r="E392" s="9" t="str">
        <f>IFERROR((IF(VLOOKUP(A392,'ECN-ECO_DATA'!B:G,6,FALSE)=0/1/1900,"",VLOOKUP(A392,'ECN-ECO_DATA'!B:G,6,FALSE))),"")</f>
        <v/>
      </c>
      <c r="F392" s="9" t="str">
        <f>IFERROR((IF(VLOOKUP(A392,'ECN-ECO_DATA'!B:J,7,FALSE)=0/1/1900,"",VLOOKUP(A392,'ECN-ECO_DATA'!B:J,7,FALSE))),"")</f>
        <v/>
      </c>
      <c r="G392" s="9" t="str">
        <f>IFERROR((IF(VLOOKUP(A392,'ECN-ECO_DATA'!B:J,8,FALSE)=0/1/1900,"",VLOOKUP(A392,'ECN-ECO_DATA'!B:J,8,FALSE))),"")</f>
        <v/>
      </c>
      <c r="H392" s="9" t="str">
        <f>IFERROR((IF(VLOOKUP(A392,'ECN-ECO_DATA'!B:J,9,FALSE)=0/1/1900,"",VLOOKUP(A392,'ECN-ECO_DATA'!B:J,9,FALSE))),"")</f>
        <v/>
      </c>
      <c r="I392" s="10" t="str">
        <f>IFERROR((IF(VLOOKUP(A392,'ECN-ECO_DATA'!B:Q,13,FALSE)="","",VLOOKUP(A392,'ECN-ECO_DATA'!B:Q,13,FALSE))),"")</f>
        <v/>
      </c>
      <c r="J392" s="10" t="str">
        <f>IFERROR((IF(VLOOKUP(A392,'ECN-ECO_DATA'!B:Q,14,FALSE)="","",VLOOKUP(A392,'ECN-ECO_DATA'!B:Q,14,FALSE))),"")</f>
        <v/>
      </c>
      <c r="K392" s="10" t="str">
        <f>IFERROR((IF(VLOOKUP(A392,'ECN-ECO_DATA'!B:Q,15,FALSE)="","",VLOOKUP(A392,'ECN-ECO_DATA'!B:Q,15,FALSE))),"")</f>
        <v/>
      </c>
      <c r="L392" s="10" t="str">
        <f>IFERROR((IF(VLOOKUP(A392,'ECN-ECO_DATA'!B:Q,16,FALSE)="","",VLOOKUP(A392,'ECN-ECO_DATA'!B:Q,16,FALSE))),"")</f>
        <v/>
      </c>
      <c r="M392" s="9" t="str">
        <f>IFERROR((IF(VLOOKUP(A392,'ECN-ECO_DATA'!B:V,18,FALSE)=0/1/1900,"",VLOOKUP(A392,'ECN-ECO_DATA'!B:V,18,FALSE))),"")</f>
        <v/>
      </c>
      <c r="N392" s="9" t="str">
        <f>IFERROR((IF(VLOOKUP(A392,'ECN-ECO_DATA'!B:V,19,FALSE)=0/1/1900,"",VLOOKUP(A392,'ECN-ECO_DATA'!B:V,19,FALSE))),"")</f>
        <v/>
      </c>
      <c r="O392" s="9" t="str">
        <f>IFERROR((IF(VLOOKUP(A392,'ECN-ECO_DATA'!B:V,20,FALSE)=0/1/1900,"",VLOOKUP(A392,'ECN-ECO_DATA'!B:V,20,FALSE))),"")</f>
        <v/>
      </c>
      <c r="P392" s="9" t="str">
        <f>IFERROR((IF(VLOOKUP(A392,'ECN-ECO_DATA'!B:V,21,FALSE)=0/1/1900,"",VLOOKUP(A392,'ECN-ECO_DATA'!B:V,21,FALSE))),"")</f>
        <v/>
      </c>
      <c r="Q392" s="10" t="str">
        <f t="shared" ca="1" si="30"/>
        <v/>
      </c>
      <c r="R392" s="4" t="str">
        <f t="shared" si="31"/>
        <v/>
      </c>
      <c r="S392" s="4" t="str">
        <f t="shared" si="32"/>
        <v/>
      </c>
      <c r="T392" s="4" t="str">
        <f t="shared" si="33"/>
        <v/>
      </c>
      <c r="U392" s="10" t="str">
        <f t="shared" si="34"/>
        <v/>
      </c>
      <c r="V392" s="4"/>
    </row>
    <row r="393" spans="2:22" x14ac:dyDescent="0.25">
      <c r="B393" s="4" t="str">
        <f>IFERROR(VLOOKUP(A393,'ECN-ECO_DATA'!B:G,4,FALSE),"")</f>
        <v/>
      </c>
      <c r="C393" s="9" t="str">
        <f>IFERROR(VLOOKUP(A393,'ECN-ECO_DATA'!B:G,5,FALSE),"")</f>
        <v/>
      </c>
      <c r="D393" s="9" t="str">
        <f ca="1">IFERROR((IF(VLOOKUP(A393,'ECN-ECO_DATA'!B:G,6,FALSE)=0/1/1900,TODAY(),VLOOKUP(A393,'ECN-ECO_DATA'!B:G,6,FALSE))),"")</f>
        <v/>
      </c>
      <c r="E393" s="9" t="str">
        <f>IFERROR((IF(VLOOKUP(A393,'ECN-ECO_DATA'!B:G,6,FALSE)=0/1/1900,"",VLOOKUP(A393,'ECN-ECO_DATA'!B:G,6,FALSE))),"")</f>
        <v/>
      </c>
      <c r="F393" s="9" t="str">
        <f>IFERROR((IF(VLOOKUP(A393,'ECN-ECO_DATA'!B:J,7,FALSE)=0/1/1900,"",VLOOKUP(A393,'ECN-ECO_DATA'!B:J,7,FALSE))),"")</f>
        <v/>
      </c>
      <c r="G393" s="9" t="str">
        <f>IFERROR((IF(VLOOKUP(A393,'ECN-ECO_DATA'!B:J,8,FALSE)=0/1/1900,"",VLOOKUP(A393,'ECN-ECO_DATA'!B:J,8,FALSE))),"")</f>
        <v/>
      </c>
      <c r="H393" s="9" t="str">
        <f>IFERROR((IF(VLOOKUP(A393,'ECN-ECO_DATA'!B:J,9,FALSE)=0/1/1900,"",VLOOKUP(A393,'ECN-ECO_DATA'!B:J,9,FALSE))),"")</f>
        <v/>
      </c>
      <c r="I393" s="10" t="str">
        <f>IFERROR((IF(VLOOKUP(A393,'ECN-ECO_DATA'!B:Q,13,FALSE)="","",VLOOKUP(A393,'ECN-ECO_DATA'!B:Q,13,FALSE))),"")</f>
        <v/>
      </c>
      <c r="J393" s="10" t="str">
        <f>IFERROR((IF(VLOOKUP(A393,'ECN-ECO_DATA'!B:Q,14,FALSE)="","",VLOOKUP(A393,'ECN-ECO_DATA'!B:Q,14,FALSE))),"")</f>
        <v/>
      </c>
      <c r="K393" s="10" t="str">
        <f>IFERROR((IF(VLOOKUP(A393,'ECN-ECO_DATA'!B:Q,15,FALSE)="","",VLOOKUP(A393,'ECN-ECO_DATA'!B:Q,15,FALSE))),"")</f>
        <v/>
      </c>
      <c r="L393" s="10" t="str">
        <f>IFERROR((IF(VLOOKUP(A393,'ECN-ECO_DATA'!B:Q,16,FALSE)="","",VLOOKUP(A393,'ECN-ECO_DATA'!B:Q,16,FALSE))),"")</f>
        <v/>
      </c>
      <c r="M393" s="9" t="str">
        <f>IFERROR((IF(VLOOKUP(A393,'ECN-ECO_DATA'!B:V,18,FALSE)=0/1/1900,"",VLOOKUP(A393,'ECN-ECO_DATA'!B:V,18,FALSE))),"")</f>
        <v/>
      </c>
      <c r="N393" s="9" t="str">
        <f>IFERROR((IF(VLOOKUP(A393,'ECN-ECO_DATA'!B:V,19,FALSE)=0/1/1900,"",VLOOKUP(A393,'ECN-ECO_DATA'!B:V,19,FALSE))),"")</f>
        <v/>
      </c>
      <c r="O393" s="9" t="str">
        <f>IFERROR((IF(VLOOKUP(A393,'ECN-ECO_DATA'!B:V,20,FALSE)=0/1/1900,"",VLOOKUP(A393,'ECN-ECO_DATA'!B:V,20,FALSE))),"")</f>
        <v/>
      </c>
      <c r="P393" s="9" t="str">
        <f>IFERROR((IF(VLOOKUP(A393,'ECN-ECO_DATA'!B:V,21,FALSE)=0/1/1900,"",VLOOKUP(A393,'ECN-ECO_DATA'!B:V,21,FALSE))),"")</f>
        <v/>
      </c>
      <c r="Q393" s="10" t="str">
        <f t="shared" ca="1" si="30"/>
        <v/>
      </c>
      <c r="R393" s="4" t="str">
        <f t="shared" si="31"/>
        <v/>
      </c>
      <c r="S393" s="4" t="str">
        <f t="shared" si="32"/>
        <v/>
      </c>
      <c r="T393" s="4" t="str">
        <f t="shared" si="33"/>
        <v/>
      </c>
      <c r="U393" s="10" t="str">
        <f t="shared" si="34"/>
        <v/>
      </c>
      <c r="V393" s="4"/>
    </row>
    <row r="394" spans="2:22" x14ac:dyDescent="0.25">
      <c r="B394" s="4" t="str">
        <f>IFERROR(VLOOKUP(A394,'ECN-ECO_DATA'!B:G,4,FALSE),"")</f>
        <v/>
      </c>
      <c r="C394" s="9" t="str">
        <f>IFERROR(VLOOKUP(A394,'ECN-ECO_DATA'!B:G,5,FALSE),"")</f>
        <v/>
      </c>
      <c r="D394" s="9" t="str">
        <f ca="1">IFERROR((IF(VLOOKUP(A394,'ECN-ECO_DATA'!B:G,6,FALSE)=0/1/1900,TODAY(),VLOOKUP(A394,'ECN-ECO_DATA'!B:G,6,FALSE))),"")</f>
        <v/>
      </c>
      <c r="E394" s="9" t="str">
        <f>IFERROR((IF(VLOOKUP(A394,'ECN-ECO_DATA'!B:G,6,FALSE)=0/1/1900,"",VLOOKUP(A394,'ECN-ECO_DATA'!B:G,6,FALSE))),"")</f>
        <v/>
      </c>
      <c r="F394" s="9" t="str">
        <f>IFERROR((IF(VLOOKUP(A394,'ECN-ECO_DATA'!B:J,7,FALSE)=0/1/1900,"",VLOOKUP(A394,'ECN-ECO_DATA'!B:J,7,FALSE))),"")</f>
        <v/>
      </c>
      <c r="G394" s="9" t="str">
        <f>IFERROR((IF(VLOOKUP(A394,'ECN-ECO_DATA'!B:J,8,FALSE)=0/1/1900,"",VLOOKUP(A394,'ECN-ECO_DATA'!B:J,8,FALSE))),"")</f>
        <v/>
      </c>
      <c r="H394" s="9" t="str">
        <f>IFERROR((IF(VLOOKUP(A394,'ECN-ECO_DATA'!B:J,9,FALSE)=0/1/1900,"",VLOOKUP(A394,'ECN-ECO_DATA'!B:J,9,FALSE))),"")</f>
        <v/>
      </c>
      <c r="I394" s="10" t="str">
        <f>IFERROR((IF(VLOOKUP(A394,'ECN-ECO_DATA'!B:Q,13,FALSE)="","",VLOOKUP(A394,'ECN-ECO_DATA'!B:Q,13,FALSE))),"")</f>
        <v/>
      </c>
      <c r="J394" s="10" t="str">
        <f>IFERROR((IF(VLOOKUP(A394,'ECN-ECO_DATA'!B:Q,14,FALSE)="","",VLOOKUP(A394,'ECN-ECO_DATA'!B:Q,14,FALSE))),"")</f>
        <v/>
      </c>
      <c r="K394" s="10" t="str">
        <f>IFERROR((IF(VLOOKUP(A394,'ECN-ECO_DATA'!B:Q,15,FALSE)="","",VLOOKUP(A394,'ECN-ECO_DATA'!B:Q,15,FALSE))),"")</f>
        <v/>
      </c>
      <c r="L394" s="10" t="str">
        <f>IFERROR((IF(VLOOKUP(A394,'ECN-ECO_DATA'!B:Q,16,FALSE)="","",VLOOKUP(A394,'ECN-ECO_DATA'!B:Q,16,FALSE))),"")</f>
        <v/>
      </c>
      <c r="M394" s="9" t="str">
        <f>IFERROR((IF(VLOOKUP(A394,'ECN-ECO_DATA'!B:V,18,FALSE)=0/1/1900,"",VLOOKUP(A394,'ECN-ECO_DATA'!B:V,18,FALSE))),"")</f>
        <v/>
      </c>
      <c r="N394" s="9" t="str">
        <f>IFERROR((IF(VLOOKUP(A394,'ECN-ECO_DATA'!B:V,19,FALSE)=0/1/1900,"",VLOOKUP(A394,'ECN-ECO_DATA'!B:V,19,FALSE))),"")</f>
        <v/>
      </c>
      <c r="O394" s="9" t="str">
        <f>IFERROR((IF(VLOOKUP(A394,'ECN-ECO_DATA'!B:V,20,FALSE)=0/1/1900,"",VLOOKUP(A394,'ECN-ECO_DATA'!B:V,20,FALSE))),"")</f>
        <v/>
      </c>
      <c r="P394" s="9" t="str">
        <f>IFERROR((IF(VLOOKUP(A394,'ECN-ECO_DATA'!B:V,21,FALSE)=0/1/1900,"",VLOOKUP(A394,'ECN-ECO_DATA'!B:V,21,FALSE))),"")</f>
        <v/>
      </c>
      <c r="Q394" s="10" t="str">
        <f t="shared" ca="1" si="30"/>
        <v/>
      </c>
      <c r="R394" s="4" t="str">
        <f t="shared" si="31"/>
        <v/>
      </c>
      <c r="S394" s="4" t="str">
        <f t="shared" si="32"/>
        <v/>
      </c>
      <c r="T394" s="4" t="str">
        <f t="shared" si="33"/>
        <v/>
      </c>
      <c r="U394" s="10" t="str">
        <f t="shared" si="34"/>
        <v/>
      </c>
      <c r="V394" s="4"/>
    </row>
    <row r="395" spans="2:22" x14ac:dyDescent="0.25">
      <c r="B395" s="4" t="str">
        <f>IFERROR(VLOOKUP(A395,'ECN-ECO_DATA'!B:G,4,FALSE),"")</f>
        <v/>
      </c>
      <c r="C395" s="9" t="str">
        <f>IFERROR(VLOOKUP(A395,'ECN-ECO_DATA'!B:G,5,FALSE),"")</f>
        <v/>
      </c>
      <c r="D395" s="9" t="str">
        <f ca="1">IFERROR((IF(VLOOKUP(A395,'ECN-ECO_DATA'!B:G,6,FALSE)=0/1/1900,TODAY(),VLOOKUP(A395,'ECN-ECO_DATA'!B:G,6,FALSE))),"")</f>
        <v/>
      </c>
      <c r="E395" s="9" t="str">
        <f>IFERROR((IF(VLOOKUP(A395,'ECN-ECO_DATA'!B:G,6,FALSE)=0/1/1900,"",VLOOKUP(A395,'ECN-ECO_DATA'!B:G,6,FALSE))),"")</f>
        <v/>
      </c>
      <c r="F395" s="9" t="str">
        <f>IFERROR((IF(VLOOKUP(A395,'ECN-ECO_DATA'!B:J,7,FALSE)=0/1/1900,"",VLOOKUP(A395,'ECN-ECO_DATA'!B:J,7,FALSE))),"")</f>
        <v/>
      </c>
      <c r="G395" s="9" t="str">
        <f>IFERROR((IF(VLOOKUP(A395,'ECN-ECO_DATA'!B:J,8,FALSE)=0/1/1900,"",VLOOKUP(A395,'ECN-ECO_DATA'!B:J,8,FALSE))),"")</f>
        <v/>
      </c>
      <c r="H395" s="9" t="str">
        <f>IFERROR((IF(VLOOKUP(A395,'ECN-ECO_DATA'!B:J,9,FALSE)=0/1/1900,"",VLOOKUP(A395,'ECN-ECO_DATA'!B:J,9,FALSE))),"")</f>
        <v/>
      </c>
      <c r="I395" s="10" t="str">
        <f>IFERROR((IF(VLOOKUP(A395,'ECN-ECO_DATA'!B:Q,13,FALSE)="","",VLOOKUP(A395,'ECN-ECO_DATA'!B:Q,13,FALSE))),"")</f>
        <v/>
      </c>
      <c r="J395" s="10" t="str">
        <f>IFERROR((IF(VLOOKUP(A395,'ECN-ECO_DATA'!B:Q,14,FALSE)="","",VLOOKUP(A395,'ECN-ECO_DATA'!B:Q,14,FALSE))),"")</f>
        <v/>
      </c>
      <c r="K395" s="10" t="str">
        <f>IFERROR((IF(VLOOKUP(A395,'ECN-ECO_DATA'!B:Q,15,FALSE)="","",VLOOKUP(A395,'ECN-ECO_DATA'!B:Q,15,FALSE))),"")</f>
        <v/>
      </c>
      <c r="L395" s="10" t="str">
        <f>IFERROR((IF(VLOOKUP(A395,'ECN-ECO_DATA'!B:Q,16,FALSE)="","",VLOOKUP(A395,'ECN-ECO_DATA'!B:Q,16,FALSE))),"")</f>
        <v/>
      </c>
      <c r="M395" s="9" t="str">
        <f>IFERROR((IF(VLOOKUP(A395,'ECN-ECO_DATA'!B:V,18,FALSE)=0/1/1900,"",VLOOKUP(A395,'ECN-ECO_DATA'!B:V,18,FALSE))),"")</f>
        <v/>
      </c>
      <c r="N395" s="9" t="str">
        <f>IFERROR((IF(VLOOKUP(A395,'ECN-ECO_DATA'!B:V,19,FALSE)=0/1/1900,"",VLOOKUP(A395,'ECN-ECO_DATA'!B:V,19,FALSE))),"")</f>
        <v/>
      </c>
      <c r="O395" s="9" t="str">
        <f>IFERROR((IF(VLOOKUP(A395,'ECN-ECO_DATA'!B:V,20,FALSE)=0/1/1900,"",VLOOKUP(A395,'ECN-ECO_DATA'!B:V,20,FALSE))),"")</f>
        <v/>
      </c>
      <c r="P395" s="9" t="str">
        <f>IFERROR((IF(VLOOKUP(A395,'ECN-ECO_DATA'!B:V,21,FALSE)=0/1/1900,"",VLOOKUP(A395,'ECN-ECO_DATA'!B:V,21,FALSE))),"")</f>
        <v/>
      </c>
      <c r="Q395" s="10" t="str">
        <f t="shared" ca="1" si="30"/>
        <v/>
      </c>
      <c r="R395" s="4" t="str">
        <f t="shared" si="31"/>
        <v/>
      </c>
      <c r="S395" s="4" t="str">
        <f t="shared" si="32"/>
        <v/>
      </c>
      <c r="T395" s="4" t="str">
        <f t="shared" si="33"/>
        <v/>
      </c>
      <c r="U395" s="10" t="str">
        <f t="shared" si="34"/>
        <v/>
      </c>
      <c r="V395" s="4"/>
    </row>
    <row r="396" spans="2:22" x14ac:dyDescent="0.25">
      <c r="B396" s="4" t="str">
        <f>IFERROR(VLOOKUP(A396,'ECN-ECO_DATA'!B:G,4,FALSE),"")</f>
        <v/>
      </c>
      <c r="C396" s="9" t="str">
        <f>IFERROR(VLOOKUP(A396,'ECN-ECO_DATA'!B:G,5,FALSE),"")</f>
        <v/>
      </c>
      <c r="D396" s="9" t="str">
        <f ca="1">IFERROR((IF(VLOOKUP(A396,'ECN-ECO_DATA'!B:G,6,FALSE)=0/1/1900,TODAY(),VLOOKUP(A396,'ECN-ECO_DATA'!B:G,6,FALSE))),"")</f>
        <v/>
      </c>
      <c r="E396" s="9" t="str">
        <f>IFERROR((IF(VLOOKUP(A396,'ECN-ECO_DATA'!B:G,6,FALSE)=0/1/1900,"",VLOOKUP(A396,'ECN-ECO_DATA'!B:G,6,FALSE))),"")</f>
        <v/>
      </c>
      <c r="F396" s="9" t="str">
        <f>IFERROR((IF(VLOOKUP(A396,'ECN-ECO_DATA'!B:J,7,FALSE)=0/1/1900,"",VLOOKUP(A396,'ECN-ECO_DATA'!B:J,7,FALSE))),"")</f>
        <v/>
      </c>
      <c r="G396" s="9" t="str">
        <f>IFERROR((IF(VLOOKUP(A396,'ECN-ECO_DATA'!B:J,8,FALSE)=0/1/1900,"",VLOOKUP(A396,'ECN-ECO_DATA'!B:J,8,FALSE))),"")</f>
        <v/>
      </c>
      <c r="H396" s="9" t="str">
        <f>IFERROR((IF(VLOOKUP(A396,'ECN-ECO_DATA'!B:J,9,FALSE)=0/1/1900,"",VLOOKUP(A396,'ECN-ECO_DATA'!B:J,9,FALSE))),"")</f>
        <v/>
      </c>
      <c r="I396" s="10" t="str">
        <f>IFERROR((IF(VLOOKUP(A396,'ECN-ECO_DATA'!B:Q,13,FALSE)="","",VLOOKUP(A396,'ECN-ECO_DATA'!B:Q,13,FALSE))),"")</f>
        <v/>
      </c>
      <c r="J396" s="10" t="str">
        <f>IFERROR((IF(VLOOKUP(A396,'ECN-ECO_DATA'!B:Q,14,FALSE)="","",VLOOKUP(A396,'ECN-ECO_DATA'!B:Q,14,FALSE))),"")</f>
        <v/>
      </c>
      <c r="K396" s="10" t="str">
        <f>IFERROR((IF(VLOOKUP(A396,'ECN-ECO_DATA'!B:Q,15,FALSE)="","",VLOOKUP(A396,'ECN-ECO_DATA'!B:Q,15,FALSE))),"")</f>
        <v/>
      </c>
      <c r="L396" s="10" t="str">
        <f>IFERROR((IF(VLOOKUP(A396,'ECN-ECO_DATA'!B:Q,16,FALSE)="","",VLOOKUP(A396,'ECN-ECO_DATA'!B:Q,16,FALSE))),"")</f>
        <v/>
      </c>
      <c r="M396" s="9" t="str">
        <f>IFERROR((IF(VLOOKUP(A396,'ECN-ECO_DATA'!B:V,18,FALSE)=0/1/1900,"",VLOOKUP(A396,'ECN-ECO_DATA'!B:V,18,FALSE))),"")</f>
        <v/>
      </c>
      <c r="N396" s="9" t="str">
        <f>IFERROR((IF(VLOOKUP(A396,'ECN-ECO_DATA'!B:V,19,FALSE)=0/1/1900,"",VLOOKUP(A396,'ECN-ECO_DATA'!B:V,19,FALSE))),"")</f>
        <v/>
      </c>
      <c r="O396" s="9" t="str">
        <f>IFERROR((IF(VLOOKUP(A396,'ECN-ECO_DATA'!B:V,20,FALSE)=0/1/1900,"",VLOOKUP(A396,'ECN-ECO_DATA'!B:V,20,FALSE))),"")</f>
        <v/>
      </c>
      <c r="P396" s="9" t="str">
        <f>IFERROR((IF(VLOOKUP(A396,'ECN-ECO_DATA'!B:V,21,FALSE)=0/1/1900,"",VLOOKUP(A396,'ECN-ECO_DATA'!B:V,21,FALSE))),"")</f>
        <v/>
      </c>
      <c r="Q396" s="10" t="str">
        <f t="shared" ca="1" si="30"/>
        <v/>
      </c>
      <c r="R396" s="4" t="str">
        <f t="shared" si="31"/>
        <v/>
      </c>
      <c r="S396" s="4" t="str">
        <f t="shared" si="32"/>
        <v/>
      </c>
      <c r="T396" s="4" t="str">
        <f t="shared" si="33"/>
        <v/>
      </c>
      <c r="U396" s="10" t="str">
        <f t="shared" si="34"/>
        <v/>
      </c>
      <c r="V396" s="4"/>
    </row>
    <row r="397" spans="2:22" x14ac:dyDescent="0.25">
      <c r="B397" s="4" t="str">
        <f>IFERROR(VLOOKUP(A397,'ECN-ECO_DATA'!B:G,4,FALSE),"")</f>
        <v/>
      </c>
      <c r="C397" s="9" t="str">
        <f>IFERROR(VLOOKUP(A397,'ECN-ECO_DATA'!B:G,5,FALSE),"")</f>
        <v/>
      </c>
      <c r="D397" s="9" t="str">
        <f ca="1">IFERROR((IF(VLOOKUP(A397,'ECN-ECO_DATA'!B:G,6,FALSE)=0/1/1900,TODAY(),VLOOKUP(A397,'ECN-ECO_DATA'!B:G,6,FALSE))),"")</f>
        <v/>
      </c>
      <c r="E397" s="9" t="str">
        <f>IFERROR((IF(VLOOKUP(A397,'ECN-ECO_DATA'!B:G,6,FALSE)=0/1/1900,"",VLOOKUP(A397,'ECN-ECO_DATA'!B:G,6,FALSE))),"")</f>
        <v/>
      </c>
      <c r="F397" s="9" t="str">
        <f>IFERROR((IF(VLOOKUP(A397,'ECN-ECO_DATA'!B:J,7,FALSE)=0/1/1900,"",VLOOKUP(A397,'ECN-ECO_DATA'!B:J,7,FALSE))),"")</f>
        <v/>
      </c>
      <c r="G397" s="9" t="str">
        <f>IFERROR((IF(VLOOKUP(A397,'ECN-ECO_DATA'!B:J,8,FALSE)=0/1/1900,"",VLOOKUP(A397,'ECN-ECO_DATA'!B:J,8,FALSE))),"")</f>
        <v/>
      </c>
      <c r="H397" s="9" t="str">
        <f>IFERROR((IF(VLOOKUP(A397,'ECN-ECO_DATA'!B:J,9,FALSE)=0/1/1900,"",VLOOKUP(A397,'ECN-ECO_DATA'!B:J,9,FALSE))),"")</f>
        <v/>
      </c>
      <c r="I397" s="10" t="str">
        <f>IFERROR((IF(VLOOKUP(A397,'ECN-ECO_DATA'!B:Q,13,FALSE)="","",VLOOKUP(A397,'ECN-ECO_DATA'!B:Q,13,FALSE))),"")</f>
        <v/>
      </c>
      <c r="J397" s="10" t="str">
        <f>IFERROR((IF(VLOOKUP(A397,'ECN-ECO_DATA'!B:Q,14,FALSE)="","",VLOOKUP(A397,'ECN-ECO_DATA'!B:Q,14,FALSE))),"")</f>
        <v/>
      </c>
      <c r="K397" s="10" t="str">
        <f>IFERROR((IF(VLOOKUP(A397,'ECN-ECO_DATA'!B:Q,15,FALSE)="","",VLOOKUP(A397,'ECN-ECO_DATA'!B:Q,15,FALSE))),"")</f>
        <v/>
      </c>
      <c r="L397" s="10" t="str">
        <f>IFERROR((IF(VLOOKUP(A397,'ECN-ECO_DATA'!B:Q,16,FALSE)="","",VLOOKUP(A397,'ECN-ECO_DATA'!B:Q,16,FALSE))),"")</f>
        <v/>
      </c>
      <c r="M397" s="9" t="str">
        <f>IFERROR((IF(VLOOKUP(A397,'ECN-ECO_DATA'!B:V,18,FALSE)=0/1/1900,"",VLOOKUP(A397,'ECN-ECO_DATA'!B:V,18,FALSE))),"")</f>
        <v/>
      </c>
      <c r="N397" s="9" t="str">
        <f>IFERROR((IF(VLOOKUP(A397,'ECN-ECO_DATA'!B:V,19,FALSE)=0/1/1900,"",VLOOKUP(A397,'ECN-ECO_DATA'!B:V,19,FALSE))),"")</f>
        <v/>
      </c>
      <c r="O397" s="9" t="str">
        <f>IFERROR((IF(VLOOKUP(A397,'ECN-ECO_DATA'!B:V,20,FALSE)=0/1/1900,"",VLOOKUP(A397,'ECN-ECO_DATA'!B:V,20,FALSE))),"")</f>
        <v/>
      </c>
      <c r="P397" s="9" t="str">
        <f>IFERROR((IF(VLOOKUP(A397,'ECN-ECO_DATA'!B:V,21,FALSE)=0/1/1900,"",VLOOKUP(A397,'ECN-ECO_DATA'!B:V,21,FALSE))),"")</f>
        <v/>
      </c>
      <c r="Q397" s="10" t="str">
        <f t="shared" ca="1" si="30"/>
        <v/>
      </c>
      <c r="R397" s="4" t="str">
        <f t="shared" si="31"/>
        <v/>
      </c>
      <c r="S397" s="4" t="str">
        <f t="shared" si="32"/>
        <v/>
      </c>
      <c r="T397" s="4" t="str">
        <f t="shared" si="33"/>
        <v/>
      </c>
      <c r="U397" s="10" t="str">
        <f t="shared" si="34"/>
        <v/>
      </c>
      <c r="V397" s="4"/>
    </row>
    <row r="398" spans="2:22" x14ac:dyDescent="0.25">
      <c r="B398" s="4" t="str">
        <f>IFERROR(VLOOKUP(A398,'ECN-ECO_DATA'!B:G,4,FALSE),"")</f>
        <v/>
      </c>
      <c r="C398" s="9" t="str">
        <f>IFERROR(VLOOKUP(A398,'ECN-ECO_DATA'!B:G,5,FALSE),"")</f>
        <v/>
      </c>
      <c r="D398" s="9" t="str">
        <f ca="1">IFERROR((IF(VLOOKUP(A398,'ECN-ECO_DATA'!B:G,6,FALSE)=0/1/1900,TODAY(),VLOOKUP(A398,'ECN-ECO_DATA'!B:G,6,FALSE))),"")</f>
        <v/>
      </c>
      <c r="E398" s="9" t="str">
        <f>IFERROR((IF(VLOOKUP(A398,'ECN-ECO_DATA'!B:G,6,FALSE)=0/1/1900,"",VLOOKUP(A398,'ECN-ECO_DATA'!B:G,6,FALSE))),"")</f>
        <v/>
      </c>
      <c r="F398" s="9" t="str">
        <f>IFERROR((IF(VLOOKUP(A398,'ECN-ECO_DATA'!B:J,7,FALSE)=0/1/1900,"",VLOOKUP(A398,'ECN-ECO_DATA'!B:J,7,FALSE))),"")</f>
        <v/>
      </c>
      <c r="G398" s="9" t="str">
        <f>IFERROR((IF(VLOOKUP(A398,'ECN-ECO_DATA'!B:J,8,FALSE)=0/1/1900,"",VLOOKUP(A398,'ECN-ECO_DATA'!B:J,8,FALSE))),"")</f>
        <v/>
      </c>
      <c r="H398" s="9" t="str">
        <f>IFERROR((IF(VLOOKUP(A398,'ECN-ECO_DATA'!B:J,9,FALSE)=0/1/1900,"",VLOOKUP(A398,'ECN-ECO_DATA'!B:J,9,FALSE))),"")</f>
        <v/>
      </c>
      <c r="I398" s="10" t="str">
        <f>IFERROR((IF(VLOOKUP(A398,'ECN-ECO_DATA'!B:Q,13,FALSE)="","",VLOOKUP(A398,'ECN-ECO_DATA'!B:Q,13,FALSE))),"")</f>
        <v/>
      </c>
      <c r="J398" s="10" t="str">
        <f>IFERROR((IF(VLOOKUP(A398,'ECN-ECO_DATA'!B:Q,14,FALSE)="","",VLOOKUP(A398,'ECN-ECO_DATA'!B:Q,14,FALSE))),"")</f>
        <v/>
      </c>
      <c r="K398" s="10" t="str">
        <f>IFERROR((IF(VLOOKUP(A398,'ECN-ECO_DATA'!B:Q,15,FALSE)="","",VLOOKUP(A398,'ECN-ECO_DATA'!B:Q,15,FALSE))),"")</f>
        <v/>
      </c>
      <c r="L398" s="10" t="str">
        <f>IFERROR((IF(VLOOKUP(A398,'ECN-ECO_DATA'!B:Q,16,FALSE)="","",VLOOKUP(A398,'ECN-ECO_DATA'!B:Q,16,FALSE))),"")</f>
        <v/>
      </c>
      <c r="M398" s="9" t="str">
        <f>IFERROR((IF(VLOOKUP(A398,'ECN-ECO_DATA'!B:V,18,FALSE)=0/1/1900,"",VLOOKUP(A398,'ECN-ECO_DATA'!B:V,18,FALSE))),"")</f>
        <v/>
      </c>
      <c r="N398" s="9" t="str">
        <f>IFERROR((IF(VLOOKUP(A398,'ECN-ECO_DATA'!B:V,19,FALSE)=0/1/1900,"",VLOOKUP(A398,'ECN-ECO_DATA'!B:V,19,FALSE))),"")</f>
        <v/>
      </c>
      <c r="O398" s="9" t="str">
        <f>IFERROR((IF(VLOOKUP(A398,'ECN-ECO_DATA'!B:V,20,FALSE)=0/1/1900,"",VLOOKUP(A398,'ECN-ECO_DATA'!B:V,20,FALSE))),"")</f>
        <v/>
      </c>
      <c r="P398" s="9" t="str">
        <f>IFERROR((IF(VLOOKUP(A398,'ECN-ECO_DATA'!B:V,21,FALSE)=0/1/1900,"",VLOOKUP(A398,'ECN-ECO_DATA'!B:V,21,FALSE))),"")</f>
        <v/>
      </c>
      <c r="Q398" s="10" t="str">
        <f t="shared" ca="1" si="30"/>
        <v/>
      </c>
      <c r="R398" s="4" t="str">
        <f t="shared" si="31"/>
        <v/>
      </c>
      <c r="S398" s="4" t="str">
        <f t="shared" si="32"/>
        <v/>
      </c>
      <c r="T398" s="4" t="str">
        <f t="shared" si="33"/>
        <v/>
      </c>
      <c r="U398" s="10" t="str">
        <f t="shared" si="34"/>
        <v/>
      </c>
      <c r="V398" s="4"/>
    </row>
    <row r="399" spans="2:22" x14ac:dyDescent="0.25">
      <c r="B399" s="4" t="str">
        <f>IFERROR(VLOOKUP(A399,'ECN-ECO_DATA'!B:G,4,FALSE),"")</f>
        <v/>
      </c>
      <c r="C399" s="9" t="str">
        <f>IFERROR(VLOOKUP(A399,'ECN-ECO_DATA'!B:G,5,FALSE),"")</f>
        <v/>
      </c>
      <c r="D399" s="9" t="str">
        <f ca="1">IFERROR((IF(VLOOKUP(A399,'ECN-ECO_DATA'!B:G,6,FALSE)=0/1/1900,TODAY(),VLOOKUP(A399,'ECN-ECO_DATA'!B:G,6,FALSE))),"")</f>
        <v/>
      </c>
      <c r="E399" s="9" t="str">
        <f>IFERROR((IF(VLOOKUP(A399,'ECN-ECO_DATA'!B:G,6,FALSE)=0/1/1900,"",VLOOKUP(A399,'ECN-ECO_DATA'!B:G,6,FALSE))),"")</f>
        <v/>
      </c>
      <c r="F399" s="9" t="str">
        <f>IFERROR((IF(VLOOKUP(A399,'ECN-ECO_DATA'!B:J,7,FALSE)=0/1/1900,"",VLOOKUP(A399,'ECN-ECO_DATA'!B:J,7,FALSE))),"")</f>
        <v/>
      </c>
      <c r="G399" s="9" t="str">
        <f>IFERROR((IF(VLOOKUP(A399,'ECN-ECO_DATA'!B:J,8,FALSE)=0/1/1900,"",VLOOKUP(A399,'ECN-ECO_DATA'!B:J,8,FALSE))),"")</f>
        <v/>
      </c>
      <c r="H399" s="9" t="str">
        <f>IFERROR((IF(VLOOKUP(A399,'ECN-ECO_DATA'!B:J,9,FALSE)=0/1/1900,"",VLOOKUP(A399,'ECN-ECO_DATA'!B:J,9,FALSE))),"")</f>
        <v/>
      </c>
      <c r="I399" s="10" t="str">
        <f>IFERROR((IF(VLOOKUP(A399,'ECN-ECO_DATA'!B:Q,13,FALSE)="","",VLOOKUP(A399,'ECN-ECO_DATA'!B:Q,13,FALSE))),"")</f>
        <v/>
      </c>
      <c r="J399" s="10" t="str">
        <f>IFERROR((IF(VLOOKUP(A399,'ECN-ECO_DATA'!B:Q,14,FALSE)="","",VLOOKUP(A399,'ECN-ECO_DATA'!B:Q,14,FALSE))),"")</f>
        <v/>
      </c>
      <c r="K399" s="10" t="str">
        <f>IFERROR((IF(VLOOKUP(A399,'ECN-ECO_DATA'!B:Q,15,FALSE)="","",VLOOKUP(A399,'ECN-ECO_DATA'!B:Q,15,FALSE))),"")</f>
        <v/>
      </c>
      <c r="L399" s="10" t="str">
        <f>IFERROR((IF(VLOOKUP(A399,'ECN-ECO_DATA'!B:Q,16,FALSE)="","",VLOOKUP(A399,'ECN-ECO_DATA'!B:Q,16,FALSE))),"")</f>
        <v/>
      </c>
      <c r="M399" s="9" t="str">
        <f>IFERROR((IF(VLOOKUP(A399,'ECN-ECO_DATA'!B:V,18,FALSE)=0/1/1900,"",VLOOKUP(A399,'ECN-ECO_DATA'!B:V,18,FALSE))),"")</f>
        <v/>
      </c>
      <c r="N399" s="9" t="str">
        <f>IFERROR((IF(VLOOKUP(A399,'ECN-ECO_DATA'!B:V,19,FALSE)=0/1/1900,"",VLOOKUP(A399,'ECN-ECO_DATA'!B:V,19,FALSE))),"")</f>
        <v/>
      </c>
      <c r="O399" s="9" t="str">
        <f>IFERROR((IF(VLOOKUP(A399,'ECN-ECO_DATA'!B:V,20,FALSE)=0/1/1900,"",VLOOKUP(A399,'ECN-ECO_DATA'!B:V,20,FALSE))),"")</f>
        <v/>
      </c>
      <c r="P399" s="9" t="str">
        <f>IFERROR((IF(VLOOKUP(A399,'ECN-ECO_DATA'!B:V,21,FALSE)=0/1/1900,"",VLOOKUP(A399,'ECN-ECO_DATA'!B:V,21,FALSE))),"")</f>
        <v/>
      </c>
      <c r="Q399" s="10" t="str">
        <f t="shared" ca="1" si="30"/>
        <v/>
      </c>
      <c r="R399" s="4" t="str">
        <f t="shared" si="31"/>
        <v/>
      </c>
      <c r="S399" s="4" t="str">
        <f t="shared" si="32"/>
        <v/>
      </c>
      <c r="T399" s="4" t="str">
        <f t="shared" si="33"/>
        <v/>
      </c>
      <c r="U399" s="10" t="str">
        <f t="shared" si="34"/>
        <v/>
      </c>
      <c r="V399" s="4"/>
    </row>
    <row r="400" spans="2:22" x14ac:dyDescent="0.25">
      <c r="B400" s="4" t="str">
        <f>IFERROR(VLOOKUP(A400,'ECN-ECO_DATA'!B:G,4,FALSE),"")</f>
        <v/>
      </c>
      <c r="C400" s="9" t="str">
        <f>IFERROR(VLOOKUP(A400,'ECN-ECO_DATA'!B:G,5,FALSE),"")</f>
        <v/>
      </c>
      <c r="D400" s="9" t="str">
        <f ca="1">IFERROR((IF(VLOOKUP(A400,'ECN-ECO_DATA'!B:G,6,FALSE)=0/1/1900,TODAY(),VLOOKUP(A400,'ECN-ECO_DATA'!B:G,6,FALSE))),"")</f>
        <v/>
      </c>
      <c r="E400" s="9" t="str">
        <f>IFERROR((IF(VLOOKUP(A400,'ECN-ECO_DATA'!B:G,6,FALSE)=0/1/1900,"",VLOOKUP(A400,'ECN-ECO_DATA'!B:G,6,FALSE))),"")</f>
        <v/>
      </c>
      <c r="F400" s="9" t="str">
        <f>IFERROR((IF(VLOOKUP(A400,'ECN-ECO_DATA'!B:J,7,FALSE)=0/1/1900,"",VLOOKUP(A400,'ECN-ECO_DATA'!B:J,7,FALSE))),"")</f>
        <v/>
      </c>
      <c r="G400" s="9" t="str">
        <f>IFERROR((IF(VLOOKUP(A400,'ECN-ECO_DATA'!B:J,8,FALSE)=0/1/1900,"",VLOOKUP(A400,'ECN-ECO_DATA'!B:J,8,FALSE))),"")</f>
        <v/>
      </c>
      <c r="H400" s="9" t="str">
        <f>IFERROR((IF(VLOOKUP(A400,'ECN-ECO_DATA'!B:J,9,FALSE)=0/1/1900,"",VLOOKUP(A400,'ECN-ECO_DATA'!B:J,9,FALSE))),"")</f>
        <v/>
      </c>
      <c r="I400" s="10" t="str">
        <f>IFERROR((IF(VLOOKUP(A400,'ECN-ECO_DATA'!B:Q,13,FALSE)="","",VLOOKUP(A400,'ECN-ECO_DATA'!B:Q,13,FALSE))),"")</f>
        <v/>
      </c>
      <c r="J400" s="10" t="str">
        <f>IFERROR((IF(VLOOKUP(A400,'ECN-ECO_DATA'!B:Q,14,FALSE)="","",VLOOKUP(A400,'ECN-ECO_DATA'!B:Q,14,FALSE))),"")</f>
        <v/>
      </c>
      <c r="K400" s="10" t="str">
        <f>IFERROR((IF(VLOOKUP(A400,'ECN-ECO_DATA'!B:Q,15,FALSE)="","",VLOOKUP(A400,'ECN-ECO_DATA'!B:Q,15,FALSE))),"")</f>
        <v/>
      </c>
      <c r="L400" s="10" t="str">
        <f>IFERROR((IF(VLOOKUP(A400,'ECN-ECO_DATA'!B:Q,16,FALSE)="","",VLOOKUP(A400,'ECN-ECO_DATA'!B:Q,16,FALSE))),"")</f>
        <v/>
      </c>
      <c r="M400" s="9" t="str">
        <f>IFERROR((IF(VLOOKUP(A400,'ECN-ECO_DATA'!B:V,18,FALSE)=0/1/1900,"",VLOOKUP(A400,'ECN-ECO_DATA'!B:V,18,FALSE))),"")</f>
        <v/>
      </c>
      <c r="N400" s="9" t="str">
        <f>IFERROR((IF(VLOOKUP(A400,'ECN-ECO_DATA'!B:V,19,FALSE)=0/1/1900,"",VLOOKUP(A400,'ECN-ECO_DATA'!B:V,19,FALSE))),"")</f>
        <v/>
      </c>
      <c r="O400" s="9" t="str">
        <f>IFERROR((IF(VLOOKUP(A400,'ECN-ECO_DATA'!B:V,20,FALSE)=0/1/1900,"",VLOOKUP(A400,'ECN-ECO_DATA'!B:V,20,FALSE))),"")</f>
        <v/>
      </c>
      <c r="P400" s="9" t="str">
        <f>IFERROR((IF(VLOOKUP(A400,'ECN-ECO_DATA'!B:V,21,FALSE)=0/1/1900,"",VLOOKUP(A400,'ECN-ECO_DATA'!B:V,21,FALSE))),"")</f>
        <v/>
      </c>
      <c r="Q400" s="10" t="str">
        <f t="shared" ca="1" si="30"/>
        <v/>
      </c>
      <c r="R400" s="4" t="str">
        <f t="shared" si="31"/>
        <v/>
      </c>
      <c r="S400" s="4" t="str">
        <f t="shared" si="32"/>
        <v/>
      </c>
      <c r="T400" s="4" t="str">
        <f t="shared" si="33"/>
        <v/>
      </c>
      <c r="U400" s="10" t="str">
        <f t="shared" si="34"/>
        <v/>
      </c>
      <c r="V400" s="4"/>
    </row>
    <row r="401" spans="2:22" x14ac:dyDescent="0.25">
      <c r="B401" s="4" t="str">
        <f>IFERROR(VLOOKUP(A401,'ECN-ECO_DATA'!B:G,4,FALSE),"")</f>
        <v/>
      </c>
      <c r="C401" s="9" t="str">
        <f>IFERROR(VLOOKUP(A401,'ECN-ECO_DATA'!B:G,5,FALSE),"")</f>
        <v/>
      </c>
      <c r="D401" s="9" t="str">
        <f ca="1">IFERROR((IF(VLOOKUP(A401,'ECN-ECO_DATA'!B:G,6,FALSE)=0/1/1900,TODAY(),VLOOKUP(A401,'ECN-ECO_DATA'!B:G,6,FALSE))),"")</f>
        <v/>
      </c>
      <c r="E401" s="9" t="str">
        <f>IFERROR((IF(VLOOKUP(A401,'ECN-ECO_DATA'!B:G,6,FALSE)=0/1/1900,"",VLOOKUP(A401,'ECN-ECO_DATA'!B:G,6,FALSE))),"")</f>
        <v/>
      </c>
      <c r="F401" s="9" t="str">
        <f>IFERROR((IF(VLOOKUP(A401,'ECN-ECO_DATA'!B:J,7,FALSE)=0/1/1900,"",VLOOKUP(A401,'ECN-ECO_DATA'!B:J,7,FALSE))),"")</f>
        <v/>
      </c>
      <c r="G401" s="9" t="str">
        <f>IFERROR((IF(VLOOKUP(A401,'ECN-ECO_DATA'!B:J,8,FALSE)=0/1/1900,"",VLOOKUP(A401,'ECN-ECO_DATA'!B:J,8,FALSE))),"")</f>
        <v/>
      </c>
      <c r="H401" s="9" t="str">
        <f>IFERROR((IF(VLOOKUP(A401,'ECN-ECO_DATA'!B:J,9,FALSE)=0/1/1900,"",VLOOKUP(A401,'ECN-ECO_DATA'!B:J,9,FALSE))),"")</f>
        <v/>
      </c>
      <c r="I401" s="10" t="str">
        <f>IFERROR((IF(VLOOKUP(A401,'ECN-ECO_DATA'!B:Q,13,FALSE)="","",VLOOKUP(A401,'ECN-ECO_DATA'!B:Q,13,FALSE))),"")</f>
        <v/>
      </c>
      <c r="J401" s="10" t="str">
        <f>IFERROR((IF(VLOOKUP(A401,'ECN-ECO_DATA'!B:Q,14,FALSE)="","",VLOOKUP(A401,'ECN-ECO_DATA'!B:Q,14,FALSE))),"")</f>
        <v/>
      </c>
      <c r="K401" s="10" t="str">
        <f>IFERROR((IF(VLOOKUP(A401,'ECN-ECO_DATA'!B:Q,15,FALSE)="","",VLOOKUP(A401,'ECN-ECO_DATA'!B:Q,15,FALSE))),"")</f>
        <v/>
      </c>
      <c r="L401" s="10" t="str">
        <f>IFERROR((IF(VLOOKUP(A401,'ECN-ECO_DATA'!B:Q,16,FALSE)="","",VLOOKUP(A401,'ECN-ECO_DATA'!B:Q,16,FALSE))),"")</f>
        <v/>
      </c>
      <c r="M401" s="9" t="str">
        <f>IFERROR((IF(VLOOKUP(A401,'ECN-ECO_DATA'!B:V,18,FALSE)=0/1/1900,"",VLOOKUP(A401,'ECN-ECO_DATA'!B:V,18,FALSE))),"")</f>
        <v/>
      </c>
      <c r="N401" s="9" t="str">
        <f>IFERROR((IF(VLOOKUP(A401,'ECN-ECO_DATA'!B:V,19,FALSE)=0/1/1900,"",VLOOKUP(A401,'ECN-ECO_DATA'!B:V,19,FALSE))),"")</f>
        <v/>
      </c>
      <c r="O401" s="9" t="str">
        <f>IFERROR((IF(VLOOKUP(A401,'ECN-ECO_DATA'!B:V,20,FALSE)=0/1/1900,"",VLOOKUP(A401,'ECN-ECO_DATA'!B:V,20,FALSE))),"")</f>
        <v/>
      </c>
      <c r="P401" s="9" t="str">
        <f>IFERROR((IF(VLOOKUP(A401,'ECN-ECO_DATA'!B:V,21,FALSE)=0/1/1900,"",VLOOKUP(A401,'ECN-ECO_DATA'!B:V,21,FALSE))),"")</f>
        <v/>
      </c>
      <c r="Q401" s="10" t="str">
        <f t="shared" ca="1" si="30"/>
        <v/>
      </c>
      <c r="R401" s="4" t="str">
        <f t="shared" si="31"/>
        <v/>
      </c>
      <c r="S401" s="4" t="str">
        <f t="shared" si="32"/>
        <v/>
      </c>
      <c r="T401" s="4" t="str">
        <f t="shared" si="33"/>
        <v/>
      </c>
      <c r="U401" s="10" t="str">
        <f t="shared" si="34"/>
        <v/>
      </c>
      <c r="V401" s="4"/>
    </row>
    <row r="402" spans="2:22" x14ac:dyDescent="0.25">
      <c r="B402" s="4" t="str">
        <f>IFERROR(VLOOKUP(A402,'ECN-ECO_DATA'!B:G,4,FALSE),"")</f>
        <v/>
      </c>
      <c r="C402" s="9" t="str">
        <f>IFERROR(VLOOKUP(A402,'ECN-ECO_DATA'!B:G,5,FALSE),"")</f>
        <v/>
      </c>
      <c r="D402" s="9" t="str">
        <f ca="1">IFERROR((IF(VLOOKUP(A402,'ECN-ECO_DATA'!B:G,6,FALSE)=0/1/1900,TODAY(),VLOOKUP(A402,'ECN-ECO_DATA'!B:G,6,FALSE))),"")</f>
        <v/>
      </c>
      <c r="E402" s="9" t="str">
        <f>IFERROR((IF(VLOOKUP(A402,'ECN-ECO_DATA'!B:G,6,FALSE)=0/1/1900,"",VLOOKUP(A402,'ECN-ECO_DATA'!B:G,6,FALSE))),"")</f>
        <v/>
      </c>
      <c r="F402" s="9" t="str">
        <f>IFERROR((IF(VLOOKUP(A402,'ECN-ECO_DATA'!B:J,7,FALSE)=0/1/1900,"",VLOOKUP(A402,'ECN-ECO_DATA'!B:J,7,FALSE))),"")</f>
        <v/>
      </c>
      <c r="G402" s="9" t="str">
        <f>IFERROR((IF(VLOOKUP(A402,'ECN-ECO_DATA'!B:J,8,FALSE)=0/1/1900,"",VLOOKUP(A402,'ECN-ECO_DATA'!B:J,8,FALSE))),"")</f>
        <v/>
      </c>
      <c r="H402" s="9" t="str">
        <f>IFERROR((IF(VLOOKUP(A402,'ECN-ECO_DATA'!B:J,9,FALSE)=0/1/1900,"",VLOOKUP(A402,'ECN-ECO_DATA'!B:J,9,FALSE))),"")</f>
        <v/>
      </c>
      <c r="I402" s="10" t="str">
        <f>IFERROR((IF(VLOOKUP(A402,'ECN-ECO_DATA'!B:Q,13,FALSE)="","",VLOOKUP(A402,'ECN-ECO_DATA'!B:Q,13,FALSE))),"")</f>
        <v/>
      </c>
      <c r="J402" s="10" t="str">
        <f>IFERROR((IF(VLOOKUP(A402,'ECN-ECO_DATA'!B:Q,14,FALSE)="","",VLOOKUP(A402,'ECN-ECO_DATA'!B:Q,14,FALSE))),"")</f>
        <v/>
      </c>
      <c r="K402" s="10" t="str">
        <f>IFERROR((IF(VLOOKUP(A402,'ECN-ECO_DATA'!B:Q,15,FALSE)="","",VLOOKUP(A402,'ECN-ECO_DATA'!B:Q,15,FALSE))),"")</f>
        <v/>
      </c>
      <c r="L402" s="10" t="str">
        <f>IFERROR((IF(VLOOKUP(A402,'ECN-ECO_DATA'!B:Q,16,FALSE)="","",VLOOKUP(A402,'ECN-ECO_DATA'!B:Q,16,FALSE))),"")</f>
        <v/>
      </c>
      <c r="M402" s="9" t="str">
        <f>IFERROR((IF(VLOOKUP(A402,'ECN-ECO_DATA'!B:V,18,FALSE)=0/1/1900,"",VLOOKUP(A402,'ECN-ECO_DATA'!B:V,18,FALSE))),"")</f>
        <v/>
      </c>
      <c r="N402" s="9" t="str">
        <f>IFERROR((IF(VLOOKUP(A402,'ECN-ECO_DATA'!B:V,19,FALSE)=0/1/1900,"",VLOOKUP(A402,'ECN-ECO_DATA'!B:V,19,FALSE))),"")</f>
        <v/>
      </c>
      <c r="O402" s="9" t="str">
        <f>IFERROR((IF(VLOOKUP(A402,'ECN-ECO_DATA'!B:V,20,FALSE)=0/1/1900,"",VLOOKUP(A402,'ECN-ECO_DATA'!B:V,20,FALSE))),"")</f>
        <v/>
      </c>
      <c r="P402" s="9" t="str">
        <f>IFERROR((IF(VLOOKUP(A402,'ECN-ECO_DATA'!B:V,21,FALSE)=0/1/1900,"",VLOOKUP(A402,'ECN-ECO_DATA'!B:V,21,FALSE))),"")</f>
        <v/>
      </c>
      <c r="Q402" s="10" t="str">
        <f t="shared" ca="1" si="30"/>
        <v/>
      </c>
      <c r="R402" s="4" t="str">
        <f t="shared" si="31"/>
        <v/>
      </c>
      <c r="S402" s="4" t="str">
        <f t="shared" si="32"/>
        <v/>
      </c>
      <c r="T402" s="4" t="str">
        <f t="shared" si="33"/>
        <v/>
      </c>
      <c r="U402" s="10" t="str">
        <f t="shared" si="34"/>
        <v/>
      </c>
      <c r="V402" s="4"/>
    </row>
    <row r="403" spans="2:22" x14ac:dyDescent="0.25">
      <c r="B403" s="4" t="str">
        <f>IFERROR(VLOOKUP(A403,'ECN-ECO_DATA'!B:G,4,FALSE),"")</f>
        <v/>
      </c>
      <c r="C403" s="9" t="str">
        <f>IFERROR(VLOOKUP(A403,'ECN-ECO_DATA'!B:G,5,FALSE),"")</f>
        <v/>
      </c>
      <c r="D403" s="9" t="str">
        <f ca="1">IFERROR((IF(VLOOKUP(A403,'ECN-ECO_DATA'!B:G,6,FALSE)=0/1/1900,TODAY(),VLOOKUP(A403,'ECN-ECO_DATA'!B:G,6,FALSE))),"")</f>
        <v/>
      </c>
      <c r="E403" s="9" t="str">
        <f>IFERROR((IF(VLOOKUP(A403,'ECN-ECO_DATA'!B:G,6,FALSE)=0/1/1900,"",VLOOKUP(A403,'ECN-ECO_DATA'!B:G,6,FALSE))),"")</f>
        <v/>
      </c>
      <c r="F403" s="9" t="str">
        <f>IFERROR((IF(VLOOKUP(A403,'ECN-ECO_DATA'!B:J,7,FALSE)=0/1/1900,"",VLOOKUP(A403,'ECN-ECO_DATA'!B:J,7,FALSE))),"")</f>
        <v/>
      </c>
      <c r="G403" s="9" t="str">
        <f>IFERROR((IF(VLOOKUP(A403,'ECN-ECO_DATA'!B:J,8,FALSE)=0/1/1900,"",VLOOKUP(A403,'ECN-ECO_DATA'!B:J,8,FALSE))),"")</f>
        <v/>
      </c>
      <c r="H403" s="9" t="str">
        <f>IFERROR((IF(VLOOKUP(A403,'ECN-ECO_DATA'!B:J,9,FALSE)=0/1/1900,"",VLOOKUP(A403,'ECN-ECO_DATA'!B:J,9,FALSE))),"")</f>
        <v/>
      </c>
      <c r="I403" s="10" t="str">
        <f>IFERROR((IF(VLOOKUP(A403,'ECN-ECO_DATA'!B:Q,13,FALSE)="","",VLOOKUP(A403,'ECN-ECO_DATA'!B:Q,13,FALSE))),"")</f>
        <v/>
      </c>
      <c r="J403" s="10" t="str">
        <f>IFERROR((IF(VLOOKUP(A403,'ECN-ECO_DATA'!B:Q,14,FALSE)="","",VLOOKUP(A403,'ECN-ECO_DATA'!B:Q,14,FALSE))),"")</f>
        <v/>
      </c>
      <c r="K403" s="10" t="str">
        <f>IFERROR((IF(VLOOKUP(A403,'ECN-ECO_DATA'!B:Q,15,FALSE)="","",VLOOKUP(A403,'ECN-ECO_DATA'!B:Q,15,FALSE))),"")</f>
        <v/>
      </c>
      <c r="L403" s="10" t="str">
        <f>IFERROR((IF(VLOOKUP(A403,'ECN-ECO_DATA'!B:Q,16,FALSE)="","",VLOOKUP(A403,'ECN-ECO_DATA'!B:Q,16,FALSE))),"")</f>
        <v/>
      </c>
      <c r="M403" s="9" t="str">
        <f>IFERROR((IF(VLOOKUP(A403,'ECN-ECO_DATA'!B:V,18,FALSE)=0/1/1900,"",VLOOKUP(A403,'ECN-ECO_DATA'!B:V,18,FALSE))),"")</f>
        <v/>
      </c>
      <c r="N403" s="9" t="str">
        <f>IFERROR((IF(VLOOKUP(A403,'ECN-ECO_DATA'!B:V,19,FALSE)=0/1/1900,"",VLOOKUP(A403,'ECN-ECO_DATA'!B:V,19,FALSE))),"")</f>
        <v/>
      </c>
      <c r="O403" s="9" t="str">
        <f>IFERROR((IF(VLOOKUP(A403,'ECN-ECO_DATA'!B:V,20,FALSE)=0/1/1900,"",VLOOKUP(A403,'ECN-ECO_DATA'!B:V,20,FALSE))),"")</f>
        <v/>
      </c>
      <c r="P403" s="9" t="str">
        <f>IFERROR((IF(VLOOKUP(A403,'ECN-ECO_DATA'!B:V,21,FALSE)=0/1/1900,"",VLOOKUP(A403,'ECN-ECO_DATA'!B:V,21,FALSE))),"")</f>
        <v/>
      </c>
      <c r="Q403" s="10" t="str">
        <f t="shared" ca="1" si="30"/>
        <v/>
      </c>
      <c r="R403" s="4" t="str">
        <f t="shared" si="31"/>
        <v/>
      </c>
      <c r="S403" s="4" t="str">
        <f t="shared" si="32"/>
        <v/>
      </c>
      <c r="T403" s="4" t="str">
        <f t="shared" si="33"/>
        <v/>
      </c>
      <c r="U403" s="10" t="str">
        <f t="shared" si="34"/>
        <v/>
      </c>
      <c r="V403" s="4"/>
    </row>
    <row r="404" spans="2:22" x14ac:dyDescent="0.25">
      <c r="B404" s="4" t="str">
        <f>IFERROR(VLOOKUP(A404,'ECN-ECO_DATA'!B:G,4,FALSE),"")</f>
        <v/>
      </c>
      <c r="C404" s="9" t="str">
        <f>IFERROR(VLOOKUP(A404,'ECN-ECO_DATA'!B:G,5,FALSE),"")</f>
        <v/>
      </c>
      <c r="D404" s="9" t="str">
        <f ca="1">IFERROR((IF(VLOOKUP(A404,'ECN-ECO_DATA'!B:G,6,FALSE)=0/1/1900,TODAY(),VLOOKUP(A404,'ECN-ECO_DATA'!B:G,6,FALSE))),"")</f>
        <v/>
      </c>
      <c r="E404" s="9" t="str">
        <f>IFERROR((IF(VLOOKUP(A404,'ECN-ECO_DATA'!B:G,6,FALSE)=0/1/1900,"",VLOOKUP(A404,'ECN-ECO_DATA'!B:G,6,FALSE))),"")</f>
        <v/>
      </c>
      <c r="F404" s="9" t="str">
        <f>IFERROR((IF(VLOOKUP(A404,'ECN-ECO_DATA'!B:J,7,FALSE)=0/1/1900,"",VLOOKUP(A404,'ECN-ECO_DATA'!B:J,7,FALSE))),"")</f>
        <v/>
      </c>
      <c r="G404" s="9" t="str">
        <f>IFERROR((IF(VLOOKUP(A404,'ECN-ECO_DATA'!B:J,8,FALSE)=0/1/1900,"",VLOOKUP(A404,'ECN-ECO_DATA'!B:J,8,FALSE))),"")</f>
        <v/>
      </c>
      <c r="H404" s="9" t="str">
        <f>IFERROR((IF(VLOOKUP(A404,'ECN-ECO_DATA'!B:J,9,FALSE)=0/1/1900,"",VLOOKUP(A404,'ECN-ECO_DATA'!B:J,9,FALSE))),"")</f>
        <v/>
      </c>
      <c r="I404" s="10" t="str">
        <f>IFERROR((IF(VLOOKUP(A404,'ECN-ECO_DATA'!B:Q,13,FALSE)="","",VLOOKUP(A404,'ECN-ECO_DATA'!B:Q,13,FALSE))),"")</f>
        <v/>
      </c>
      <c r="J404" s="10" t="str">
        <f>IFERROR((IF(VLOOKUP(A404,'ECN-ECO_DATA'!B:Q,14,FALSE)="","",VLOOKUP(A404,'ECN-ECO_DATA'!B:Q,14,FALSE))),"")</f>
        <v/>
      </c>
      <c r="K404" s="10" t="str">
        <f>IFERROR((IF(VLOOKUP(A404,'ECN-ECO_DATA'!B:Q,15,FALSE)="","",VLOOKUP(A404,'ECN-ECO_DATA'!B:Q,15,FALSE))),"")</f>
        <v/>
      </c>
      <c r="L404" s="10" t="str">
        <f>IFERROR((IF(VLOOKUP(A404,'ECN-ECO_DATA'!B:Q,16,FALSE)="","",VLOOKUP(A404,'ECN-ECO_DATA'!B:Q,16,FALSE))),"")</f>
        <v/>
      </c>
      <c r="M404" s="9" t="str">
        <f>IFERROR((IF(VLOOKUP(A404,'ECN-ECO_DATA'!B:V,18,FALSE)=0/1/1900,"",VLOOKUP(A404,'ECN-ECO_DATA'!B:V,18,FALSE))),"")</f>
        <v/>
      </c>
      <c r="N404" s="9" t="str">
        <f>IFERROR((IF(VLOOKUP(A404,'ECN-ECO_DATA'!B:V,19,FALSE)=0/1/1900,"",VLOOKUP(A404,'ECN-ECO_DATA'!B:V,19,FALSE))),"")</f>
        <v/>
      </c>
      <c r="O404" s="9" t="str">
        <f>IFERROR((IF(VLOOKUP(A404,'ECN-ECO_DATA'!B:V,20,FALSE)=0/1/1900,"",VLOOKUP(A404,'ECN-ECO_DATA'!B:V,20,FALSE))),"")</f>
        <v/>
      </c>
      <c r="P404" s="9" t="str">
        <f>IFERROR((IF(VLOOKUP(A404,'ECN-ECO_DATA'!B:V,21,FALSE)=0/1/1900,"",VLOOKUP(A404,'ECN-ECO_DATA'!B:V,21,FALSE))),"")</f>
        <v/>
      </c>
      <c r="Q404" s="10" t="str">
        <f t="shared" ca="1" si="30"/>
        <v/>
      </c>
      <c r="R404" s="4" t="str">
        <f t="shared" si="31"/>
        <v/>
      </c>
      <c r="S404" s="4" t="str">
        <f t="shared" si="32"/>
        <v/>
      </c>
      <c r="T404" s="4" t="str">
        <f t="shared" si="33"/>
        <v/>
      </c>
      <c r="U404" s="10" t="str">
        <f t="shared" si="34"/>
        <v/>
      </c>
      <c r="V404" s="4"/>
    </row>
    <row r="405" spans="2:22" x14ac:dyDescent="0.25">
      <c r="B405" s="4" t="str">
        <f>IFERROR(VLOOKUP(A405,'ECN-ECO_DATA'!B:G,4,FALSE),"")</f>
        <v/>
      </c>
      <c r="C405" s="9" t="str">
        <f>IFERROR(VLOOKUP(A405,'ECN-ECO_DATA'!B:G,5,FALSE),"")</f>
        <v/>
      </c>
      <c r="D405" s="9" t="str">
        <f ca="1">IFERROR((IF(VLOOKUP(A405,'ECN-ECO_DATA'!B:G,6,FALSE)=0/1/1900,TODAY(),VLOOKUP(A405,'ECN-ECO_DATA'!B:G,6,FALSE))),"")</f>
        <v/>
      </c>
      <c r="E405" s="9" t="str">
        <f>IFERROR((IF(VLOOKUP(A405,'ECN-ECO_DATA'!B:G,6,FALSE)=0/1/1900,"",VLOOKUP(A405,'ECN-ECO_DATA'!B:G,6,FALSE))),"")</f>
        <v/>
      </c>
      <c r="F405" s="9" t="str">
        <f>IFERROR((IF(VLOOKUP(A405,'ECN-ECO_DATA'!B:J,7,FALSE)=0/1/1900,"",VLOOKUP(A405,'ECN-ECO_DATA'!B:J,7,FALSE))),"")</f>
        <v/>
      </c>
      <c r="G405" s="9" t="str">
        <f>IFERROR((IF(VLOOKUP(A405,'ECN-ECO_DATA'!B:J,8,FALSE)=0/1/1900,"",VLOOKUP(A405,'ECN-ECO_DATA'!B:J,8,FALSE))),"")</f>
        <v/>
      </c>
      <c r="H405" s="9" t="str">
        <f>IFERROR((IF(VLOOKUP(A405,'ECN-ECO_DATA'!B:J,9,FALSE)=0/1/1900,"",VLOOKUP(A405,'ECN-ECO_DATA'!B:J,9,FALSE))),"")</f>
        <v/>
      </c>
      <c r="I405" s="10" t="str">
        <f>IFERROR((IF(VLOOKUP(A405,'ECN-ECO_DATA'!B:Q,13,FALSE)="","",VLOOKUP(A405,'ECN-ECO_DATA'!B:Q,13,FALSE))),"")</f>
        <v/>
      </c>
      <c r="J405" s="10" t="str">
        <f>IFERROR((IF(VLOOKUP(A405,'ECN-ECO_DATA'!B:Q,14,FALSE)="","",VLOOKUP(A405,'ECN-ECO_DATA'!B:Q,14,FALSE))),"")</f>
        <v/>
      </c>
      <c r="K405" s="10" t="str">
        <f>IFERROR((IF(VLOOKUP(A405,'ECN-ECO_DATA'!B:Q,15,FALSE)="","",VLOOKUP(A405,'ECN-ECO_DATA'!B:Q,15,FALSE))),"")</f>
        <v/>
      </c>
      <c r="L405" s="10" t="str">
        <f>IFERROR((IF(VLOOKUP(A405,'ECN-ECO_DATA'!B:Q,16,FALSE)="","",VLOOKUP(A405,'ECN-ECO_DATA'!B:Q,16,FALSE))),"")</f>
        <v/>
      </c>
      <c r="M405" s="9" t="str">
        <f>IFERROR((IF(VLOOKUP(A405,'ECN-ECO_DATA'!B:V,18,FALSE)=0/1/1900,"",VLOOKUP(A405,'ECN-ECO_DATA'!B:V,18,FALSE))),"")</f>
        <v/>
      </c>
      <c r="N405" s="9" t="str">
        <f>IFERROR((IF(VLOOKUP(A405,'ECN-ECO_DATA'!B:V,19,FALSE)=0/1/1900,"",VLOOKUP(A405,'ECN-ECO_DATA'!B:V,19,FALSE))),"")</f>
        <v/>
      </c>
      <c r="O405" s="9" t="str">
        <f>IFERROR((IF(VLOOKUP(A405,'ECN-ECO_DATA'!B:V,20,FALSE)=0/1/1900,"",VLOOKUP(A405,'ECN-ECO_DATA'!B:V,20,FALSE))),"")</f>
        <v/>
      </c>
      <c r="P405" s="9" t="str">
        <f>IFERROR((IF(VLOOKUP(A405,'ECN-ECO_DATA'!B:V,21,FALSE)=0/1/1900,"",VLOOKUP(A405,'ECN-ECO_DATA'!B:V,21,FALSE))),"")</f>
        <v/>
      </c>
      <c r="Q405" s="10" t="str">
        <f t="shared" ca="1" si="30"/>
        <v/>
      </c>
      <c r="R405" s="4" t="str">
        <f t="shared" si="31"/>
        <v/>
      </c>
      <c r="S405" s="4" t="str">
        <f t="shared" si="32"/>
        <v/>
      </c>
      <c r="T405" s="4" t="str">
        <f t="shared" si="33"/>
        <v/>
      </c>
      <c r="U405" s="10" t="str">
        <f t="shared" si="34"/>
        <v/>
      </c>
      <c r="V405" s="4"/>
    </row>
    <row r="406" spans="2:22" x14ac:dyDescent="0.25">
      <c r="B406" s="4" t="str">
        <f>IFERROR(VLOOKUP(A406,'ECN-ECO_DATA'!B:G,4,FALSE),"")</f>
        <v/>
      </c>
      <c r="C406" s="9" t="str">
        <f>IFERROR(VLOOKUP(A406,'ECN-ECO_DATA'!B:G,5,FALSE),"")</f>
        <v/>
      </c>
      <c r="D406" s="9" t="str">
        <f ca="1">IFERROR((IF(VLOOKUP(A406,'ECN-ECO_DATA'!B:G,6,FALSE)=0/1/1900,TODAY(),VLOOKUP(A406,'ECN-ECO_DATA'!B:G,6,FALSE))),"")</f>
        <v/>
      </c>
      <c r="E406" s="9" t="str">
        <f>IFERROR((IF(VLOOKUP(A406,'ECN-ECO_DATA'!B:G,6,FALSE)=0/1/1900,"",VLOOKUP(A406,'ECN-ECO_DATA'!B:G,6,FALSE))),"")</f>
        <v/>
      </c>
      <c r="F406" s="9" t="str">
        <f>IFERROR((IF(VLOOKUP(A406,'ECN-ECO_DATA'!B:J,7,FALSE)=0/1/1900,"",VLOOKUP(A406,'ECN-ECO_DATA'!B:J,7,FALSE))),"")</f>
        <v/>
      </c>
      <c r="G406" s="9" t="str">
        <f>IFERROR((IF(VLOOKUP(A406,'ECN-ECO_DATA'!B:J,8,FALSE)=0/1/1900,"",VLOOKUP(A406,'ECN-ECO_DATA'!B:J,8,FALSE))),"")</f>
        <v/>
      </c>
      <c r="H406" s="9" t="str">
        <f>IFERROR((IF(VLOOKUP(A406,'ECN-ECO_DATA'!B:J,9,FALSE)=0/1/1900,"",VLOOKUP(A406,'ECN-ECO_DATA'!B:J,9,FALSE))),"")</f>
        <v/>
      </c>
      <c r="I406" s="10" t="str">
        <f>IFERROR((IF(VLOOKUP(A406,'ECN-ECO_DATA'!B:Q,13,FALSE)="","",VLOOKUP(A406,'ECN-ECO_DATA'!B:Q,13,FALSE))),"")</f>
        <v/>
      </c>
      <c r="J406" s="10" t="str">
        <f>IFERROR((IF(VLOOKUP(A406,'ECN-ECO_DATA'!B:Q,14,FALSE)="","",VLOOKUP(A406,'ECN-ECO_DATA'!B:Q,14,FALSE))),"")</f>
        <v/>
      </c>
      <c r="K406" s="10" t="str">
        <f>IFERROR((IF(VLOOKUP(A406,'ECN-ECO_DATA'!B:Q,15,FALSE)="","",VLOOKUP(A406,'ECN-ECO_DATA'!B:Q,15,FALSE))),"")</f>
        <v/>
      </c>
      <c r="L406" s="10" t="str">
        <f>IFERROR((IF(VLOOKUP(A406,'ECN-ECO_DATA'!B:Q,16,FALSE)="","",VLOOKUP(A406,'ECN-ECO_DATA'!B:Q,16,FALSE))),"")</f>
        <v/>
      </c>
      <c r="M406" s="9" t="str">
        <f>IFERROR((IF(VLOOKUP(A406,'ECN-ECO_DATA'!B:V,18,FALSE)=0/1/1900,"",VLOOKUP(A406,'ECN-ECO_DATA'!B:V,18,FALSE))),"")</f>
        <v/>
      </c>
      <c r="N406" s="9" t="str">
        <f>IFERROR((IF(VLOOKUP(A406,'ECN-ECO_DATA'!B:V,19,FALSE)=0/1/1900,"",VLOOKUP(A406,'ECN-ECO_DATA'!B:V,19,FALSE))),"")</f>
        <v/>
      </c>
      <c r="O406" s="9" t="str">
        <f>IFERROR((IF(VLOOKUP(A406,'ECN-ECO_DATA'!B:V,20,FALSE)=0/1/1900,"",VLOOKUP(A406,'ECN-ECO_DATA'!B:V,20,FALSE))),"")</f>
        <v/>
      </c>
      <c r="P406" s="9" t="str">
        <f>IFERROR((IF(VLOOKUP(A406,'ECN-ECO_DATA'!B:V,21,FALSE)=0/1/1900,"",VLOOKUP(A406,'ECN-ECO_DATA'!B:V,21,FALSE))),"")</f>
        <v/>
      </c>
      <c r="Q406" s="10" t="str">
        <f t="shared" ca="1" si="30"/>
        <v/>
      </c>
      <c r="R406" s="4" t="str">
        <f t="shared" si="31"/>
        <v/>
      </c>
      <c r="S406" s="4" t="str">
        <f t="shared" si="32"/>
        <v/>
      </c>
      <c r="T406" s="4" t="str">
        <f t="shared" si="33"/>
        <v/>
      </c>
      <c r="U406" s="10" t="str">
        <f t="shared" si="34"/>
        <v/>
      </c>
      <c r="V406" s="4"/>
    </row>
    <row r="407" spans="2:22" x14ac:dyDescent="0.25">
      <c r="B407" s="4" t="str">
        <f>IFERROR(VLOOKUP(A407,'ECN-ECO_DATA'!B:G,4,FALSE),"")</f>
        <v/>
      </c>
      <c r="C407" s="9" t="str">
        <f>IFERROR(VLOOKUP(A407,'ECN-ECO_DATA'!B:G,5,FALSE),"")</f>
        <v/>
      </c>
      <c r="D407" s="9" t="str">
        <f ca="1">IFERROR((IF(VLOOKUP(A407,'ECN-ECO_DATA'!B:G,6,FALSE)=0/1/1900,TODAY(),VLOOKUP(A407,'ECN-ECO_DATA'!B:G,6,FALSE))),"")</f>
        <v/>
      </c>
      <c r="E407" s="9" t="str">
        <f>IFERROR((IF(VLOOKUP(A407,'ECN-ECO_DATA'!B:G,6,FALSE)=0/1/1900,"",VLOOKUP(A407,'ECN-ECO_DATA'!B:G,6,FALSE))),"")</f>
        <v/>
      </c>
      <c r="F407" s="9" t="str">
        <f>IFERROR((IF(VLOOKUP(A407,'ECN-ECO_DATA'!B:J,7,FALSE)=0/1/1900,"",VLOOKUP(A407,'ECN-ECO_DATA'!B:J,7,FALSE))),"")</f>
        <v/>
      </c>
      <c r="G407" s="9" t="str">
        <f>IFERROR((IF(VLOOKUP(A407,'ECN-ECO_DATA'!B:J,8,FALSE)=0/1/1900,"",VLOOKUP(A407,'ECN-ECO_DATA'!B:J,8,FALSE))),"")</f>
        <v/>
      </c>
      <c r="H407" s="9" t="str">
        <f>IFERROR((IF(VLOOKUP(A407,'ECN-ECO_DATA'!B:J,9,FALSE)=0/1/1900,"",VLOOKUP(A407,'ECN-ECO_DATA'!B:J,9,FALSE))),"")</f>
        <v/>
      </c>
      <c r="I407" s="10" t="str">
        <f>IFERROR((IF(VLOOKUP(A407,'ECN-ECO_DATA'!B:Q,13,FALSE)="","",VLOOKUP(A407,'ECN-ECO_DATA'!B:Q,13,FALSE))),"")</f>
        <v/>
      </c>
      <c r="J407" s="10" t="str">
        <f>IFERROR((IF(VLOOKUP(A407,'ECN-ECO_DATA'!B:Q,14,FALSE)="","",VLOOKUP(A407,'ECN-ECO_DATA'!B:Q,14,FALSE))),"")</f>
        <v/>
      </c>
      <c r="K407" s="10" t="str">
        <f>IFERROR((IF(VLOOKUP(A407,'ECN-ECO_DATA'!B:Q,15,FALSE)="","",VLOOKUP(A407,'ECN-ECO_DATA'!B:Q,15,FALSE))),"")</f>
        <v/>
      </c>
      <c r="L407" s="10" t="str">
        <f>IFERROR((IF(VLOOKUP(A407,'ECN-ECO_DATA'!B:Q,16,FALSE)="","",VLOOKUP(A407,'ECN-ECO_DATA'!B:Q,16,FALSE))),"")</f>
        <v/>
      </c>
      <c r="M407" s="9" t="str">
        <f>IFERROR((IF(VLOOKUP(A407,'ECN-ECO_DATA'!B:V,18,FALSE)=0/1/1900,"",VLOOKUP(A407,'ECN-ECO_DATA'!B:V,18,FALSE))),"")</f>
        <v/>
      </c>
      <c r="N407" s="9" t="str">
        <f>IFERROR((IF(VLOOKUP(A407,'ECN-ECO_DATA'!B:V,19,FALSE)=0/1/1900,"",VLOOKUP(A407,'ECN-ECO_DATA'!B:V,19,FALSE))),"")</f>
        <v/>
      </c>
      <c r="O407" s="9" t="str">
        <f>IFERROR((IF(VLOOKUP(A407,'ECN-ECO_DATA'!B:V,20,FALSE)=0/1/1900,"",VLOOKUP(A407,'ECN-ECO_DATA'!B:V,20,FALSE))),"")</f>
        <v/>
      </c>
      <c r="P407" s="9" t="str">
        <f>IFERROR((IF(VLOOKUP(A407,'ECN-ECO_DATA'!B:V,21,FALSE)=0/1/1900,"",VLOOKUP(A407,'ECN-ECO_DATA'!B:V,21,FALSE))),"")</f>
        <v/>
      </c>
      <c r="Q407" s="10" t="str">
        <f t="shared" ca="1" si="30"/>
        <v/>
      </c>
      <c r="R407" s="4" t="str">
        <f t="shared" si="31"/>
        <v/>
      </c>
      <c r="S407" s="4" t="str">
        <f t="shared" si="32"/>
        <v/>
      </c>
      <c r="T407" s="4" t="str">
        <f t="shared" si="33"/>
        <v/>
      </c>
      <c r="U407" s="10" t="str">
        <f t="shared" si="34"/>
        <v/>
      </c>
      <c r="V407" s="4"/>
    </row>
    <row r="408" spans="2:22" x14ac:dyDescent="0.25">
      <c r="B408" s="4" t="str">
        <f>IFERROR(VLOOKUP(A408,'ECN-ECO_DATA'!B:G,4,FALSE),"")</f>
        <v/>
      </c>
      <c r="C408" s="9" t="str">
        <f>IFERROR(VLOOKUP(A408,'ECN-ECO_DATA'!B:G,5,FALSE),"")</f>
        <v/>
      </c>
      <c r="D408" s="9" t="str">
        <f ca="1">IFERROR((IF(VLOOKUP(A408,'ECN-ECO_DATA'!B:G,6,FALSE)=0/1/1900,TODAY(),VLOOKUP(A408,'ECN-ECO_DATA'!B:G,6,FALSE))),"")</f>
        <v/>
      </c>
      <c r="E408" s="9" t="str">
        <f>IFERROR((IF(VLOOKUP(A408,'ECN-ECO_DATA'!B:G,6,FALSE)=0/1/1900,"",VLOOKUP(A408,'ECN-ECO_DATA'!B:G,6,FALSE))),"")</f>
        <v/>
      </c>
      <c r="F408" s="9" t="str">
        <f>IFERROR((IF(VLOOKUP(A408,'ECN-ECO_DATA'!B:J,7,FALSE)=0/1/1900,"",VLOOKUP(A408,'ECN-ECO_DATA'!B:J,7,FALSE))),"")</f>
        <v/>
      </c>
      <c r="G408" s="9" t="str">
        <f>IFERROR((IF(VLOOKUP(A408,'ECN-ECO_DATA'!B:J,8,FALSE)=0/1/1900,"",VLOOKUP(A408,'ECN-ECO_DATA'!B:J,8,FALSE))),"")</f>
        <v/>
      </c>
      <c r="H408" s="9" t="str">
        <f>IFERROR((IF(VLOOKUP(A408,'ECN-ECO_DATA'!B:J,9,FALSE)=0/1/1900,"",VLOOKUP(A408,'ECN-ECO_DATA'!B:J,9,FALSE))),"")</f>
        <v/>
      </c>
      <c r="I408" s="10" t="str">
        <f>IFERROR((IF(VLOOKUP(A408,'ECN-ECO_DATA'!B:Q,13,FALSE)="","",VLOOKUP(A408,'ECN-ECO_DATA'!B:Q,13,FALSE))),"")</f>
        <v/>
      </c>
      <c r="J408" s="10" t="str">
        <f>IFERROR((IF(VLOOKUP(A408,'ECN-ECO_DATA'!B:Q,14,FALSE)="","",VLOOKUP(A408,'ECN-ECO_DATA'!B:Q,14,FALSE))),"")</f>
        <v/>
      </c>
      <c r="K408" s="10" t="str">
        <f>IFERROR((IF(VLOOKUP(A408,'ECN-ECO_DATA'!B:Q,15,FALSE)="","",VLOOKUP(A408,'ECN-ECO_DATA'!B:Q,15,FALSE))),"")</f>
        <v/>
      </c>
      <c r="L408" s="10" t="str">
        <f>IFERROR((IF(VLOOKUP(A408,'ECN-ECO_DATA'!B:Q,16,FALSE)="","",VLOOKUP(A408,'ECN-ECO_DATA'!B:Q,16,FALSE))),"")</f>
        <v/>
      </c>
      <c r="M408" s="9" t="str">
        <f>IFERROR((IF(VLOOKUP(A408,'ECN-ECO_DATA'!B:V,18,FALSE)=0/1/1900,"",VLOOKUP(A408,'ECN-ECO_DATA'!B:V,18,FALSE))),"")</f>
        <v/>
      </c>
      <c r="N408" s="9" t="str">
        <f>IFERROR((IF(VLOOKUP(A408,'ECN-ECO_DATA'!B:V,19,FALSE)=0/1/1900,"",VLOOKUP(A408,'ECN-ECO_DATA'!B:V,19,FALSE))),"")</f>
        <v/>
      </c>
      <c r="O408" s="9" t="str">
        <f>IFERROR((IF(VLOOKUP(A408,'ECN-ECO_DATA'!B:V,20,FALSE)=0/1/1900,"",VLOOKUP(A408,'ECN-ECO_DATA'!B:V,20,FALSE))),"")</f>
        <v/>
      </c>
      <c r="P408" s="9" t="str">
        <f>IFERROR((IF(VLOOKUP(A408,'ECN-ECO_DATA'!B:V,21,FALSE)=0/1/1900,"",VLOOKUP(A408,'ECN-ECO_DATA'!B:V,21,FALSE))),"")</f>
        <v/>
      </c>
      <c r="Q408" s="10" t="str">
        <f t="shared" ca="1" si="30"/>
        <v/>
      </c>
      <c r="R408" s="4" t="str">
        <f t="shared" si="31"/>
        <v/>
      </c>
      <c r="S408" s="4" t="str">
        <f t="shared" si="32"/>
        <v/>
      </c>
      <c r="T408" s="4" t="str">
        <f t="shared" si="33"/>
        <v/>
      </c>
      <c r="U408" s="10" t="str">
        <f t="shared" si="34"/>
        <v/>
      </c>
      <c r="V408" s="4"/>
    </row>
    <row r="409" spans="2:22" x14ac:dyDescent="0.25">
      <c r="B409" s="4" t="str">
        <f>IFERROR(VLOOKUP(A409,'ECN-ECO_DATA'!B:G,4,FALSE),"")</f>
        <v/>
      </c>
      <c r="C409" s="9" t="str">
        <f>IFERROR(VLOOKUP(A409,'ECN-ECO_DATA'!B:G,5,FALSE),"")</f>
        <v/>
      </c>
      <c r="D409" s="9" t="str">
        <f ca="1">IFERROR((IF(VLOOKUP(A409,'ECN-ECO_DATA'!B:G,6,FALSE)=0/1/1900,TODAY(),VLOOKUP(A409,'ECN-ECO_DATA'!B:G,6,FALSE))),"")</f>
        <v/>
      </c>
      <c r="E409" s="9" t="str">
        <f>IFERROR((IF(VLOOKUP(A409,'ECN-ECO_DATA'!B:G,6,FALSE)=0/1/1900,"",VLOOKUP(A409,'ECN-ECO_DATA'!B:G,6,FALSE))),"")</f>
        <v/>
      </c>
      <c r="F409" s="9" t="str">
        <f>IFERROR((IF(VLOOKUP(A409,'ECN-ECO_DATA'!B:J,7,FALSE)=0/1/1900,"",VLOOKUP(A409,'ECN-ECO_DATA'!B:J,7,FALSE))),"")</f>
        <v/>
      </c>
      <c r="G409" s="9" t="str">
        <f>IFERROR((IF(VLOOKUP(A409,'ECN-ECO_DATA'!B:J,8,FALSE)=0/1/1900,"",VLOOKUP(A409,'ECN-ECO_DATA'!B:J,8,FALSE))),"")</f>
        <v/>
      </c>
      <c r="H409" s="9" t="str">
        <f>IFERROR((IF(VLOOKUP(A409,'ECN-ECO_DATA'!B:J,9,FALSE)=0/1/1900,"",VLOOKUP(A409,'ECN-ECO_DATA'!B:J,9,FALSE))),"")</f>
        <v/>
      </c>
      <c r="I409" s="10" t="str">
        <f>IFERROR((IF(VLOOKUP(A409,'ECN-ECO_DATA'!B:Q,13,FALSE)="","",VLOOKUP(A409,'ECN-ECO_DATA'!B:Q,13,FALSE))),"")</f>
        <v/>
      </c>
      <c r="J409" s="10" t="str">
        <f>IFERROR((IF(VLOOKUP(A409,'ECN-ECO_DATA'!B:Q,14,FALSE)="","",VLOOKUP(A409,'ECN-ECO_DATA'!B:Q,14,FALSE))),"")</f>
        <v/>
      </c>
      <c r="K409" s="10" t="str">
        <f>IFERROR((IF(VLOOKUP(A409,'ECN-ECO_DATA'!B:Q,15,FALSE)="","",VLOOKUP(A409,'ECN-ECO_DATA'!B:Q,15,FALSE))),"")</f>
        <v/>
      </c>
      <c r="L409" s="10" t="str">
        <f>IFERROR((IF(VLOOKUP(A409,'ECN-ECO_DATA'!B:Q,16,FALSE)="","",VLOOKUP(A409,'ECN-ECO_DATA'!B:Q,16,FALSE))),"")</f>
        <v/>
      </c>
      <c r="M409" s="9" t="str">
        <f>IFERROR((IF(VLOOKUP(A409,'ECN-ECO_DATA'!B:V,18,FALSE)=0/1/1900,"",VLOOKUP(A409,'ECN-ECO_DATA'!B:V,18,FALSE))),"")</f>
        <v/>
      </c>
      <c r="N409" s="9" t="str">
        <f>IFERROR((IF(VLOOKUP(A409,'ECN-ECO_DATA'!B:V,19,FALSE)=0/1/1900,"",VLOOKUP(A409,'ECN-ECO_DATA'!B:V,19,FALSE))),"")</f>
        <v/>
      </c>
      <c r="O409" s="9" t="str">
        <f>IFERROR((IF(VLOOKUP(A409,'ECN-ECO_DATA'!B:V,20,FALSE)=0/1/1900,"",VLOOKUP(A409,'ECN-ECO_DATA'!B:V,20,FALSE))),"")</f>
        <v/>
      </c>
      <c r="P409" s="9" t="str">
        <f>IFERROR((IF(VLOOKUP(A409,'ECN-ECO_DATA'!B:V,21,FALSE)=0/1/1900,"",VLOOKUP(A409,'ECN-ECO_DATA'!B:V,21,FALSE))),"")</f>
        <v/>
      </c>
      <c r="Q409" s="10" t="str">
        <f t="shared" ca="1" si="30"/>
        <v/>
      </c>
      <c r="R409" s="4" t="str">
        <f t="shared" si="31"/>
        <v/>
      </c>
      <c r="S409" s="4" t="str">
        <f t="shared" si="32"/>
        <v/>
      </c>
      <c r="T409" s="4" t="str">
        <f t="shared" si="33"/>
        <v/>
      </c>
      <c r="U409" s="10" t="str">
        <f t="shared" si="34"/>
        <v/>
      </c>
      <c r="V409" s="4"/>
    </row>
    <row r="410" spans="2:22" x14ac:dyDescent="0.25">
      <c r="B410" s="4" t="str">
        <f>IFERROR(VLOOKUP(A410,'ECN-ECO_DATA'!B:G,4,FALSE),"")</f>
        <v/>
      </c>
      <c r="C410" s="9" t="str">
        <f>IFERROR(VLOOKUP(A410,'ECN-ECO_DATA'!B:G,5,FALSE),"")</f>
        <v/>
      </c>
      <c r="D410" s="9" t="str">
        <f ca="1">IFERROR((IF(VLOOKUP(A410,'ECN-ECO_DATA'!B:G,6,FALSE)=0/1/1900,TODAY(),VLOOKUP(A410,'ECN-ECO_DATA'!B:G,6,FALSE))),"")</f>
        <v/>
      </c>
      <c r="E410" s="9" t="str">
        <f>IFERROR((IF(VLOOKUP(A410,'ECN-ECO_DATA'!B:G,6,FALSE)=0/1/1900,"",VLOOKUP(A410,'ECN-ECO_DATA'!B:G,6,FALSE))),"")</f>
        <v/>
      </c>
      <c r="F410" s="9" t="str">
        <f>IFERROR((IF(VLOOKUP(A410,'ECN-ECO_DATA'!B:J,7,FALSE)=0/1/1900,"",VLOOKUP(A410,'ECN-ECO_DATA'!B:J,7,FALSE))),"")</f>
        <v/>
      </c>
      <c r="G410" s="9" t="str">
        <f>IFERROR((IF(VLOOKUP(A410,'ECN-ECO_DATA'!B:J,8,FALSE)=0/1/1900,"",VLOOKUP(A410,'ECN-ECO_DATA'!B:J,8,FALSE))),"")</f>
        <v/>
      </c>
      <c r="H410" s="9" t="str">
        <f>IFERROR((IF(VLOOKUP(A410,'ECN-ECO_DATA'!B:J,9,FALSE)=0/1/1900,"",VLOOKUP(A410,'ECN-ECO_DATA'!B:J,9,FALSE))),"")</f>
        <v/>
      </c>
      <c r="I410" s="10" t="str">
        <f>IFERROR((IF(VLOOKUP(A410,'ECN-ECO_DATA'!B:Q,13,FALSE)="","",VLOOKUP(A410,'ECN-ECO_DATA'!B:Q,13,FALSE))),"")</f>
        <v/>
      </c>
      <c r="J410" s="10" t="str">
        <f>IFERROR((IF(VLOOKUP(A410,'ECN-ECO_DATA'!B:Q,14,FALSE)="","",VLOOKUP(A410,'ECN-ECO_DATA'!B:Q,14,FALSE))),"")</f>
        <v/>
      </c>
      <c r="K410" s="10" t="str">
        <f>IFERROR((IF(VLOOKUP(A410,'ECN-ECO_DATA'!B:Q,15,FALSE)="","",VLOOKUP(A410,'ECN-ECO_DATA'!B:Q,15,FALSE))),"")</f>
        <v/>
      </c>
      <c r="L410" s="10" t="str">
        <f>IFERROR((IF(VLOOKUP(A410,'ECN-ECO_DATA'!B:Q,16,FALSE)="","",VLOOKUP(A410,'ECN-ECO_DATA'!B:Q,16,FALSE))),"")</f>
        <v/>
      </c>
      <c r="M410" s="9" t="str">
        <f>IFERROR((IF(VLOOKUP(A410,'ECN-ECO_DATA'!B:V,18,FALSE)=0/1/1900,"",VLOOKUP(A410,'ECN-ECO_DATA'!B:V,18,FALSE))),"")</f>
        <v/>
      </c>
      <c r="N410" s="9" t="str">
        <f>IFERROR((IF(VLOOKUP(A410,'ECN-ECO_DATA'!B:V,19,FALSE)=0/1/1900,"",VLOOKUP(A410,'ECN-ECO_DATA'!B:V,19,FALSE))),"")</f>
        <v/>
      </c>
      <c r="O410" s="9" t="str">
        <f>IFERROR((IF(VLOOKUP(A410,'ECN-ECO_DATA'!B:V,20,FALSE)=0/1/1900,"",VLOOKUP(A410,'ECN-ECO_DATA'!B:V,20,FALSE))),"")</f>
        <v/>
      </c>
      <c r="P410" s="9" t="str">
        <f>IFERROR((IF(VLOOKUP(A410,'ECN-ECO_DATA'!B:V,21,FALSE)=0/1/1900,"",VLOOKUP(A410,'ECN-ECO_DATA'!B:V,21,FALSE))),"")</f>
        <v/>
      </c>
      <c r="Q410" s="10" t="str">
        <f t="shared" ca="1" si="30"/>
        <v/>
      </c>
      <c r="R410" s="4" t="str">
        <f t="shared" si="31"/>
        <v/>
      </c>
      <c r="S410" s="4" t="str">
        <f t="shared" si="32"/>
        <v/>
      </c>
      <c r="T410" s="4" t="str">
        <f t="shared" si="33"/>
        <v/>
      </c>
      <c r="U410" s="10" t="str">
        <f t="shared" si="34"/>
        <v/>
      </c>
      <c r="V410" s="4"/>
    </row>
    <row r="411" spans="2:22" x14ac:dyDescent="0.25">
      <c r="B411" s="4" t="str">
        <f>IFERROR(VLOOKUP(A411,'ECN-ECO_DATA'!B:G,4,FALSE),"")</f>
        <v/>
      </c>
      <c r="C411" s="9" t="str">
        <f>IFERROR(VLOOKUP(A411,'ECN-ECO_DATA'!B:G,5,FALSE),"")</f>
        <v/>
      </c>
      <c r="D411" s="9" t="str">
        <f ca="1">IFERROR((IF(VLOOKUP(A411,'ECN-ECO_DATA'!B:G,6,FALSE)=0/1/1900,TODAY(),VLOOKUP(A411,'ECN-ECO_DATA'!B:G,6,FALSE))),"")</f>
        <v/>
      </c>
      <c r="E411" s="9" t="str">
        <f>IFERROR((IF(VLOOKUP(A411,'ECN-ECO_DATA'!B:G,6,FALSE)=0/1/1900,"",VLOOKUP(A411,'ECN-ECO_DATA'!B:G,6,FALSE))),"")</f>
        <v/>
      </c>
      <c r="F411" s="9" t="str">
        <f>IFERROR((IF(VLOOKUP(A411,'ECN-ECO_DATA'!B:J,7,FALSE)=0/1/1900,"",VLOOKUP(A411,'ECN-ECO_DATA'!B:J,7,FALSE))),"")</f>
        <v/>
      </c>
      <c r="G411" s="9" t="str">
        <f>IFERROR((IF(VLOOKUP(A411,'ECN-ECO_DATA'!B:J,8,FALSE)=0/1/1900,"",VLOOKUP(A411,'ECN-ECO_DATA'!B:J,8,FALSE))),"")</f>
        <v/>
      </c>
      <c r="H411" s="9" t="str">
        <f>IFERROR((IF(VLOOKUP(A411,'ECN-ECO_DATA'!B:J,9,FALSE)=0/1/1900,"",VLOOKUP(A411,'ECN-ECO_DATA'!B:J,9,FALSE))),"")</f>
        <v/>
      </c>
      <c r="I411" s="10" t="str">
        <f>IFERROR((IF(VLOOKUP(A411,'ECN-ECO_DATA'!B:Q,13,FALSE)="","",VLOOKUP(A411,'ECN-ECO_DATA'!B:Q,13,FALSE))),"")</f>
        <v/>
      </c>
      <c r="J411" s="10" t="str">
        <f>IFERROR((IF(VLOOKUP(A411,'ECN-ECO_DATA'!B:Q,14,FALSE)="","",VLOOKUP(A411,'ECN-ECO_DATA'!B:Q,14,FALSE))),"")</f>
        <v/>
      </c>
      <c r="K411" s="10" t="str">
        <f>IFERROR((IF(VLOOKUP(A411,'ECN-ECO_DATA'!B:Q,15,FALSE)="","",VLOOKUP(A411,'ECN-ECO_DATA'!B:Q,15,FALSE))),"")</f>
        <v/>
      </c>
      <c r="L411" s="10" t="str">
        <f>IFERROR((IF(VLOOKUP(A411,'ECN-ECO_DATA'!B:Q,16,FALSE)="","",VLOOKUP(A411,'ECN-ECO_DATA'!B:Q,16,FALSE))),"")</f>
        <v/>
      </c>
      <c r="M411" s="9" t="str">
        <f>IFERROR((IF(VLOOKUP(A411,'ECN-ECO_DATA'!B:V,18,FALSE)=0/1/1900,"",VLOOKUP(A411,'ECN-ECO_DATA'!B:V,18,FALSE))),"")</f>
        <v/>
      </c>
      <c r="N411" s="9" t="str">
        <f>IFERROR((IF(VLOOKUP(A411,'ECN-ECO_DATA'!B:V,19,FALSE)=0/1/1900,"",VLOOKUP(A411,'ECN-ECO_DATA'!B:V,19,FALSE))),"")</f>
        <v/>
      </c>
      <c r="O411" s="9" t="str">
        <f>IFERROR((IF(VLOOKUP(A411,'ECN-ECO_DATA'!B:V,20,FALSE)=0/1/1900,"",VLOOKUP(A411,'ECN-ECO_DATA'!B:V,20,FALSE))),"")</f>
        <v/>
      </c>
      <c r="P411" s="9" t="str">
        <f>IFERROR((IF(VLOOKUP(A411,'ECN-ECO_DATA'!B:V,21,FALSE)=0/1/1900,"",VLOOKUP(A411,'ECN-ECO_DATA'!B:V,21,FALSE))),"")</f>
        <v/>
      </c>
      <c r="Q411" s="10" t="str">
        <f t="shared" ca="1" si="30"/>
        <v/>
      </c>
      <c r="R411" s="4" t="str">
        <f t="shared" si="31"/>
        <v/>
      </c>
      <c r="S411" s="4" t="str">
        <f t="shared" si="32"/>
        <v/>
      </c>
      <c r="T411" s="4" t="str">
        <f t="shared" si="33"/>
        <v/>
      </c>
      <c r="U411" s="10" t="str">
        <f t="shared" si="34"/>
        <v/>
      </c>
      <c r="V411" s="4"/>
    </row>
    <row r="412" spans="2:22" x14ac:dyDescent="0.25">
      <c r="B412" s="4" t="str">
        <f>IFERROR(VLOOKUP(A412,'ECN-ECO_DATA'!B:G,4,FALSE),"")</f>
        <v/>
      </c>
      <c r="C412" s="9" t="str">
        <f>IFERROR(VLOOKUP(A412,'ECN-ECO_DATA'!B:G,5,FALSE),"")</f>
        <v/>
      </c>
      <c r="D412" s="9" t="str">
        <f ca="1">IFERROR((IF(VLOOKUP(A412,'ECN-ECO_DATA'!B:G,6,FALSE)=0/1/1900,TODAY(),VLOOKUP(A412,'ECN-ECO_DATA'!B:G,6,FALSE))),"")</f>
        <v/>
      </c>
      <c r="E412" s="9" t="str">
        <f>IFERROR((IF(VLOOKUP(A412,'ECN-ECO_DATA'!B:G,6,FALSE)=0/1/1900,"",VLOOKUP(A412,'ECN-ECO_DATA'!B:G,6,FALSE))),"")</f>
        <v/>
      </c>
      <c r="F412" s="9" t="str">
        <f>IFERROR((IF(VLOOKUP(A412,'ECN-ECO_DATA'!B:J,7,FALSE)=0/1/1900,"",VLOOKUP(A412,'ECN-ECO_DATA'!B:J,7,FALSE))),"")</f>
        <v/>
      </c>
      <c r="G412" s="9" t="str">
        <f>IFERROR((IF(VLOOKUP(A412,'ECN-ECO_DATA'!B:J,8,FALSE)=0/1/1900,"",VLOOKUP(A412,'ECN-ECO_DATA'!B:J,8,FALSE))),"")</f>
        <v/>
      </c>
      <c r="H412" s="9" t="str">
        <f>IFERROR((IF(VLOOKUP(A412,'ECN-ECO_DATA'!B:J,9,FALSE)=0/1/1900,"",VLOOKUP(A412,'ECN-ECO_DATA'!B:J,9,FALSE))),"")</f>
        <v/>
      </c>
      <c r="I412" s="10" t="str">
        <f>IFERROR((IF(VLOOKUP(A412,'ECN-ECO_DATA'!B:Q,13,FALSE)="","",VLOOKUP(A412,'ECN-ECO_DATA'!B:Q,13,FALSE))),"")</f>
        <v/>
      </c>
      <c r="J412" s="10" t="str">
        <f>IFERROR((IF(VLOOKUP(A412,'ECN-ECO_DATA'!B:Q,14,FALSE)="","",VLOOKUP(A412,'ECN-ECO_DATA'!B:Q,14,FALSE))),"")</f>
        <v/>
      </c>
      <c r="K412" s="10" t="str">
        <f>IFERROR((IF(VLOOKUP(A412,'ECN-ECO_DATA'!B:Q,15,FALSE)="","",VLOOKUP(A412,'ECN-ECO_DATA'!B:Q,15,FALSE))),"")</f>
        <v/>
      </c>
      <c r="L412" s="10" t="str">
        <f>IFERROR((IF(VLOOKUP(A412,'ECN-ECO_DATA'!B:Q,16,FALSE)="","",VLOOKUP(A412,'ECN-ECO_DATA'!B:Q,16,FALSE))),"")</f>
        <v/>
      </c>
      <c r="M412" s="9" t="str">
        <f>IFERROR((IF(VLOOKUP(A412,'ECN-ECO_DATA'!B:V,18,FALSE)=0/1/1900,"",VLOOKUP(A412,'ECN-ECO_DATA'!B:V,18,FALSE))),"")</f>
        <v/>
      </c>
      <c r="N412" s="9" t="str">
        <f>IFERROR((IF(VLOOKUP(A412,'ECN-ECO_DATA'!B:V,19,FALSE)=0/1/1900,"",VLOOKUP(A412,'ECN-ECO_DATA'!B:V,19,FALSE))),"")</f>
        <v/>
      </c>
      <c r="O412" s="9" t="str">
        <f>IFERROR((IF(VLOOKUP(A412,'ECN-ECO_DATA'!B:V,20,FALSE)=0/1/1900,"",VLOOKUP(A412,'ECN-ECO_DATA'!B:V,20,FALSE))),"")</f>
        <v/>
      </c>
      <c r="P412" s="9" t="str">
        <f>IFERROR((IF(VLOOKUP(A412,'ECN-ECO_DATA'!B:V,21,FALSE)=0/1/1900,"",VLOOKUP(A412,'ECN-ECO_DATA'!B:V,21,FALSE))),"")</f>
        <v/>
      </c>
      <c r="Q412" s="10" t="str">
        <f t="shared" ca="1" si="30"/>
        <v/>
      </c>
      <c r="R412" s="4" t="str">
        <f t="shared" si="31"/>
        <v/>
      </c>
      <c r="S412" s="4" t="str">
        <f t="shared" si="32"/>
        <v/>
      </c>
      <c r="T412" s="4" t="str">
        <f t="shared" si="33"/>
        <v/>
      </c>
      <c r="U412" s="10" t="str">
        <f t="shared" si="34"/>
        <v/>
      </c>
      <c r="V412" s="4"/>
    </row>
    <row r="413" spans="2:22" x14ac:dyDescent="0.25">
      <c r="B413" s="4" t="str">
        <f>IFERROR(VLOOKUP(A413,'ECN-ECO_DATA'!B:G,4,FALSE),"")</f>
        <v/>
      </c>
      <c r="C413" s="9" t="str">
        <f>IFERROR(VLOOKUP(A413,'ECN-ECO_DATA'!B:G,5,FALSE),"")</f>
        <v/>
      </c>
      <c r="D413" s="9" t="str">
        <f ca="1">IFERROR((IF(VLOOKUP(A413,'ECN-ECO_DATA'!B:G,6,FALSE)=0/1/1900,TODAY(),VLOOKUP(A413,'ECN-ECO_DATA'!B:G,6,FALSE))),"")</f>
        <v/>
      </c>
      <c r="E413" s="9" t="str">
        <f>IFERROR((IF(VLOOKUP(A413,'ECN-ECO_DATA'!B:G,6,FALSE)=0/1/1900,"",VLOOKUP(A413,'ECN-ECO_DATA'!B:G,6,FALSE))),"")</f>
        <v/>
      </c>
      <c r="F413" s="9" t="str">
        <f>IFERROR((IF(VLOOKUP(A413,'ECN-ECO_DATA'!B:J,7,FALSE)=0/1/1900,"",VLOOKUP(A413,'ECN-ECO_DATA'!B:J,7,FALSE))),"")</f>
        <v/>
      </c>
      <c r="G413" s="9" t="str">
        <f>IFERROR((IF(VLOOKUP(A413,'ECN-ECO_DATA'!B:J,8,FALSE)=0/1/1900,"",VLOOKUP(A413,'ECN-ECO_DATA'!B:J,8,FALSE))),"")</f>
        <v/>
      </c>
      <c r="H413" s="9" t="str">
        <f>IFERROR((IF(VLOOKUP(A413,'ECN-ECO_DATA'!B:J,9,FALSE)=0/1/1900,"",VLOOKUP(A413,'ECN-ECO_DATA'!B:J,9,FALSE))),"")</f>
        <v/>
      </c>
      <c r="I413" s="10" t="str">
        <f>IFERROR((IF(VLOOKUP(A413,'ECN-ECO_DATA'!B:Q,13,FALSE)="","",VLOOKUP(A413,'ECN-ECO_DATA'!B:Q,13,FALSE))),"")</f>
        <v/>
      </c>
      <c r="J413" s="10" t="str">
        <f>IFERROR((IF(VLOOKUP(A413,'ECN-ECO_DATA'!B:Q,14,FALSE)="","",VLOOKUP(A413,'ECN-ECO_DATA'!B:Q,14,FALSE))),"")</f>
        <v/>
      </c>
      <c r="K413" s="10" t="str">
        <f>IFERROR((IF(VLOOKUP(A413,'ECN-ECO_DATA'!B:Q,15,FALSE)="","",VLOOKUP(A413,'ECN-ECO_DATA'!B:Q,15,FALSE))),"")</f>
        <v/>
      </c>
      <c r="L413" s="10" t="str">
        <f>IFERROR((IF(VLOOKUP(A413,'ECN-ECO_DATA'!B:Q,16,FALSE)="","",VLOOKUP(A413,'ECN-ECO_DATA'!B:Q,16,FALSE))),"")</f>
        <v/>
      </c>
      <c r="M413" s="9" t="str">
        <f>IFERROR((IF(VLOOKUP(A413,'ECN-ECO_DATA'!B:V,18,FALSE)=0/1/1900,"",VLOOKUP(A413,'ECN-ECO_DATA'!B:V,18,FALSE))),"")</f>
        <v/>
      </c>
      <c r="N413" s="9" t="str">
        <f>IFERROR((IF(VLOOKUP(A413,'ECN-ECO_DATA'!B:V,19,FALSE)=0/1/1900,"",VLOOKUP(A413,'ECN-ECO_DATA'!B:V,19,FALSE))),"")</f>
        <v/>
      </c>
      <c r="O413" s="9" t="str">
        <f>IFERROR((IF(VLOOKUP(A413,'ECN-ECO_DATA'!B:V,20,FALSE)=0/1/1900,"",VLOOKUP(A413,'ECN-ECO_DATA'!B:V,20,FALSE))),"")</f>
        <v/>
      </c>
      <c r="P413" s="9" t="str">
        <f>IFERROR((IF(VLOOKUP(A413,'ECN-ECO_DATA'!B:V,21,FALSE)=0/1/1900,"",VLOOKUP(A413,'ECN-ECO_DATA'!B:V,21,FALSE))),"")</f>
        <v/>
      </c>
      <c r="Q413" s="10" t="str">
        <f t="shared" ca="1" si="30"/>
        <v/>
      </c>
      <c r="R413" s="4" t="str">
        <f t="shared" si="31"/>
        <v/>
      </c>
      <c r="S413" s="4" t="str">
        <f t="shared" si="32"/>
        <v/>
      </c>
      <c r="T413" s="4" t="str">
        <f t="shared" si="33"/>
        <v/>
      </c>
      <c r="U413" s="10" t="str">
        <f t="shared" si="34"/>
        <v/>
      </c>
      <c r="V413" s="4"/>
    </row>
    <row r="414" spans="2:22" x14ac:dyDescent="0.25">
      <c r="B414" s="4" t="str">
        <f>IFERROR(VLOOKUP(A414,'ECN-ECO_DATA'!B:G,4,FALSE),"")</f>
        <v/>
      </c>
      <c r="C414" s="9" t="str">
        <f>IFERROR(VLOOKUP(A414,'ECN-ECO_DATA'!B:G,5,FALSE),"")</f>
        <v/>
      </c>
      <c r="D414" s="9" t="str">
        <f ca="1">IFERROR((IF(VLOOKUP(A414,'ECN-ECO_DATA'!B:G,6,FALSE)=0/1/1900,TODAY(),VLOOKUP(A414,'ECN-ECO_DATA'!B:G,6,FALSE))),"")</f>
        <v/>
      </c>
      <c r="E414" s="9" t="str">
        <f>IFERROR((IF(VLOOKUP(A414,'ECN-ECO_DATA'!B:G,6,FALSE)=0/1/1900,"",VLOOKUP(A414,'ECN-ECO_DATA'!B:G,6,FALSE))),"")</f>
        <v/>
      </c>
      <c r="F414" s="9" t="str">
        <f>IFERROR((IF(VLOOKUP(A414,'ECN-ECO_DATA'!B:J,7,FALSE)=0/1/1900,"",VLOOKUP(A414,'ECN-ECO_DATA'!B:J,7,FALSE))),"")</f>
        <v/>
      </c>
      <c r="G414" s="9" t="str">
        <f>IFERROR((IF(VLOOKUP(A414,'ECN-ECO_DATA'!B:J,8,FALSE)=0/1/1900,"",VLOOKUP(A414,'ECN-ECO_DATA'!B:J,8,FALSE))),"")</f>
        <v/>
      </c>
      <c r="H414" s="9" t="str">
        <f>IFERROR((IF(VLOOKUP(A414,'ECN-ECO_DATA'!B:J,9,FALSE)=0/1/1900,"",VLOOKUP(A414,'ECN-ECO_DATA'!B:J,9,FALSE))),"")</f>
        <v/>
      </c>
      <c r="I414" s="10" t="str">
        <f>IFERROR((IF(VLOOKUP(A414,'ECN-ECO_DATA'!B:Q,13,FALSE)="","",VLOOKUP(A414,'ECN-ECO_DATA'!B:Q,13,FALSE))),"")</f>
        <v/>
      </c>
      <c r="J414" s="10" t="str">
        <f>IFERROR((IF(VLOOKUP(A414,'ECN-ECO_DATA'!B:Q,14,FALSE)="","",VLOOKUP(A414,'ECN-ECO_DATA'!B:Q,14,FALSE))),"")</f>
        <v/>
      </c>
      <c r="K414" s="10" t="str">
        <f>IFERROR((IF(VLOOKUP(A414,'ECN-ECO_DATA'!B:Q,15,FALSE)="","",VLOOKUP(A414,'ECN-ECO_DATA'!B:Q,15,FALSE))),"")</f>
        <v/>
      </c>
      <c r="L414" s="10" t="str">
        <f>IFERROR((IF(VLOOKUP(A414,'ECN-ECO_DATA'!B:Q,16,FALSE)="","",VLOOKUP(A414,'ECN-ECO_DATA'!B:Q,16,FALSE))),"")</f>
        <v/>
      </c>
      <c r="M414" s="9" t="str">
        <f>IFERROR((IF(VLOOKUP(A414,'ECN-ECO_DATA'!B:V,18,FALSE)=0/1/1900,"",VLOOKUP(A414,'ECN-ECO_DATA'!B:V,18,FALSE))),"")</f>
        <v/>
      </c>
      <c r="N414" s="9" t="str">
        <f>IFERROR((IF(VLOOKUP(A414,'ECN-ECO_DATA'!B:V,19,FALSE)=0/1/1900,"",VLOOKUP(A414,'ECN-ECO_DATA'!B:V,19,FALSE))),"")</f>
        <v/>
      </c>
      <c r="O414" s="9" t="str">
        <f>IFERROR((IF(VLOOKUP(A414,'ECN-ECO_DATA'!B:V,20,FALSE)=0/1/1900,"",VLOOKUP(A414,'ECN-ECO_DATA'!B:V,20,FALSE))),"")</f>
        <v/>
      </c>
      <c r="P414" s="9" t="str">
        <f>IFERROR((IF(VLOOKUP(A414,'ECN-ECO_DATA'!B:V,21,FALSE)=0/1/1900,"",VLOOKUP(A414,'ECN-ECO_DATA'!B:V,21,FALSE))),"")</f>
        <v/>
      </c>
      <c r="Q414" s="10" t="str">
        <f t="shared" ca="1" si="30"/>
        <v/>
      </c>
      <c r="R414" s="4" t="str">
        <f t="shared" si="31"/>
        <v/>
      </c>
      <c r="S414" s="4" t="str">
        <f t="shared" si="32"/>
        <v/>
      </c>
      <c r="T414" s="4" t="str">
        <f t="shared" si="33"/>
        <v/>
      </c>
      <c r="U414" s="10" t="str">
        <f t="shared" si="34"/>
        <v/>
      </c>
      <c r="V414" s="4"/>
    </row>
    <row r="415" spans="2:22" x14ac:dyDescent="0.25">
      <c r="B415" s="4" t="str">
        <f>IFERROR(VLOOKUP(A415,'ECN-ECO_DATA'!B:G,4,FALSE),"")</f>
        <v/>
      </c>
      <c r="C415" s="9" t="str">
        <f>IFERROR(VLOOKUP(A415,'ECN-ECO_DATA'!B:G,5,FALSE),"")</f>
        <v/>
      </c>
      <c r="D415" s="9" t="str">
        <f ca="1">IFERROR((IF(VLOOKUP(A415,'ECN-ECO_DATA'!B:G,6,FALSE)=0/1/1900,TODAY(),VLOOKUP(A415,'ECN-ECO_DATA'!B:G,6,FALSE))),"")</f>
        <v/>
      </c>
      <c r="E415" s="9" t="str">
        <f>IFERROR((IF(VLOOKUP(A415,'ECN-ECO_DATA'!B:G,6,FALSE)=0/1/1900,"",VLOOKUP(A415,'ECN-ECO_DATA'!B:G,6,FALSE))),"")</f>
        <v/>
      </c>
      <c r="F415" s="9" t="str">
        <f>IFERROR((IF(VLOOKUP(A415,'ECN-ECO_DATA'!B:J,7,FALSE)=0/1/1900,"",VLOOKUP(A415,'ECN-ECO_DATA'!B:J,7,FALSE))),"")</f>
        <v/>
      </c>
      <c r="G415" s="9" t="str">
        <f>IFERROR((IF(VLOOKUP(A415,'ECN-ECO_DATA'!B:J,8,FALSE)=0/1/1900,"",VLOOKUP(A415,'ECN-ECO_DATA'!B:J,8,FALSE))),"")</f>
        <v/>
      </c>
      <c r="H415" s="9" t="str">
        <f>IFERROR((IF(VLOOKUP(A415,'ECN-ECO_DATA'!B:J,9,FALSE)=0/1/1900,"",VLOOKUP(A415,'ECN-ECO_DATA'!B:J,9,FALSE))),"")</f>
        <v/>
      </c>
      <c r="I415" s="10" t="str">
        <f>IFERROR((IF(VLOOKUP(A415,'ECN-ECO_DATA'!B:Q,13,FALSE)="","",VLOOKUP(A415,'ECN-ECO_DATA'!B:Q,13,FALSE))),"")</f>
        <v/>
      </c>
      <c r="J415" s="10" t="str">
        <f>IFERROR((IF(VLOOKUP(A415,'ECN-ECO_DATA'!B:Q,14,FALSE)="","",VLOOKUP(A415,'ECN-ECO_DATA'!B:Q,14,FALSE))),"")</f>
        <v/>
      </c>
      <c r="K415" s="10" t="str">
        <f>IFERROR((IF(VLOOKUP(A415,'ECN-ECO_DATA'!B:Q,15,FALSE)="","",VLOOKUP(A415,'ECN-ECO_DATA'!B:Q,15,FALSE))),"")</f>
        <v/>
      </c>
      <c r="L415" s="10" t="str">
        <f>IFERROR((IF(VLOOKUP(A415,'ECN-ECO_DATA'!B:Q,16,FALSE)="","",VLOOKUP(A415,'ECN-ECO_DATA'!B:Q,16,FALSE))),"")</f>
        <v/>
      </c>
      <c r="M415" s="9" t="str">
        <f>IFERROR((IF(VLOOKUP(A415,'ECN-ECO_DATA'!B:V,18,FALSE)=0/1/1900,"",VLOOKUP(A415,'ECN-ECO_DATA'!B:V,18,FALSE))),"")</f>
        <v/>
      </c>
      <c r="N415" s="9" t="str">
        <f>IFERROR((IF(VLOOKUP(A415,'ECN-ECO_DATA'!B:V,19,FALSE)=0/1/1900,"",VLOOKUP(A415,'ECN-ECO_DATA'!B:V,19,FALSE))),"")</f>
        <v/>
      </c>
      <c r="O415" s="9" t="str">
        <f>IFERROR((IF(VLOOKUP(A415,'ECN-ECO_DATA'!B:V,20,FALSE)=0/1/1900,"",VLOOKUP(A415,'ECN-ECO_DATA'!B:V,20,FALSE))),"")</f>
        <v/>
      </c>
      <c r="P415" s="9" t="str">
        <f>IFERROR((IF(VLOOKUP(A415,'ECN-ECO_DATA'!B:V,21,FALSE)=0/1/1900,"",VLOOKUP(A415,'ECN-ECO_DATA'!B:V,21,FALSE))),"")</f>
        <v/>
      </c>
      <c r="Q415" s="10" t="str">
        <f t="shared" ca="1" si="30"/>
        <v/>
      </c>
      <c r="R415" s="4" t="str">
        <f t="shared" si="31"/>
        <v/>
      </c>
      <c r="S415" s="4" t="str">
        <f t="shared" si="32"/>
        <v/>
      </c>
      <c r="T415" s="4" t="str">
        <f t="shared" si="33"/>
        <v/>
      </c>
      <c r="U415" s="10" t="str">
        <f t="shared" si="34"/>
        <v/>
      </c>
      <c r="V415" s="4"/>
    </row>
    <row r="416" spans="2:22" x14ac:dyDescent="0.25">
      <c r="B416" s="4" t="str">
        <f>IFERROR(VLOOKUP(A416,'ECN-ECO_DATA'!B:G,4,FALSE),"")</f>
        <v/>
      </c>
      <c r="C416" s="9" t="str">
        <f>IFERROR(VLOOKUP(A416,'ECN-ECO_DATA'!B:G,5,FALSE),"")</f>
        <v/>
      </c>
      <c r="D416" s="9" t="str">
        <f ca="1">IFERROR((IF(VLOOKUP(A416,'ECN-ECO_DATA'!B:G,6,FALSE)=0/1/1900,TODAY(),VLOOKUP(A416,'ECN-ECO_DATA'!B:G,6,FALSE))),"")</f>
        <v/>
      </c>
      <c r="E416" s="9" t="str">
        <f>IFERROR((IF(VLOOKUP(A416,'ECN-ECO_DATA'!B:G,6,FALSE)=0/1/1900,"",VLOOKUP(A416,'ECN-ECO_DATA'!B:G,6,FALSE))),"")</f>
        <v/>
      </c>
      <c r="F416" s="9" t="str">
        <f>IFERROR((IF(VLOOKUP(A416,'ECN-ECO_DATA'!B:J,7,FALSE)=0/1/1900,"",VLOOKUP(A416,'ECN-ECO_DATA'!B:J,7,FALSE))),"")</f>
        <v/>
      </c>
      <c r="G416" s="9" t="str">
        <f>IFERROR((IF(VLOOKUP(A416,'ECN-ECO_DATA'!B:J,8,FALSE)=0/1/1900,"",VLOOKUP(A416,'ECN-ECO_DATA'!B:J,8,FALSE))),"")</f>
        <v/>
      </c>
      <c r="H416" s="9" t="str">
        <f>IFERROR((IF(VLOOKUP(A416,'ECN-ECO_DATA'!B:J,9,FALSE)=0/1/1900,"",VLOOKUP(A416,'ECN-ECO_DATA'!B:J,9,FALSE))),"")</f>
        <v/>
      </c>
      <c r="I416" s="10" t="str">
        <f>IFERROR((IF(VLOOKUP(A416,'ECN-ECO_DATA'!B:Q,13,FALSE)="","",VLOOKUP(A416,'ECN-ECO_DATA'!B:Q,13,FALSE))),"")</f>
        <v/>
      </c>
      <c r="J416" s="10" t="str">
        <f>IFERROR((IF(VLOOKUP(A416,'ECN-ECO_DATA'!B:Q,14,FALSE)="","",VLOOKUP(A416,'ECN-ECO_DATA'!B:Q,14,FALSE))),"")</f>
        <v/>
      </c>
      <c r="K416" s="10" t="str">
        <f>IFERROR((IF(VLOOKUP(A416,'ECN-ECO_DATA'!B:Q,15,FALSE)="","",VLOOKUP(A416,'ECN-ECO_DATA'!B:Q,15,FALSE))),"")</f>
        <v/>
      </c>
      <c r="L416" s="10" t="str">
        <f>IFERROR((IF(VLOOKUP(A416,'ECN-ECO_DATA'!B:Q,16,FALSE)="","",VLOOKUP(A416,'ECN-ECO_DATA'!B:Q,16,FALSE))),"")</f>
        <v/>
      </c>
      <c r="M416" s="9" t="str">
        <f>IFERROR((IF(VLOOKUP(A416,'ECN-ECO_DATA'!B:V,18,FALSE)=0/1/1900,"",VLOOKUP(A416,'ECN-ECO_DATA'!B:V,18,FALSE))),"")</f>
        <v/>
      </c>
      <c r="N416" s="9" t="str">
        <f>IFERROR((IF(VLOOKUP(A416,'ECN-ECO_DATA'!B:V,19,FALSE)=0/1/1900,"",VLOOKUP(A416,'ECN-ECO_DATA'!B:V,19,FALSE))),"")</f>
        <v/>
      </c>
      <c r="O416" s="9" t="str">
        <f>IFERROR((IF(VLOOKUP(A416,'ECN-ECO_DATA'!B:V,20,FALSE)=0/1/1900,"",VLOOKUP(A416,'ECN-ECO_DATA'!B:V,20,FALSE))),"")</f>
        <v/>
      </c>
      <c r="P416" s="9" t="str">
        <f>IFERROR((IF(VLOOKUP(A416,'ECN-ECO_DATA'!B:V,21,FALSE)=0/1/1900,"",VLOOKUP(A416,'ECN-ECO_DATA'!B:V,21,FALSE))),"")</f>
        <v/>
      </c>
      <c r="Q416" s="10" t="str">
        <f t="shared" ca="1" si="30"/>
        <v/>
      </c>
      <c r="R416" s="4" t="str">
        <f t="shared" si="31"/>
        <v/>
      </c>
      <c r="S416" s="4" t="str">
        <f t="shared" si="32"/>
        <v/>
      </c>
      <c r="T416" s="4" t="str">
        <f t="shared" si="33"/>
        <v/>
      </c>
      <c r="U416" s="10" t="str">
        <f t="shared" si="34"/>
        <v/>
      </c>
      <c r="V416" s="4"/>
    </row>
    <row r="417" spans="2:22" x14ac:dyDescent="0.25">
      <c r="B417" s="4" t="str">
        <f>IFERROR(VLOOKUP(A417,'ECN-ECO_DATA'!B:G,4,FALSE),"")</f>
        <v/>
      </c>
      <c r="C417" s="9" t="str">
        <f>IFERROR(VLOOKUP(A417,'ECN-ECO_DATA'!B:G,5,FALSE),"")</f>
        <v/>
      </c>
      <c r="D417" s="9" t="str">
        <f ca="1">IFERROR((IF(VLOOKUP(A417,'ECN-ECO_DATA'!B:G,6,FALSE)=0/1/1900,TODAY(),VLOOKUP(A417,'ECN-ECO_DATA'!B:G,6,FALSE))),"")</f>
        <v/>
      </c>
      <c r="E417" s="9" t="str">
        <f>IFERROR((IF(VLOOKUP(A417,'ECN-ECO_DATA'!B:G,6,FALSE)=0/1/1900,"",VLOOKUP(A417,'ECN-ECO_DATA'!B:G,6,FALSE))),"")</f>
        <v/>
      </c>
      <c r="F417" s="9" t="str">
        <f>IFERROR((IF(VLOOKUP(A417,'ECN-ECO_DATA'!B:J,7,FALSE)=0/1/1900,"",VLOOKUP(A417,'ECN-ECO_DATA'!B:J,7,FALSE))),"")</f>
        <v/>
      </c>
      <c r="G417" s="9" t="str">
        <f>IFERROR((IF(VLOOKUP(A417,'ECN-ECO_DATA'!B:J,8,FALSE)=0/1/1900,"",VLOOKUP(A417,'ECN-ECO_DATA'!B:J,8,FALSE))),"")</f>
        <v/>
      </c>
      <c r="H417" s="9" t="str">
        <f>IFERROR((IF(VLOOKUP(A417,'ECN-ECO_DATA'!B:J,9,FALSE)=0/1/1900,"",VLOOKUP(A417,'ECN-ECO_DATA'!B:J,9,FALSE))),"")</f>
        <v/>
      </c>
      <c r="I417" s="10" t="str">
        <f>IFERROR((IF(VLOOKUP(A417,'ECN-ECO_DATA'!B:Q,13,FALSE)="","",VLOOKUP(A417,'ECN-ECO_DATA'!B:Q,13,FALSE))),"")</f>
        <v/>
      </c>
      <c r="J417" s="10" t="str">
        <f>IFERROR((IF(VLOOKUP(A417,'ECN-ECO_DATA'!B:Q,14,FALSE)="","",VLOOKUP(A417,'ECN-ECO_DATA'!B:Q,14,FALSE))),"")</f>
        <v/>
      </c>
      <c r="K417" s="10" t="str">
        <f>IFERROR((IF(VLOOKUP(A417,'ECN-ECO_DATA'!B:Q,15,FALSE)="","",VLOOKUP(A417,'ECN-ECO_DATA'!B:Q,15,FALSE))),"")</f>
        <v/>
      </c>
      <c r="L417" s="10" t="str">
        <f>IFERROR((IF(VLOOKUP(A417,'ECN-ECO_DATA'!B:Q,16,FALSE)="","",VLOOKUP(A417,'ECN-ECO_DATA'!B:Q,16,FALSE))),"")</f>
        <v/>
      </c>
      <c r="M417" s="9" t="str">
        <f>IFERROR((IF(VLOOKUP(A417,'ECN-ECO_DATA'!B:V,18,FALSE)=0/1/1900,"",VLOOKUP(A417,'ECN-ECO_DATA'!B:V,18,FALSE))),"")</f>
        <v/>
      </c>
      <c r="N417" s="9" t="str">
        <f>IFERROR((IF(VLOOKUP(A417,'ECN-ECO_DATA'!B:V,19,FALSE)=0/1/1900,"",VLOOKUP(A417,'ECN-ECO_DATA'!B:V,19,FALSE))),"")</f>
        <v/>
      </c>
      <c r="O417" s="9" t="str">
        <f>IFERROR((IF(VLOOKUP(A417,'ECN-ECO_DATA'!B:V,20,FALSE)=0/1/1900,"",VLOOKUP(A417,'ECN-ECO_DATA'!B:V,20,FALSE))),"")</f>
        <v/>
      </c>
      <c r="P417" s="9" t="str">
        <f>IFERROR((IF(VLOOKUP(A417,'ECN-ECO_DATA'!B:V,21,FALSE)=0/1/1900,"",VLOOKUP(A417,'ECN-ECO_DATA'!B:V,21,FALSE))),"")</f>
        <v/>
      </c>
      <c r="Q417" s="10" t="str">
        <f t="shared" ca="1" si="30"/>
        <v/>
      </c>
      <c r="R417" s="4" t="str">
        <f t="shared" si="31"/>
        <v/>
      </c>
      <c r="S417" s="4" t="str">
        <f t="shared" si="32"/>
        <v/>
      </c>
      <c r="T417" s="4" t="str">
        <f t="shared" si="33"/>
        <v/>
      </c>
      <c r="U417" s="10" t="str">
        <f t="shared" si="34"/>
        <v/>
      </c>
      <c r="V417" s="4"/>
    </row>
    <row r="418" spans="2:22" x14ac:dyDescent="0.25">
      <c r="B418" s="4" t="str">
        <f>IFERROR(VLOOKUP(A418,'ECN-ECO_DATA'!B:G,4,FALSE),"")</f>
        <v/>
      </c>
      <c r="C418" s="9" t="str">
        <f>IFERROR(VLOOKUP(A418,'ECN-ECO_DATA'!B:G,5,FALSE),"")</f>
        <v/>
      </c>
      <c r="D418" s="9" t="str">
        <f ca="1">IFERROR((IF(VLOOKUP(A418,'ECN-ECO_DATA'!B:G,6,FALSE)=0/1/1900,TODAY(),VLOOKUP(A418,'ECN-ECO_DATA'!B:G,6,FALSE))),"")</f>
        <v/>
      </c>
      <c r="E418" s="9" t="str">
        <f>IFERROR((IF(VLOOKUP(A418,'ECN-ECO_DATA'!B:G,6,FALSE)=0/1/1900,"",VLOOKUP(A418,'ECN-ECO_DATA'!B:G,6,FALSE))),"")</f>
        <v/>
      </c>
      <c r="F418" s="9" t="str">
        <f>IFERROR((IF(VLOOKUP(A418,'ECN-ECO_DATA'!B:J,7,FALSE)=0/1/1900,"",VLOOKUP(A418,'ECN-ECO_DATA'!B:J,7,FALSE))),"")</f>
        <v/>
      </c>
      <c r="G418" s="9" t="str">
        <f>IFERROR((IF(VLOOKUP(A418,'ECN-ECO_DATA'!B:J,8,FALSE)=0/1/1900,"",VLOOKUP(A418,'ECN-ECO_DATA'!B:J,8,FALSE))),"")</f>
        <v/>
      </c>
      <c r="H418" s="9" t="str">
        <f>IFERROR((IF(VLOOKUP(A418,'ECN-ECO_DATA'!B:J,9,FALSE)=0/1/1900,"",VLOOKUP(A418,'ECN-ECO_DATA'!B:J,9,FALSE))),"")</f>
        <v/>
      </c>
      <c r="I418" s="10" t="str">
        <f>IFERROR((IF(VLOOKUP(A418,'ECN-ECO_DATA'!B:Q,13,FALSE)="","",VLOOKUP(A418,'ECN-ECO_DATA'!B:Q,13,FALSE))),"")</f>
        <v/>
      </c>
      <c r="J418" s="10" t="str">
        <f>IFERROR((IF(VLOOKUP(A418,'ECN-ECO_DATA'!B:Q,14,FALSE)="","",VLOOKUP(A418,'ECN-ECO_DATA'!B:Q,14,FALSE))),"")</f>
        <v/>
      </c>
      <c r="K418" s="10" t="str">
        <f>IFERROR((IF(VLOOKUP(A418,'ECN-ECO_DATA'!B:Q,15,FALSE)="","",VLOOKUP(A418,'ECN-ECO_DATA'!B:Q,15,FALSE))),"")</f>
        <v/>
      </c>
      <c r="L418" s="10" t="str">
        <f>IFERROR((IF(VLOOKUP(A418,'ECN-ECO_DATA'!B:Q,16,FALSE)="","",VLOOKUP(A418,'ECN-ECO_DATA'!B:Q,16,FALSE))),"")</f>
        <v/>
      </c>
      <c r="M418" s="9" t="str">
        <f>IFERROR((IF(VLOOKUP(A418,'ECN-ECO_DATA'!B:V,18,FALSE)=0/1/1900,"",VLOOKUP(A418,'ECN-ECO_DATA'!B:V,18,FALSE))),"")</f>
        <v/>
      </c>
      <c r="N418" s="9" t="str">
        <f>IFERROR((IF(VLOOKUP(A418,'ECN-ECO_DATA'!B:V,19,FALSE)=0/1/1900,"",VLOOKUP(A418,'ECN-ECO_DATA'!B:V,19,FALSE))),"")</f>
        <v/>
      </c>
      <c r="O418" s="9" t="str">
        <f>IFERROR((IF(VLOOKUP(A418,'ECN-ECO_DATA'!B:V,20,FALSE)=0/1/1900,"",VLOOKUP(A418,'ECN-ECO_DATA'!B:V,20,FALSE))),"")</f>
        <v/>
      </c>
      <c r="P418" s="9" t="str">
        <f>IFERROR((IF(VLOOKUP(A418,'ECN-ECO_DATA'!B:V,21,FALSE)=0/1/1900,"",VLOOKUP(A418,'ECN-ECO_DATA'!B:V,21,FALSE))),"")</f>
        <v/>
      </c>
      <c r="Q418" s="10" t="str">
        <f t="shared" ca="1" si="30"/>
        <v/>
      </c>
      <c r="R418" s="4" t="str">
        <f t="shared" si="31"/>
        <v/>
      </c>
      <c r="S418" s="4" t="str">
        <f t="shared" si="32"/>
        <v/>
      </c>
      <c r="T418" s="4" t="str">
        <f t="shared" si="33"/>
        <v/>
      </c>
      <c r="U418" s="10" t="str">
        <f t="shared" si="34"/>
        <v/>
      </c>
      <c r="V418" s="4"/>
    </row>
    <row r="419" spans="2:22" x14ac:dyDescent="0.25">
      <c r="B419" s="4" t="str">
        <f>IFERROR(VLOOKUP(A419,'ECN-ECO_DATA'!B:G,4,FALSE),"")</f>
        <v/>
      </c>
      <c r="C419" s="9" t="str">
        <f>IFERROR(VLOOKUP(A419,'ECN-ECO_DATA'!B:G,5,FALSE),"")</f>
        <v/>
      </c>
      <c r="D419" s="9" t="str">
        <f ca="1">IFERROR((IF(VLOOKUP(A419,'ECN-ECO_DATA'!B:G,6,FALSE)=0/1/1900,TODAY(),VLOOKUP(A419,'ECN-ECO_DATA'!B:G,6,FALSE))),"")</f>
        <v/>
      </c>
      <c r="E419" s="9" t="str">
        <f>IFERROR((IF(VLOOKUP(A419,'ECN-ECO_DATA'!B:G,6,FALSE)=0/1/1900,"",VLOOKUP(A419,'ECN-ECO_DATA'!B:G,6,FALSE))),"")</f>
        <v/>
      </c>
      <c r="F419" s="9" t="str">
        <f>IFERROR((IF(VLOOKUP(A419,'ECN-ECO_DATA'!B:J,7,FALSE)=0/1/1900,"",VLOOKUP(A419,'ECN-ECO_DATA'!B:J,7,FALSE))),"")</f>
        <v/>
      </c>
      <c r="G419" s="9" t="str">
        <f>IFERROR((IF(VLOOKUP(A419,'ECN-ECO_DATA'!B:J,8,FALSE)=0/1/1900,"",VLOOKUP(A419,'ECN-ECO_DATA'!B:J,8,FALSE))),"")</f>
        <v/>
      </c>
      <c r="H419" s="9" t="str">
        <f>IFERROR((IF(VLOOKUP(A419,'ECN-ECO_DATA'!B:J,9,FALSE)=0/1/1900,"",VLOOKUP(A419,'ECN-ECO_DATA'!B:J,9,FALSE))),"")</f>
        <v/>
      </c>
      <c r="I419" s="10" t="str">
        <f>IFERROR((IF(VLOOKUP(A419,'ECN-ECO_DATA'!B:Q,13,FALSE)="","",VLOOKUP(A419,'ECN-ECO_DATA'!B:Q,13,FALSE))),"")</f>
        <v/>
      </c>
      <c r="J419" s="10" t="str">
        <f>IFERROR((IF(VLOOKUP(A419,'ECN-ECO_DATA'!B:Q,14,FALSE)="","",VLOOKUP(A419,'ECN-ECO_DATA'!B:Q,14,FALSE))),"")</f>
        <v/>
      </c>
      <c r="K419" s="10" t="str">
        <f>IFERROR((IF(VLOOKUP(A419,'ECN-ECO_DATA'!B:Q,15,FALSE)="","",VLOOKUP(A419,'ECN-ECO_DATA'!B:Q,15,FALSE))),"")</f>
        <v/>
      </c>
      <c r="L419" s="10" t="str">
        <f>IFERROR((IF(VLOOKUP(A419,'ECN-ECO_DATA'!B:Q,16,FALSE)="","",VLOOKUP(A419,'ECN-ECO_DATA'!B:Q,16,FALSE))),"")</f>
        <v/>
      </c>
      <c r="M419" s="9" t="str">
        <f>IFERROR((IF(VLOOKUP(A419,'ECN-ECO_DATA'!B:V,18,FALSE)=0/1/1900,"",VLOOKUP(A419,'ECN-ECO_DATA'!B:V,18,FALSE))),"")</f>
        <v/>
      </c>
      <c r="N419" s="9" t="str">
        <f>IFERROR((IF(VLOOKUP(A419,'ECN-ECO_DATA'!B:V,19,FALSE)=0/1/1900,"",VLOOKUP(A419,'ECN-ECO_DATA'!B:V,19,FALSE))),"")</f>
        <v/>
      </c>
      <c r="O419" s="9" t="str">
        <f>IFERROR((IF(VLOOKUP(A419,'ECN-ECO_DATA'!B:V,20,FALSE)=0/1/1900,"",VLOOKUP(A419,'ECN-ECO_DATA'!B:V,20,FALSE))),"")</f>
        <v/>
      </c>
      <c r="P419" s="9" t="str">
        <f>IFERROR((IF(VLOOKUP(A419,'ECN-ECO_DATA'!B:V,21,FALSE)=0/1/1900,"",VLOOKUP(A419,'ECN-ECO_DATA'!B:V,21,FALSE))),"")</f>
        <v/>
      </c>
      <c r="Q419" s="10" t="str">
        <f t="shared" ca="1" si="30"/>
        <v/>
      </c>
      <c r="R419" s="4" t="str">
        <f t="shared" si="31"/>
        <v/>
      </c>
      <c r="S419" s="4" t="str">
        <f t="shared" si="32"/>
        <v/>
      </c>
      <c r="T419" s="4" t="str">
        <f t="shared" si="33"/>
        <v/>
      </c>
      <c r="U419" s="10" t="str">
        <f t="shared" si="34"/>
        <v/>
      </c>
      <c r="V419" s="4"/>
    </row>
    <row r="420" spans="2:22" x14ac:dyDescent="0.25">
      <c r="B420" s="4" t="str">
        <f>IFERROR(VLOOKUP(A420,'ECN-ECO_DATA'!B:G,4,FALSE),"")</f>
        <v/>
      </c>
      <c r="C420" s="9" t="str">
        <f>IFERROR(VLOOKUP(A420,'ECN-ECO_DATA'!B:G,5,FALSE),"")</f>
        <v/>
      </c>
      <c r="D420" s="9" t="str">
        <f ca="1">IFERROR((IF(VLOOKUP(A420,'ECN-ECO_DATA'!B:G,6,FALSE)=0/1/1900,TODAY(),VLOOKUP(A420,'ECN-ECO_DATA'!B:G,6,FALSE))),"")</f>
        <v/>
      </c>
      <c r="E420" s="9" t="str">
        <f>IFERROR((IF(VLOOKUP(A420,'ECN-ECO_DATA'!B:G,6,FALSE)=0/1/1900,"",VLOOKUP(A420,'ECN-ECO_DATA'!B:G,6,FALSE))),"")</f>
        <v/>
      </c>
      <c r="F420" s="9" t="str">
        <f>IFERROR((IF(VLOOKUP(A420,'ECN-ECO_DATA'!B:J,7,FALSE)=0/1/1900,"",VLOOKUP(A420,'ECN-ECO_DATA'!B:J,7,FALSE))),"")</f>
        <v/>
      </c>
      <c r="G420" s="9" t="str">
        <f>IFERROR((IF(VLOOKUP(A420,'ECN-ECO_DATA'!B:J,8,FALSE)=0/1/1900,"",VLOOKUP(A420,'ECN-ECO_DATA'!B:J,8,FALSE))),"")</f>
        <v/>
      </c>
      <c r="H420" s="9" t="str">
        <f>IFERROR((IF(VLOOKUP(A420,'ECN-ECO_DATA'!B:J,9,FALSE)=0/1/1900,"",VLOOKUP(A420,'ECN-ECO_DATA'!B:J,9,FALSE))),"")</f>
        <v/>
      </c>
      <c r="I420" s="10" t="str">
        <f>IFERROR((IF(VLOOKUP(A420,'ECN-ECO_DATA'!B:Q,13,FALSE)="","",VLOOKUP(A420,'ECN-ECO_DATA'!B:Q,13,FALSE))),"")</f>
        <v/>
      </c>
      <c r="J420" s="10" t="str">
        <f>IFERROR((IF(VLOOKUP(A420,'ECN-ECO_DATA'!B:Q,14,FALSE)="","",VLOOKUP(A420,'ECN-ECO_DATA'!B:Q,14,FALSE))),"")</f>
        <v/>
      </c>
      <c r="K420" s="10" t="str">
        <f>IFERROR((IF(VLOOKUP(A420,'ECN-ECO_DATA'!B:Q,15,FALSE)="","",VLOOKUP(A420,'ECN-ECO_DATA'!B:Q,15,FALSE))),"")</f>
        <v/>
      </c>
      <c r="L420" s="10" t="str">
        <f>IFERROR((IF(VLOOKUP(A420,'ECN-ECO_DATA'!B:Q,16,FALSE)="","",VLOOKUP(A420,'ECN-ECO_DATA'!B:Q,16,FALSE))),"")</f>
        <v/>
      </c>
      <c r="M420" s="9" t="str">
        <f>IFERROR((IF(VLOOKUP(A420,'ECN-ECO_DATA'!B:V,18,FALSE)=0/1/1900,"",VLOOKUP(A420,'ECN-ECO_DATA'!B:V,18,FALSE))),"")</f>
        <v/>
      </c>
      <c r="N420" s="9" t="str">
        <f>IFERROR((IF(VLOOKUP(A420,'ECN-ECO_DATA'!B:V,19,FALSE)=0/1/1900,"",VLOOKUP(A420,'ECN-ECO_DATA'!B:V,19,FALSE))),"")</f>
        <v/>
      </c>
      <c r="O420" s="9" t="str">
        <f>IFERROR((IF(VLOOKUP(A420,'ECN-ECO_DATA'!B:V,20,FALSE)=0/1/1900,"",VLOOKUP(A420,'ECN-ECO_DATA'!B:V,20,FALSE))),"")</f>
        <v/>
      </c>
      <c r="P420" s="9" t="str">
        <f>IFERROR((IF(VLOOKUP(A420,'ECN-ECO_DATA'!B:V,21,FALSE)=0/1/1900,"",VLOOKUP(A420,'ECN-ECO_DATA'!B:V,21,FALSE))),"")</f>
        <v/>
      </c>
      <c r="Q420" s="10" t="str">
        <f t="shared" ca="1" si="30"/>
        <v/>
      </c>
      <c r="R420" s="4" t="str">
        <f t="shared" si="31"/>
        <v/>
      </c>
      <c r="S420" s="4" t="str">
        <f t="shared" si="32"/>
        <v/>
      </c>
      <c r="T420" s="4" t="str">
        <f t="shared" si="33"/>
        <v/>
      </c>
      <c r="U420" s="10" t="str">
        <f t="shared" si="34"/>
        <v/>
      </c>
      <c r="V420" s="4"/>
    </row>
    <row r="421" spans="2:22" x14ac:dyDescent="0.25">
      <c r="B421" s="4" t="str">
        <f>IFERROR(VLOOKUP(A421,'ECN-ECO_DATA'!B:G,4,FALSE),"")</f>
        <v/>
      </c>
      <c r="C421" s="9" t="str">
        <f>IFERROR(VLOOKUP(A421,'ECN-ECO_DATA'!B:G,5,FALSE),"")</f>
        <v/>
      </c>
      <c r="D421" s="9" t="str">
        <f ca="1">IFERROR((IF(VLOOKUP(A421,'ECN-ECO_DATA'!B:G,6,FALSE)=0/1/1900,TODAY(),VLOOKUP(A421,'ECN-ECO_DATA'!B:G,6,FALSE))),"")</f>
        <v/>
      </c>
      <c r="E421" s="9" t="str">
        <f>IFERROR((IF(VLOOKUP(A421,'ECN-ECO_DATA'!B:G,6,FALSE)=0/1/1900,"",VLOOKUP(A421,'ECN-ECO_DATA'!B:G,6,FALSE))),"")</f>
        <v/>
      </c>
      <c r="F421" s="9" t="str">
        <f>IFERROR((IF(VLOOKUP(A421,'ECN-ECO_DATA'!B:J,7,FALSE)=0/1/1900,"",VLOOKUP(A421,'ECN-ECO_DATA'!B:J,7,FALSE))),"")</f>
        <v/>
      </c>
      <c r="G421" s="9" t="str">
        <f>IFERROR((IF(VLOOKUP(A421,'ECN-ECO_DATA'!B:J,8,FALSE)=0/1/1900,"",VLOOKUP(A421,'ECN-ECO_DATA'!B:J,8,FALSE))),"")</f>
        <v/>
      </c>
      <c r="H421" s="9" t="str">
        <f>IFERROR((IF(VLOOKUP(A421,'ECN-ECO_DATA'!B:J,9,FALSE)=0/1/1900,"",VLOOKUP(A421,'ECN-ECO_DATA'!B:J,9,FALSE))),"")</f>
        <v/>
      </c>
      <c r="I421" s="10" t="str">
        <f>IFERROR((IF(VLOOKUP(A421,'ECN-ECO_DATA'!B:Q,13,FALSE)="","",VLOOKUP(A421,'ECN-ECO_DATA'!B:Q,13,FALSE))),"")</f>
        <v/>
      </c>
      <c r="J421" s="10" t="str">
        <f>IFERROR((IF(VLOOKUP(A421,'ECN-ECO_DATA'!B:Q,14,FALSE)="","",VLOOKUP(A421,'ECN-ECO_DATA'!B:Q,14,FALSE))),"")</f>
        <v/>
      </c>
      <c r="K421" s="10" t="str">
        <f>IFERROR((IF(VLOOKUP(A421,'ECN-ECO_DATA'!B:Q,15,FALSE)="","",VLOOKUP(A421,'ECN-ECO_DATA'!B:Q,15,FALSE))),"")</f>
        <v/>
      </c>
      <c r="L421" s="10" t="str">
        <f>IFERROR((IF(VLOOKUP(A421,'ECN-ECO_DATA'!B:Q,16,FALSE)="","",VLOOKUP(A421,'ECN-ECO_DATA'!B:Q,16,FALSE))),"")</f>
        <v/>
      </c>
      <c r="M421" s="9" t="str">
        <f>IFERROR((IF(VLOOKUP(A421,'ECN-ECO_DATA'!B:V,18,FALSE)=0/1/1900,"",VLOOKUP(A421,'ECN-ECO_DATA'!B:V,18,FALSE))),"")</f>
        <v/>
      </c>
      <c r="N421" s="9" t="str">
        <f>IFERROR((IF(VLOOKUP(A421,'ECN-ECO_DATA'!B:V,19,FALSE)=0/1/1900,"",VLOOKUP(A421,'ECN-ECO_DATA'!B:V,19,FALSE))),"")</f>
        <v/>
      </c>
      <c r="O421" s="9" t="str">
        <f>IFERROR((IF(VLOOKUP(A421,'ECN-ECO_DATA'!B:V,20,FALSE)=0/1/1900,"",VLOOKUP(A421,'ECN-ECO_DATA'!B:V,20,FALSE))),"")</f>
        <v/>
      </c>
      <c r="P421" s="9" t="str">
        <f>IFERROR((IF(VLOOKUP(A421,'ECN-ECO_DATA'!B:V,21,FALSE)=0/1/1900,"",VLOOKUP(A421,'ECN-ECO_DATA'!B:V,21,FALSE))),"")</f>
        <v/>
      </c>
      <c r="Q421" s="10" t="str">
        <f t="shared" ca="1" si="30"/>
        <v/>
      </c>
      <c r="R421" s="4" t="str">
        <f t="shared" si="31"/>
        <v/>
      </c>
      <c r="S421" s="4" t="str">
        <f t="shared" si="32"/>
        <v/>
      </c>
      <c r="T421" s="4" t="str">
        <f t="shared" si="33"/>
        <v/>
      </c>
      <c r="U421" s="10" t="str">
        <f t="shared" si="34"/>
        <v/>
      </c>
      <c r="V421" s="4"/>
    </row>
    <row r="422" spans="2:22" x14ac:dyDescent="0.25">
      <c r="B422" s="4" t="str">
        <f>IFERROR(VLOOKUP(A422,'ECN-ECO_DATA'!B:G,4,FALSE),"")</f>
        <v/>
      </c>
      <c r="C422" s="9" t="str">
        <f>IFERROR(VLOOKUP(A422,'ECN-ECO_DATA'!B:G,5,FALSE),"")</f>
        <v/>
      </c>
      <c r="D422" s="9" t="str">
        <f ca="1">IFERROR((IF(VLOOKUP(A422,'ECN-ECO_DATA'!B:G,6,FALSE)=0/1/1900,TODAY(),VLOOKUP(A422,'ECN-ECO_DATA'!B:G,6,FALSE))),"")</f>
        <v/>
      </c>
      <c r="E422" s="9" t="str">
        <f>IFERROR((IF(VLOOKUP(A422,'ECN-ECO_DATA'!B:G,6,FALSE)=0/1/1900,"",VLOOKUP(A422,'ECN-ECO_DATA'!B:G,6,FALSE))),"")</f>
        <v/>
      </c>
      <c r="F422" s="9" t="str">
        <f>IFERROR((IF(VLOOKUP(A422,'ECN-ECO_DATA'!B:J,7,FALSE)=0/1/1900,"",VLOOKUP(A422,'ECN-ECO_DATA'!B:J,7,FALSE))),"")</f>
        <v/>
      </c>
      <c r="G422" s="9" t="str">
        <f>IFERROR((IF(VLOOKUP(A422,'ECN-ECO_DATA'!B:J,8,FALSE)=0/1/1900,"",VLOOKUP(A422,'ECN-ECO_DATA'!B:J,8,FALSE))),"")</f>
        <v/>
      </c>
      <c r="H422" s="9" t="str">
        <f>IFERROR((IF(VLOOKUP(A422,'ECN-ECO_DATA'!B:J,9,FALSE)=0/1/1900,"",VLOOKUP(A422,'ECN-ECO_DATA'!B:J,9,FALSE))),"")</f>
        <v/>
      </c>
      <c r="I422" s="10" t="str">
        <f>IFERROR((IF(VLOOKUP(A422,'ECN-ECO_DATA'!B:Q,13,FALSE)="","",VLOOKUP(A422,'ECN-ECO_DATA'!B:Q,13,FALSE))),"")</f>
        <v/>
      </c>
      <c r="J422" s="10" t="str">
        <f>IFERROR((IF(VLOOKUP(A422,'ECN-ECO_DATA'!B:Q,14,FALSE)="","",VLOOKUP(A422,'ECN-ECO_DATA'!B:Q,14,FALSE))),"")</f>
        <v/>
      </c>
      <c r="K422" s="10" t="str">
        <f>IFERROR((IF(VLOOKUP(A422,'ECN-ECO_DATA'!B:Q,15,FALSE)="","",VLOOKUP(A422,'ECN-ECO_DATA'!B:Q,15,FALSE))),"")</f>
        <v/>
      </c>
      <c r="L422" s="10" t="str">
        <f>IFERROR((IF(VLOOKUP(A422,'ECN-ECO_DATA'!B:Q,16,FALSE)="","",VLOOKUP(A422,'ECN-ECO_DATA'!B:Q,16,FALSE))),"")</f>
        <v/>
      </c>
      <c r="M422" s="9" t="str">
        <f>IFERROR((IF(VLOOKUP(A422,'ECN-ECO_DATA'!B:V,18,FALSE)=0/1/1900,"",VLOOKUP(A422,'ECN-ECO_DATA'!B:V,18,FALSE))),"")</f>
        <v/>
      </c>
      <c r="N422" s="9" t="str">
        <f>IFERROR((IF(VLOOKUP(A422,'ECN-ECO_DATA'!B:V,19,FALSE)=0/1/1900,"",VLOOKUP(A422,'ECN-ECO_DATA'!B:V,19,FALSE))),"")</f>
        <v/>
      </c>
      <c r="O422" s="9" t="str">
        <f>IFERROR((IF(VLOOKUP(A422,'ECN-ECO_DATA'!B:V,20,FALSE)=0/1/1900,"",VLOOKUP(A422,'ECN-ECO_DATA'!B:V,20,FALSE))),"")</f>
        <v/>
      </c>
      <c r="P422" s="9" t="str">
        <f>IFERROR((IF(VLOOKUP(A422,'ECN-ECO_DATA'!B:V,21,FALSE)=0/1/1900,"",VLOOKUP(A422,'ECN-ECO_DATA'!B:V,21,FALSE))),"")</f>
        <v/>
      </c>
      <c r="Q422" s="10" t="str">
        <f t="shared" ca="1" si="30"/>
        <v/>
      </c>
      <c r="R422" s="4" t="str">
        <f t="shared" si="31"/>
        <v/>
      </c>
      <c r="S422" s="4" t="str">
        <f t="shared" si="32"/>
        <v/>
      </c>
      <c r="T422" s="4" t="str">
        <f t="shared" si="33"/>
        <v/>
      </c>
      <c r="U422" s="10" t="str">
        <f t="shared" si="34"/>
        <v/>
      </c>
      <c r="V422" s="4"/>
    </row>
    <row r="423" spans="2:22" x14ac:dyDescent="0.25">
      <c r="B423" s="4" t="str">
        <f>IFERROR(VLOOKUP(A423,'ECN-ECO_DATA'!B:G,4,FALSE),"")</f>
        <v/>
      </c>
      <c r="C423" s="9" t="str">
        <f>IFERROR(VLOOKUP(A423,'ECN-ECO_DATA'!B:G,5,FALSE),"")</f>
        <v/>
      </c>
      <c r="D423" s="9" t="str">
        <f ca="1">IFERROR((IF(VLOOKUP(A423,'ECN-ECO_DATA'!B:G,6,FALSE)=0/1/1900,TODAY(),VLOOKUP(A423,'ECN-ECO_DATA'!B:G,6,FALSE))),"")</f>
        <v/>
      </c>
      <c r="E423" s="9" t="str">
        <f>IFERROR((IF(VLOOKUP(A423,'ECN-ECO_DATA'!B:G,6,FALSE)=0/1/1900,"",VLOOKUP(A423,'ECN-ECO_DATA'!B:G,6,FALSE))),"")</f>
        <v/>
      </c>
      <c r="F423" s="9" t="str">
        <f>IFERROR((IF(VLOOKUP(A423,'ECN-ECO_DATA'!B:J,7,FALSE)=0/1/1900,"",VLOOKUP(A423,'ECN-ECO_DATA'!B:J,7,FALSE))),"")</f>
        <v/>
      </c>
      <c r="G423" s="9" t="str">
        <f>IFERROR((IF(VLOOKUP(A423,'ECN-ECO_DATA'!B:J,8,FALSE)=0/1/1900,"",VLOOKUP(A423,'ECN-ECO_DATA'!B:J,8,FALSE))),"")</f>
        <v/>
      </c>
      <c r="H423" s="9" t="str">
        <f>IFERROR((IF(VLOOKUP(A423,'ECN-ECO_DATA'!B:J,9,FALSE)=0/1/1900,"",VLOOKUP(A423,'ECN-ECO_DATA'!B:J,9,FALSE))),"")</f>
        <v/>
      </c>
      <c r="I423" s="10" t="str">
        <f>IFERROR((IF(VLOOKUP(A423,'ECN-ECO_DATA'!B:Q,13,FALSE)="","",VLOOKUP(A423,'ECN-ECO_DATA'!B:Q,13,FALSE))),"")</f>
        <v/>
      </c>
      <c r="J423" s="10" t="str">
        <f>IFERROR((IF(VLOOKUP(A423,'ECN-ECO_DATA'!B:Q,14,FALSE)="","",VLOOKUP(A423,'ECN-ECO_DATA'!B:Q,14,FALSE))),"")</f>
        <v/>
      </c>
      <c r="K423" s="10" t="str">
        <f>IFERROR((IF(VLOOKUP(A423,'ECN-ECO_DATA'!B:Q,15,FALSE)="","",VLOOKUP(A423,'ECN-ECO_DATA'!B:Q,15,FALSE))),"")</f>
        <v/>
      </c>
      <c r="L423" s="10" t="str">
        <f>IFERROR((IF(VLOOKUP(A423,'ECN-ECO_DATA'!B:Q,16,FALSE)="","",VLOOKUP(A423,'ECN-ECO_DATA'!B:Q,16,FALSE))),"")</f>
        <v/>
      </c>
      <c r="M423" s="9" t="str">
        <f>IFERROR((IF(VLOOKUP(A423,'ECN-ECO_DATA'!B:V,18,FALSE)=0/1/1900,"",VLOOKUP(A423,'ECN-ECO_DATA'!B:V,18,FALSE))),"")</f>
        <v/>
      </c>
      <c r="N423" s="9" t="str">
        <f>IFERROR((IF(VLOOKUP(A423,'ECN-ECO_DATA'!B:V,19,FALSE)=0/1/1900,"",VLOOKUP(A423,'ECN-ECO_DATA'!B:V,19,FALSE))),"")</f>
        <v/>
      </c>
      <c r="O423" s="9" t="str">
        <f>IFERROR((IF(VLOOKUP(A423,'ECN-ECO_DATA'!B:V,20,FALSE)=0/1/1900,"",VLOOKUP(A423,'ECN-ECO_DATA'!B:V,20,FALSE))),"")</f>
        <v/>
      </c>
      <c r="P423" s="9" t="str">
        <f>IFERROR((IF(VLOOKUP(A423,'ECN-ECO_DATA'!B:V,21,FALSE)=0/1/1900,"",VLOOKUP(A423,'ECN-ECO_DATA'!B:V,21,FALSE))),"")</f>
        <v/>
      </c>
      <c r="Q423" s="10" t="str">
        <f t="shared" ca="1" si="30"/>
        <v/>
      </c>
      <c r="R423" s="4" t="str">
        <f t="shared" si="31"/>
        <v/>
      </c>
      <c r="S423" s="4" t="str">
        <f t="shared" si="32"/>
        <v/>
      </c>
      <c r="T423" s="4" t="str">
        <f t="shared" si="33"/>
        <v/>
      </c>
      <c r="U423" s="10" t="str">
        <f t="shared" si="34"/>
        <v/>
      </c>
      <c r="V423" s="4"/>
    </row>
    <row r="424" spans="2:22" x14ac:dyDescent="0.25">
      <c r="B424" s="4" t="str">
        <f>IFERROR(VLOOKUP(A424,'ECN-ECO_DATA'!B:G,4,FALSE),"")</f>
        <v/>
      </c>
      <c r="C424" s="9" t="str">
        <f>IFERROR(VLOOKUP(A424,'ECN-ECO_DATA'!B:G,5,FALSE),"")</f>
        <v/>
      </c>
      <c r="D424" s="9" t="str">
        <f ca="1">IFERROR((IF(VLOOKUP(A424,'ECN-ECO_DATA'!B:G,6,FALSE)=0/1/1900,TODAY(),VLOOKUP(A424,'ECN-ECO_DATA'!B:G,6,FALSE))),"")</f>
        <v/>
      </c>
      <c r="E424" s="9" t="str">
        <f>IFERROR((IF(VLOOKUP(A424,'ECN-ECO_DATA'!B:G,6,FALSE)=0/1/1900,"",VLOOKUP(A424,'ECN-ECO_DATA'!B:G,6,FALSE))),"")</f>
        <v/>
      </c>
      <c r="F424" s="9" t="str">
        <f>IFERROR((IF(VLOOKUP(A424,'ECN-ECO_DATA'!B:J,7,FALSE)=0/1/1900,"",VLOOKUP(A424,'ECN-ECO_DATA'!B:J,7,FALSE))),"")</f>
        <v/>
      </c>
      <c r="G424" s="9" t="str">
        <f>IFERROR((IF(VLOOKUP(A424,'ECN-ECO_DATA'!B:J,8,FALSE)=0/1/1900,"",VLOOKUP(A424,'ECN-ECO_DATA'!B:J,8,FALSE))),"")</f>
        <v/>
      </c>
      <c r="H424" s="9" t="str">
        <f>IFERROR((IF(VLOOKUP(A424,'ECN-ECO_DATA'!B:J,9,FALSE)=0/1/1900,"",VLOOKUP(A424,'ECN-ECO_DATA'!B:J,9,FALSE))),"")</f>
        <v/>
      </c>
      <c r="I424" s="10" t="str">
        <f>IFERROR((IF(VLOOKUP(A424,'ECN-ECO_DATA'!B:Q,13,FALSE)="","",VLOOKUP(A424,'ECN-ECO_DATA'!B:Q,13,FALSE))),"")</f>
        <v/>
      </c>
      <c r="J424" s="10" t="str">
        <f>IFERROR((IF(VLOOKUP(A424,'ECN-ECO_DATA'!B:Q,14,FALSE)="","",VLOOKUP(A424,'ECN-ECO_DATA'!B:Q,14,FALSE))),"")</f>
        <v/>
      </c>
      <c r="K424" s="10" t="str">
        <f>IFERROR((IF(VLOOKUP(A424,'ECN-ECO_DATA'!B:Q,15,FALSE)="","",VLOOKUP(A424,'ECN-ECO_DATA'!B:Q,15,FALSE))),"")</f>
        <v/>
      </c>
      <c r="L424" s="10" t="str">
        <f>IFERROR((IF(VLOOKUP(A424,'ECN-ECO_DATA'!B:Q,16,FALSE)="","",VLOOKUP(A424,'ECN-ECO_DATA'!B:Q,16,FALSE))),"")</f>
        <v/>
      </c>
      <c r="M424" s="9" t="str">
        <f>IFERROR((IF(VLOOKUP(A424,'ECN-ECO_DATA'!B:V,18,FALSE)=0/1/1900,"",VLOOKUP(A424,'ECN-ECO_DATA'!B:V,18,FALSE))),"")</f>
        <v/>
      </c>
      <c r="N424" s="9" t="str">
        <f>IFERROR((IF(VLOOKUP(A424,'ECN-ECO_DATA'!B:V,19,FALSE)=0/1/1900,"",VLOOKUP(A424,'ECN-ECO_DATA'!B:V,19,FALSE))),"")</f>
        <v/>
      </c>
      <c r="O424" s="9" t="str">
        <f>IFERROR((IF(VLOOKUP(A424,'ECN-ECO_DATA'!B:V,20,FALSE)=0/1/1900,"",VLOOKUP(A424,'ECN-ECO_DATA'!B:V,20,FALSE))),"")</f>
        <v/>
      </c>
      <c r="P424" s="9" t="str">
        <f>IFERROR((IF(VLOOKUP(A424,'ECN-ECO_DATA'!B:V,21,FALSE)=0/1/1900,"",VLOOKUP(A424,'ECN-ECO_DATA'!B:V,21,FALSE))),"")</f>
        <v/>
      </c>
      <c r="Q424" s="10" t="str">
        <f t="shared" ca="1" si="30"/>
        <v/>
      </c>
      <c r="R424" s="4" t="str">
        <f t="shared" si="31"/>
        <v/>
      </c>
      <c r="S424" s="4" t="str">
        <f t="shared" si="32"/>
        <v/>
      </c>
      <c r="T424" s="4" t="str">
        <f t="shared" si="33"/>
        <v/>
      </c>
      <c r="U424" s="10" t="str">
        <f t="shared" si="34"/>
        <v/>
      </c>
      <c r="V424" s="4"/>
    </row>
    <row r="425" spans="2:22" x14ac:dyDescent="0.25">
      <c r="B425" s="4" t="str">
        <f>IFERROR(VLOOKUP(A425,'ECN-ECO_DATA'!B:G,4,FALSE),"")</f>
        <v/>
      </c>
      <c r="C425" s="9" t="str">
        <f>IFERROR(VLOOKUP(A425,'ECN-ECO_DATA'!B:G,5,FALSE),"")</f>
        <v/>
      </c>
      <c r="D425" s="9" t="str">
        <f ca="1">IFERROR((IF(VLOOKUP(A425,'ECN-ECO_DATA'!B:G,6,FALSE)=0/1/1900,TODAY(),VLOOKUP(A425,'ECN-ECO_DATA'!B:G,6,FALSE))),"")</f>
        <v/>
      </c>
      <c r="E425" s="9" t="str">
        <f>IFERROR((IF(VLOOKUP(A425,'ECN-ECO_DATA'!B:G,6,FALSE)=0/1/1900,"",VLOOKUP(A425,'ECN-ECO_DATA'!B:G,6,FALSE))),"")</f>
        <v/>
      </c>
      <c r="F425" s="9" t="str">
        <f>IFERROR((IF(VLOOKUP(A425,'ECN-ECO_DATA'!B:J,7,FALSE)=0/1/1900,"",VLOOKUP(A425,'ECN-ECO_DATA'!B:J,7,FALSE))),"")</f>
        <v/>
      </c>
      <c r="G425" s="9" t="str">
        <f>IFERROR((IF(VLOOKUP(A425,'ECN-ECO_DATA'!B:J,8,FALSE)=0/1/1900,"",VLOOKUP(A425,'ECN-ECO_DATA'!B:J,8,FALSE))),"")</f>
        <v/>
      </c>
      <c r="H425" s="9" t="str">
        <f>IFERROR((IF(VLOOKUP(A425,'ECN-ECO_DATA'!B:J,9,FALSE)=0/1/1900,"",VLOOKUP(A425,'ECN-ECO_DATA'!B:J,9,FALSE))),"")</f>
        <v/>
      </c>
      <c r="I425" s="10" t="str">
        <f>IFERROR((IF(VLOOKUP(A425,'ECN-ECO_DATA'!B:Q,13,FALSE)="","",VLOOKUP(A425,'ECN-ECO_DATA'!B:Q,13,FALSE))),"")</f>
        <v/>
      </c>
      <c r="J425" s="10" t="str">
        <f>IFERROR((IF(VLOOKUP(A425,'ECN-ECO_DATA'!B:Q,14,FALSE)="","",VLOOKUP(A425,'ECN-ECO_DATA'!B:Q,14,FALSE))),"")</f>
        <v/>
      </c>
      <c r="K425" s="10" t="str">
        <f>IFERROR((IF(VLOOKUP(A425,'ECN-ECO_DATA'!B:Q,15,FALSE)="","",VLOOKUP(A425,'ECN-ECO_DATA'!B:Q,15,FALSE))),"")</f>
        <v/>
      </c>
      <c r="L425" s="10" t="str">
        <f>IFERROR((IF(VLOOKUP(A425,'ECN-ECO_DATA'!B:Q,16,FALSE)="","",VLOOKUP(A425,'ECN-ECO_DATA'!B:Q,16,FALSE))),"")</f>
        <v/>
      </c>
      <c r="M425" s="9" t="str">
        <f>IFERROR((IF(VLOOKUP(A425,'ECN-ECO_DATA'!B:V,18,FALSE)=0/1/1900,"",VLOOKUP(A425,'ECN-ECO_DATA'!B:V,18,FALSE))),"")</f>
        <v/>
      </c>
      <c r="N425" s="9" t="str">
        <f>IFERROR((IF(VLOOKUP(A425,'ECN-ECO_DATA'!B:V,19,FALSE)=0/1/1900,"",VLOOKUP(A425,'ECN-ECO_DATA'!B:V,19,FALSE))),"")</f>
        <v/>
      </c>
      <c r="O425" s="9" t="str">
        <f>IFERROR((IF(VLOOKUP(A425,'ECN-ECO_DATA'!B:V,20,FALSE)=0/1/1900,"",VLOOKUP(A425,'ECN-ECO_DATA'!B:V,20,FALSE))),"")</f>
        <v/>
      </c>
      <c r="P425" s="9" t="str">
        <f>IFERROR((IF(VLOOKUP(A425,'ECN-ECO_DATA'!B:V,21,FALSE)=0/1/1900,"",VLOOKUP(A425,'ECN-ECO_DATA'!B:V,21,FALSE))),"")</f>
        <v/>
      </c>
      <c r="Q425" s="10" t="str">
        <f t="shared" ca="1" si="30"/>
        <v/>
      </c>
      <c r="R425" s="4" t="str">
        <f t="shared" si="31"/>
        <v/>
      </c>
      <c r="S425" s="4" t="str">
        <f t="shared" si="32"/>
        <v/>
      </c>
      <c r="T425" s="4" t="str">
        <f t="shared" si="33"/>
        <v/>
      </c>
      <c r="U425" s="10" t="str">
        <f t="shared" si="34"/>
        <v/>
      </c>
      <c r="V425" s="4"/>
    </row>
    <row r="426" spans="2:22" x14ac:dyDescent="0.25">
      <c r="B426" s="4" t="str">
        <f>IFERROR(VLOOKUP(A426,'ECN-ECO_DATA'!B:G,4,FALSE),"")</f>
        <v/>
      </c>
      <c r="C426" s="9" t="str">
        <f>IFERROR(VLOOKUP(A426,'ECN-ECO_DATA'!B:G,5,FALSE),"")</f>
        <v/>
      </c>
      <c r="D426" s="9" t="str">
        <f ca="1">IFERROR((IF(VLOOKUP(A426,'ECN-ECO_DATA'!B:G,6,FALSE)=0/1/1900,TODAY(),VLOOKUP(A426,'ECN-ECO_DATA'!B:G,6,FALSE))),"")</f>
        <v/>
      </c>
      <c r="E426" s="9" t="str">
        <f>IFERROR((IF(VLOOKUP(A426,'ECN-ECO_DATA'!B:G,6,FALSE)=0/1/1900,"",VLOOKUP(A426,'ECN-ECO_DATA'!B:G,6,FALSE))),"")</f>
        <v/>
      </c>
      <c r="F426" s="9" t="str">
        <f>IFERROR((IF(VLOOKUP(A426,'ECN-ECO_DATA'!B:J,7,FALSE)=0/1/1900,"",VLOOKUP(A426,'ECN-ECO_DATA'!B:J,7,FALSE))),"")</f>
        <v/>
      </c>
      <c r="G426" s="9" t="str">
        <f>IFERROR((IF(VLOOKUP(A426,'ECN-ECO_DATA'!B:J,8,FALSE)=0/1/1900,"",VLOOKUP(A426,'ECN-ECO_DATA'!B:J,8,FALSE))),"")</f>
        <v/>
      </c>
      <c r="H426" s="9" t="str">
        <f>IFERROR((IF(VLOOKUP(A426,'ECN-ECO_DATA'!B:J,9,FALSE)=0/1/1900,"",VLOOKUP(A426,'ECN-ECO_DATA'!B:J,9,FALSE))),"")</f>
        <v/>
      </c>
      <c r="I426" s="10" t="str">
        <f>IFERROR((IF(VLOOKUP(A426,'ECN-ECO_DATA'!B:Q,13,FALSE)="","",VLOOKUP(A426,'ECN-ECO_DATA'!B:Q,13,FALSE))),"")</f>
        <v/>
      </c>
      <c r="J426" s="10" t="str">
        <f>IFERROR((IF(VLOOKUP(A426,'ECN-ECO_DATA'!B:Q,14,FALSE)="","",VLOOKUP(A426,'ECN-ECO_DATA'!B:Q,14,FALSE))),"")</f>
        <v/>
      </c>
      <c r="K426" s="10" t="str">
        <f>IFERROR((IF(VLOOKUP(A426,'ECN-ECO_DATA'!B:Q,15,FALSE)="","",VLOOKUP(A426,'ECN-ECO_DATA'!B:Q,15,FALSE))),"")</f>
        <v/>
      </c>
      <c r="L426" s="10" t="str">
        <f>IFERROR((IF(VLOOKUP(A426,'ECN-ECO_DATA'!B:Q,16,FALSE)="","",VLOOKUP(A426,'ECN-ECO_DATA'!B:Q,16,FALSE))),"")</f>
        <v/>
      </c>
      <c r="M426" s="9" t="str">
        <f>IFERROR((IF(VLOOKUP(A426,'ECN-ECO_DATA'!B:V,18,FALSE)=0/1/1900,"",VLOOKUP(A426,'ECN-ECO_DATA'!B:V,18,FALSE))),"")</f>
        <v/>
      </c>
      <c r="N426" s="9" t="str">
        <f>IFERROR((IF(VLOOKUP(A426,'ECN-ECO_DATA'!B:V,19,FALSE)=0/1/1900,"",VLOOKUP(A426,'ECN-ECO_DATA'!B:V,19,FALSE))),"")</f>
        <v/>
      </c>
      <c r="O426" s="9" t="str">
        <f>IFERROR((IF(VLOOKUP(A426,'ECN-ECO_DATA'!B:V,20,FALSE)=0/1/1900,"",VLOOKUP(A426,'ECN-ECO_DATA'!B:V,20,FALSE))),"")</f>
        <v/>
      </c>
      <c r="P426" s="9" t="str">
        <f>IFERROR((IF(VLOOKUP(A426,'ECN-ECO_DATA'!B:V,21,FALSE)=0/1/1900,"",VLOOKUP(A426,'ECN-ECO_DATA'!B:V,21,FALSE))),"")</f>
        <v/>
      </c>
      <c r="Q426" s="10" t="str">
        <f t="shared" ca="1" si="30"/>
        <v/>
      </c>
      <c r="R426" s="4" t="str">
        <f t="shared" si="31"/>
        <v/>
      </c>
      <c r="S426" s="4" t="str">
        <f t="shared" si="32"/>
        <v/>
      </c>
      <c r="T426" s="4" t="str">
        <f t="shared" si="33"/>
        <v/>
      </c>
      <c r="U426" s="10" t="str">
        <f t="shared" si="34"/>
        <v/>
      </c>
      <c r="V426" s="4"/>
    </row>
    <row r="427" spans="2:22" x14ac:dyDescent="0.25">
      <c r="B427" s="4" t="str">
        <f>IFERROR(VLOOKUP(A427,'ECN-ECO_DATA'!B:G,4,FALSE),"")</f>
        <v/>
      </c>
      <c r="C427" s="9" t="str">
        <f>IFERROR(VLOOKUP(A427,'ECN-ECO_DATA'!B:G,5,FALSE),"")</f>
        <v/>
      </c>
      <c r="D427" s="9" t="str">
        <f ca="1">IFERROR((IF(VLOOKUP(A427,'ECN-ECO_DATA'!B:G,6,FALSE)=0/1/1900,TODAY(),VLOOKUP(A427,'ECN-ECO_DATA'!B:G,6,FALSE))),"")</f>
        <v/>
      </c>
      <c r="E427" s="9" t="str">
        <f>IFERROR((IF(VLOOKUP(A427,'ECN-ECO_DATA'!B:G,6,FALSE)=0/1/1900,"",VLOOKUP(A427,'ECN-ECO_DATA'!B:G,6,FALSE))),"")</f>
        <v/>
      </c>
      <c r="F427" s="9" t="str">
        <f>IFERROR((IF(VLOOKUP(A427,'ECN-ECO_DATA'!B:J,7,FALSE)=0/1/1900,"",VLOOKUP(A427,'ECN-ECO_DATA'!B:J,7,FALSE))),"")</f>
        <v/>
      </c>
      <c r="G427" s="9" t="str">
        <f>IFERROR((IF(VLOOKUP(A427,'ECN-ECO_DATA'!B:J,8,FALSE)=0/1/1900,"",VLOOKUP(A427,'ECN-ECO_DATA'!B:J,8,FALSE))),"")</f>
        <v/>
      </c>
      <c r="H427" s="9" t="str">
        <f>IFERROR((IF(VLOOKUP(A427,'ECN-ECO_DATA'!B:J,9,FALSE)=0/1/1900,"",VLOOKUP(A427,'ECN-ECO_DATA'!B:J,9,FALSE))),"")</f>
        <v/>
      </c>
      <c r="I427" s="10" t="str">
        <f>IFERROR((IF(VLOOKUP(A427,'ECN-ECO_DATA'!B:Q,13,FALSE)="","",VLOOKUP(A427,'ECN-ECO_DATA'!B:Q,13,FALSE))),"")</f>
        <v/>
      </c>
      <c r="J427" s="10" t="str">
        <f>IFERROR((IF(VLOOKUP(A427,'ECN-ECO_DATA'!B:Q,14,FALSE)="","",VLOOKUP(A427,'ECN-ECO_DATA'!B:Q,14,FALSE))),"")</f>
        <v/>
      </c>
      <c r="K427" s="10" t="str">
        <f>IFERROR((IF(VLOOKUP(A427,'ECN-ECO_DATA'!B:Q,15,FALSE)="","",VLOOKUP(A427,'ECN-ECO_DATA'!B:Q,15,FALSE))),"")</f>
        <v/>
      </c>
      <c r="L427" s="10" t="str">
        <f>IFERROR((IF(VLOOKUP(A427,'ECN-ECO_DATA'!B:Q,16,FALSE)="","",VLOOKUP(A427,'ECN-ECO_DATA'!B:Q,16,FALSE))),"")</f>
        <v/>
      </c>
      <c r="M427" s="9" t="str">
        <f>IFERROR((IF(VLOOKUP(A427,'ECN-ECO_DATA'!B:V,18,FALSE)=0/1/1900,"",VLOOKUP(A427,'ECN-ECO_DATA'!B:V,18,FALSE))),"")</f>
        <v/>
      </c>
      <c r="N427" s="9" t="str">
        <f>IFERROR((IF(VLOOKUP(A427,'ECN-ECO_DATA'!B:V,19,FALSE)=0/1/1900,"",VLOOKUP(A427,'ECN-ECO_DATA'!B:V,19,FALSE))),"")</f>
        <v/>
      </c>
      <c r="O427" s="9" t="str">
        <f>IFERROR((IF(VLOOKUP(A427,'ECN-ECO_DATA'!B:V,20,FALSE)=0/1/1900,"",VLOOKUP(A427,'ECN-ECO_DATA'!B:V,20,FALSE))),"")</f>
        <v/>
      </c>
      <c r="P427" s="9" t="str">
        <f>IFERROR((IF(VLOOKUP(A427,'ECN-ECO_DATA'!B:V,21,FALSE)=0/1/1900,"",VLOOKUP(A427,'ECN-ECO_DATA'!B:V,21,FALSE))),"")</f>
        <v/>
      </c>
      <c r="Q427" s="10" t="str">
        <f t="shared" ca="1" si="30"/>
        <v/>
      </c>
      <c r="R427" s="4" t="str">
        <f t="shared" si="31"/>
        <v/>
      </c>
      <c r="S427" s="4" t="str">
        <f t="shared" si="32"/>
        <v/>
      </c>
      <c r="T427" s="4" t="str">
        <f t="shared" si="33"/>
        <v/>
      </c>
      <c r="U427" s="10" t="str">
        <f t="shared" si="34"/>
        <v/>
      </c>
      <c r="V427" s="4"/>
    </row>
    <row r="428" spans="2:22" x14ac:dyDescent="0.25">
      <c r="B428" s="4" t="str">
        <f>IFERROR(VLOOKUP(A428,'ECN-ECO_DATA'!B:G,4,FALSE),"")</f>
        <v/>
      </c>
      <c r="C428" s="9" t="str">
        <f>IFERROR(VLOOKUP(A428,'ECN-ECO_DATA'!B:G,5,FALSE),"")</f>
        <v/>
      </c>
      <c r="D428" s="9" t="str">
        <f ca="1">IFERROR((IF(VLOOKUP(A428,'ECN-ECO_DATA'!B:G,6,FALSE)=0/1/1900,TODAY(),VLOOKUP(A428,'ECN-ECO_DATA'!B:G,6,FALSE))),"")</f>
        <v/>
      </c>
      <c r="E428" s="9" t="str">
        <f>IFERROR((IF(VLOOKUP(A428,'ECN-ECO_DATA'!B:G,6,FALSE)=0/1/1900,"",VLOOKUP(A428,'ECN-ECO_DATA'!B:G,6,FALSE))),"")</f>
        <v/>
      </c>
      <c r="F428" s="9" t="str">
        <f>IFERROR((IF(VLOOKUP(A428,'ECN-ECO_DATA'!B:J,7,FALSE)=0/1/1900,"",VLOOKUP(A428,'ECN-ECO_DATA'!B:J,7,FALSE))),"")</f>
        <v/>
      </c>
      <c r="G428" s="9" t="str">
        <f>IFERROR((IF(VLOOKUP(A428,'ECN-ECO_DATA'!B:J,8,FALSE)=0/1/1900,"",VLOOKUP(A428,'ECN-ECO_DATA'!B:J,8,FALSE))),"")</f>
        <v/>
      </c>
      <c r="H428" s="9" t="str">
        <f>IFERROR((IF(VLOOKUP(A428,'ECN-ECO_DATA'!B:J,9,FALSE)=0/1/1900,"",VLOOKUP(A428,'ECN-ECO_DATA'!B:J,9,FALSE))),"")</f>
        <v/>
      </c>
      <c r="I428" s="10" t="str">
        <f>IFERROR((IF(VLOOKUP(A428,'ECN-ECO_DATA'!B:Q,13,FALSE)="","",VLOOKUP(A428,'ECN-ECO_DATA'!B:Q,13,FALSE))),"")</f>
        <v/>
      </c>
      <c r="J428" s="10" t="str">
        <f>IFERROR((IF(VLOOKUP(A428,'ECN-ECO_DATA'!B:Q,14,FALSE)="","",VLOOKUP(A428,'ECN-ECO_DATA'!B:Q,14,FALSE))),"")</f>
        <v/>
      </c>
      <c r="K428" s="10" t="str">
        <f>IFERROR((IF(VLOOKUP(A428,'ECN-ECO_DATA'!B:Q,15,FALSE)="","",VLOOKUP(A428,'ECN-ECO_DATA'!B:Q,15,FALSE))),"")</f>
        <v/>
      </c>
      <c r="L428" s="10" t="str">
        <f>IFERROR((IF(VLOOKUP(A428,'ECN-ECO_DATA'!B:Q,16,FALSE)="","",VLOOKUP(A428,'ECN-ECO_DATA'!B:Q,16,FALSE))),"")</f>
        <v/>
      </c>
      <c r="M428" s="9" t="str">
        <f>IFERROR((IF(VLOOKUP(A428,'ECN-ECO_DATA'!B:V,18,FALSE)=0/1/1900,"",VLOOKUP(A428,'ECN-ECO_DATA'!B:V,18,FALSE))),"")</f>
        <v/>
      </c>
      <c r="N428" s="9" t="str">
        <f>IFERROR((IF(VLOOKUP(A428,'ECN-ECO_DATA'!B:V,19,FALSE)=0/1/1900,"",VLOOKUP(A428,'ECN-ECO_DATA'!B:V,19,FALSE))),"")</f>
        <v/>
      </c>
      <c r="O428" s="9" t="str">
        <f>IFERROR((IF(VLOOKUP(A428,'ECN-ECO_DATA'!B:V,20,FALSE)=0/1/1900,"",VLOOKUP(A428,'ECN-ECO_DATA'!B:V,20,FALSE))),"")</f>
        <v/>
      </c>
      <c r="P428" s="9" t="str">
        <f>IFERROR((IF(VLOOKUP(A428,'ECN-ECO_DATA'!B:V,21,FALSE)=0/1/1900,"",VLOOKUP(A428,'ECN-ECO_DATA'!B:V,21,FALSE))),"")</f>
        <v/>
      </c>
      <c r="Q428" s="10" t="str">
        <f t="shared" ca="1" si="30"/>
        <v/>
      </c>
      <c r="R428" s="4" t="str">
        <f t="shared" si="31"/>
        <v/>
      </c>
      <c r="S428" s="4" t="str">
        <f t="shared" si="32"/>
        <v/>
      </c>
      <c r="T428" s="4" t="str">
        <f t="shared" si="33"/>
        <v/>
      </c>
      <c r="U428" s="10" t="str">
        <f t="shared" si="34"/>
        <v/>
      </c>
      <c r="V428" s="4"/>
    </row>
    <row r="429" spans="2:22" x14ac:dyDescent="0.25">
      <c r="B429" s="4" t="str">
        <f>IFERROR(VLOOKUP(A429,'ECN-ECO_DATA'!B:G,4,FALSE),"")</f>
        <v/>
      </c>
      <c r="C429" s="9" t="str">
        <f>IFERROR(VLOOKUP(A429,'ECN-ECO_DATA'!B:G,5,FALSE),"")</f>
        <v/>
      </c>
      <c r="D429" s="9" t="str">
        <f ca="1">IFERROR((IF(VLOOKUP(A429,'ECN-ECO_DATA'!B:G,6,FALSE)=0/1/1900,TODAY(),VLOOKUP(A429,'ECN-ECO_DATA'!B:G,6,FALSE))),"")</f>
        <v/>
      </c>
      <c r="E429" s="9" t="str">
        <f>IFERROR((IF(VLOOKUP(A429,'ECN-ECO_DATA'!B:G,6,FALSE)=0/1/1900,"",VLOOKUP(A429,'ECN-ECO_DATA'!B:G,6,FALSE))),"")</f>
        <v/>
      </c>
      <c r="F429" s="9" t="str">
        <f>IFERROR((IF(VLOOKUP(A429,'ECN-ECO_DATA'!B:J,7,FALSE)=0/1/1900,"",VLOOKUP(A429,'ECN-ECO_DATA'!B:J,7,FALSE))),"")</f>
        <v/>
      </c>
      <c r="G429" s="9" t="str">
        <f>IFERROR((IF(VLOOKUP(A429,'ECN-ECO_DATA'!B:J,8,FALSE)=0/1/1900,"",VLOOKUP(A429,'ECN-ECO_DATA'!B:J,8,FALSE))),"")</f>
        <v/>
      </c>
      <c r="H429" s="9" t="str">
        <f>IFERROR((IF(VLOOKUP(A429,'ECN-ECO_DATA'!B:J,9,FALSE)=0/1/1900,"",VLOOKUP(A429,'ECN-ECO_DATA'!B:J,9,FALSE))),"")</f>
        <v/>
      </c>
      <c r="I429" s="10" t="str">
        <f>IFERROR((IF(VLOOKUP(A429,'ECN-ECO_DATA'!B:Q,13,FALSE)="","",VLOOKUP(A429,'ECN-ECO_DATA'!B:Q,13,FALSE))),"")</f>
        <v/>
      </c>
      <c r="J429" s="10" t="str">
        <f>IFERROR((IF(VLOOKUP(A429,'ECN-ECO_DATA'!B:Q,14,FALSE)="","",VLOOKUP(A429,'ECN-ECO_DATA'!B:Q,14,FALSE))),"")</f>
        <v/>
      </c>
      <c r="K429" s="10" t="str">
        <f>IFERROR((IF(VLOOKUP(A429,'ECN-ECO_DATA'!B:Q,15,FALSE)="","",VLOOKUP(A429,'ECN-ECO_DATA'!B:Q,15,FALSE))),"")</f>
        <v/>
      </c>
      <c r="L429" s="10" t="str">
        <f>IFERROR((IF(VLOOKUP(A429,'ECN-ECO_DATA'!B:Q,16,FALSE)="","",VLOOKUP(A429,'ECN-ECO_DATA'!B:Q,16,FALSE))),"")</f>
        <v/>
      </c>
      <c r="M429" s="9" t="str">
        <f>IFERROR((IF(VLOOKUP(A429,'ECN-ECO_DATA'!B:V,18,FALSE)=0/1/1900,"",VLOOKUP(A429,'ECN-ECO_DATA'!B:V,18,FALSE))),"")</f>
        <v/>
      </c>
      <c r="N429" s="9" t="str">
        <f>IFERROR((IF(VLOOKUP(A429,'ECN-ECO_DATA'!B:V,19,FALSE)=0/1/1900,"",VLOOKUP(A429,'ECN-ECO_DATA'!B:V,19,FALSE))),"")</f>
        <v/>
      </c>
      <c r="O429" s="9" t="str">
        <f>IFERROR((IF(VLOOKUP(A429,'ECN-ECO_DATA'!B:V,20,FALSE)=0/1/1900,"",VLOOKUP(A429,'ECN-ECO_DATA'!B:V,20,FALSE))),"")</f>
        <v/>
      </c>
      <c r="P429" s="9" t="str">
        <f>IFERROR((IF(VLOOKUP(A429,'ECN-ECO_DATA'!B:V,21,FALSE)=0/1/1900,"",VLOOKUP(A429,'ECN-ECO_DATA'!B:V,21,FALSE))),"")</f>
        <v/>
      </c>
      <c r="Q429" s="10" t="str">
        <f t="shared" ca="1" si="30"/>
        <v/>
      </c>
      <c r="R429" s="4" t="str">
        <f t="shared" si="31"/>
        <v/>
      </c>
      <c r="S429" s="4" t="str">
        <f t="shared" si="32"/>
        <v/>
      </c>
      <c r="T429" s="4" t="str">
        <f t="shared" si="33"/>
        <v/>
      </c>
      <c r="U429" s="10" t="str">
        <f t="shared" si="34"/>
        <v/>
      </c>
      <c r="V429" s="4"/>
    </row>
    <row r="430" spans="2:22" x14ac:dyDescent="0.25">
      <c r="B430" s="4" t="str">
        <f>IFERROR(VLOOKUP(A430,'ECN-ECO_DATA'!B:G,4,FALSE),"")</f>
        <v/>
      </c>
      <c r="C430" s="9" t="str">
        <f>IFERROR(VLOOKUP(A430,'ECN-ECO_DATA'!B:G,5,FALSE),"")</f>
        <v/>
      </c>
      <c r="D430" s="9" t="str">
        <f ca="1">IFERROR((IF(VLOOKUP(A430,'ECN-ECO_DATA'!B:G,6,FALSE)=0/1/1900,TODAY(),VLOOKUP(A430,'ECN-ECO_DATA'!B:G,6,FALSE))),"")</f>
        <v/>
      </c>
      <c r="E430" s="9" t="str">
        <f>IFERROR((IF(VLOOKUP(A430,'ECN-ECO_DATA'!B:G,6,FALSE)=0/1/1900,"",VLOOKUP(A430,'ECN-ECO_DATA'!B:G,6,FALSE))),"")</f>
        <v/>
      </c>
      <c r="F430" s="9" t="str">
        <f>IFERROR((IF(VLOOKUP(A430,'ECN-ECO_DATA'!B:J,7,FALSE)=0/1/1900,"",VLOOKUP(A430,'ECN-ECO_DATA'!B:J,7,FALSE))),"")</f>
        <v/>
      </c>
      <c r="G430" s="9" t="str">
        <f>IFERROR((IF(VLOOKUP(A430,'ECN-ECO_DATA'!B:J,8,FALSE)=0/1/1900,"",VLOOKUP(A430,'ECN-ECO_DATA'!B:J,8,FALSE))),"")</f>
        <v/>
      </c>
      <c r="H430" s="9" t="str">
        <f>IFERROR((IF(VLOOKUP(A430,'ECN-ECO_DATA'!B:J,9,FALSE)=0/1/1900,"",VLOOKUP(A430,'ECN-ECO_DATA'!B:J,9,FALSE))),"")</f>
        <v/>
      </c>
      <c r="I430" s="10" t="str">
        <f>IFERROR((IF(VLOOKUP(A430,'ECN-ECO_DATA'!B:Q,13,FALSE)="","",VLOOKUP(A430,'ECN-ECO_DATA'!B:Q,13,FALSE))),"")</f>
        <v/>
      </c>
      <c r="J430" s="10" t="str">
        <f>IFERROR((IF(VLOOKUP(A430,'ECN-ECO_DATA'!B:Q,14,FALSE)="","",VLOOKUP(A430,'ECN-ECO_DATA'!B:Q,14,FALSE))),"")</f>
        <v/>
      </c>
      <c r="K430" s="10" t="str">
        <f>IFERROR((IF(VLOOKUP(A430,'ECN-ECO_DATA'!B:Q,15,FALSE)="","",VLOOKUP(A430,'ECN-ECO_DATA'!B:Q,15,FALSE))),"")</f>
        <v/>
      </c>
      <c r="L430" s="10" t="str">
        <f>IFERROR((IF(VLOOKUP(A430,'ECN-ECO_DATA'!B:Q,16,FALSE)="","",VLOOKUP(A430,'ECN-ECO_DATA'!B:Q,16,FALSE))),"")</f>
        <v/>
      </c>
      <c r="M430" s="9" t="str">
        <f>IFERROR((IF(VLOOKUP(A430,'ECN-ECO_DATA'!B:V,18,FALSE)=0/1/1900,"",VLOOKUP(A430,'ECN-ECO_DATA'!B:V,18,FALSE))),"")</f>
        <v/>
      </c>
      <c r="N430" s="9" t="str">
        <f>IFERROR((IF(VLOOKUP(A430,'ECN-ECO_DATA'!B:V,19,FALSE)=0/1/1900,"",VLOOKUP(A430,'ECN-ECO_DATA'!B:V,19,FALSE))),"")</f>
        <v/>
      </c>
      <c r="O430" s="9" t="str">
        <f>IFERROR((IF(VLOOKUP(A430,'ECN-ECO_DATA'!B:V,20,FALSE)=0/1/1900,"",VLOOKUP(A430,'ECN-ECO_DATA'!B:V,20,FALSE))),"")</f>
        <v/>
      </c>
      <c r="P430" s="9" t="str">
        <f>IFERROR((IF(VLOOKUP(A430,'ECN-ECO_DATA'!B:V,21,FALSE)=0/1/1900,"",VLOOKUP(A430,'ECN-ECO_DATA'!B:V,21,FALSE))),"")</f>
        <v/>
      </c>
      <c r="Q430" s="10" t="str">
        <f t="shared" ca="1" si="30"/>
        <v/>
      </c>
      <c r="R430" s="4" t="str">
        <f t="shared" si="31"/>
        <v/>
      </c>
      <c r="S430" s="4" t="str">
        <f t="shared" si="32"/>
        <v/>
      </c>
      <c r="T430" s="4" t="str">
        <f t="shared" si="33"/>
        <v/>
      </c>
      <c r="U430" s="10" t="str">
        <f t="shared" si="34"/>
        <v/>
      </c>
      <c r="V430" s="4"/>
    </row>
    <row r="431" spans="2:22" x14ac:dyDescent="0.25">
      <c r="B431" s="4" t="str">
        <f>IFERROR(VLOOKUP(A431,'ECN-ECO_DATA'!B:G,4,FALSE),"")</f>
        <v/>
      </c>
      <c r="C431" s="9" t="str">
        <f>IFERROR(VLOOKUP(A431,'ECN-ECO_DATA'!B:G,5,FALSE),"")</f>
        <v/>
      </c>
      <c r="D431" s="9" t="str">
        <f ca="1">IFERROR((IF(VLOOKUP(A431,'ECN-ECO_DATA'!B:G,6,FALSE)=0/1/1900,TODAY(),VLOOKUP(A431,'ECN-ECO_DATA'!B:G,6,FALSE))),"")</f>
        <v/>
      </c>
      <c r="E431" s="9" t="str">
        <f>IFERROR((IF(VLOOKUP(A431,'ECN-ECO_DATA'!B:G,6,FALSE)=0/1/1900,"",VLOOKUP(A431,'ECN-ECO_DATA'!B:G,6,FALSE))),"")</f>
        <v/>
      </c>
      <c r="F431" s="9" t="str">
        <f>IFERROR((IF(VLOOKUP(A431,'ECN-ECO_DATA'!B:J,7,FALSE)=0/1/1900,"",VLOOKUP(A431,'ECN-ECO_DATA'!B:J,7,FALSE))),"")</f>
        <v/>
      </c>
      <c r="G431" s="9" t="str">
        <f>IFERROR((IF(VLOOKUP(A431,'ECN-ECO_DATA'!B:J,8,FALSE)=0/1/1900,"",VLOOKUP(A431,'ECN-ECO_DATA'!B:J,8,FALSE))),"")</f>
        <v/>
      </c>
      <c r="H431" s="9" t="str">
        <f>IFERROR((IF(VLOOKUP(A431,'ECN-ECO_DATA'!B:J,9,FALSE)=0/1/1900,"",VLOOKUP(A431,'ECN-ECO_DATA'!B:J,9,FALSE))),"")</f>
        <v/>
      </c>
      <c r="I431" s="10" t="str">
        <f>IFERROR((IF(VLOOKUP(A431,'ECN-ECO_DATA'!B:Q,13,FALSE)="","",VLOOKUP(A431,'ECN-ECO_DATA'!B:Q,13,FALSE))),"")</f>
        <v/>
      </c>
      <c r="J431" s="10" t="str">
        <f>IFERROR((IF(VLOOKUP(A431,'ECN-ECO_DATA'!B:Q,14,FALSE)="","",VLOOKUP(A431,'ECN-ECO_DATA'!B:Q,14,FALSE))),"")</f>
        <v/>
      </c>
      <c r="K431" s="10" t="str">
        <f>IFERROR((IF(VLOOKUP(A431,'ECN-ECO_DATA'!B:Q,15,FALSE)="","",VLOOKUP(A431,'ECN-ECO_DATA'!B:Q,15,FALSE))),"")</f>
        <v/>
      </c>
      <c r="L431" s="10" t="str">
        <f>IFERROR((IF(VLOOKUP(A431,'ECN-ECO_DATA'!B:Q,16,FALSE)="","",VLOOKUP(A431,'ECN-ECO_DATA'!B:Q,16,FALSE))),"")</f>
        <v/>
      </c>
      <c r="M431" s="9" t="str">
        <f>IFERROR((IF(VLOOKUP(A431,'ECN-ECO_DATA'!B:V,18,FALSE)=0/1/1900,"",VLOOKUP(A431,'ECN-ECO_DATA'!B:V,18,FALSE))),"")</f>
        <v/>
      </c>
      <c r="N431" s="9" t="str">
        <f>IFERROR((IF(VLOOKUP(A431,'ECN-ECO_DATA'!B:V,19,FALSE)=0/1/1900,"",VLOOKUP(A431,'ECN-ECO_DATA'!B:V,19,FALSE))),"")</f>
        <v/>
      </c>
      <c r="O431" s="9" t="str">
        <f>IFERROR((IF(VLOOKUP(A431,'ECN-ECO_DATA'!B:V,20,FALSE)=0/1/1900,"",VLOOKUP(A431,'ECN-ECO_DATA'!B:V,20,FALSE))),"")</f>
        <v/>
      </c>
      <c r="P431" s="9" t="str">
        <f>IFERROR((IF(VLOOKUP(A431,'ECN-ECO_DATA'!B:V,21,FALSE)=0/1/1900,"",VLOOKUP(A431,'ECN-ECO_DATA'!B:V,21,FALSE))),"")</f>
        <v/>
      </c>
      <c r="Q431" s="10" t="str">
        <f t="shared" ca="1" si="30"/>
        <v/>
      </c>
      <c r="R431" s="4" t="str">
        <f t="shared" si="31"/>
        <v/>
      </c>
      <c r="S431" s="4" t="str">
        <f t="shared" si="32"/>
        <v/>
      </c>
      <c r="T431" s="4" t="str">
        <f t="shared" si="33"/>
        <v/>
      </c>
      <c r="U431" s="10" t="str">
        <f t="shared" si="34"/>
        <v/>
      </c>
      <c r="V431" s="4"/>
    </row>
    <row r="432" spans="2:22" x14ac:dyDescent="0.25">
      <c r="B432" s="4" t="str">
        <f>IFERROR(VLOOKUP(A432,'ECN-ECO_DATA'!B:G,4,FALSE),"")</f>
        <v/>
      </c>
      <c r="C432" s="9" t="str">
        <f>IFERROR(VLOOKUP(A432,'ECN-ECO_DATA'!B:G,5,FALSE),"")</f>
        <v/>
      </c>
      <c r="D432" s="9" t="str">
        <f ca="1">IFERROR((IF(VLOOKUP(A432,'ECN-ECO_DATA'!B:G,6,FALSE)=0/1/1900,TODAY(),VLOOKUP(A432,'ECN-ECO_DATA'!B:G,6,FALSE))),"")</f>
        <v/>
      </c>
      <c r="E432" s="9" t="str">
        <f>IFERROR((IF(VLOOKUP(A432,'ECN-ECO_DATA'!B:G,6,FALSE)=0/1/1900,"",VLOOKUP(A432,'ECN-ECO_DATA'!B:G,6,FALSE))),"")</f>
        <v/>
      </c>
      <c r="F432" s="9" t="str">
        <f>IFERROR((IF(VLOOKUP(A432,'ECN-ECO_DATA'!B:J,7,FALSE)=0/1/1900,"",VLOOKUP(A432,'ECN-ECO_DATA'!B:J,7,FALSE))),"")</f>
        <v/>
      </c>
      <c r="G432" s="9" t="str">
        <f>IFERROR((IF(VLOOKUP(A432,'ECN-ECO_DATA'!B:J,8,FALSE)=0/1/1900,"",VLOOKUP(A432,'ECN-ECO_DATA'!B:J,8,FALSE))),"")</f>
        <v/>
      </c>
      <c r="H432" s="9" t="str">
        <f>IFERROR((IF(VLOOKUP(A432,'ECN-ECO_DATA'!B:J,9,FALSE)=0/1/1900,"",VLOOKUP(A432,'ECN-ECO_DATA'!B:J,9,FALSE))),"")</f>
        <v/>
      </c>
      <c r="I432" s="10" t="str">
        <f>IFERROR((IF(VLOOKUP(A432,'ECN-ECO_DATA'!B:Q,13,FALSE)="","",VLOOKUP(A432,'ECN-ECO_DATA'!B:Q,13,FALSE))),"")</f>
        <v/>
      </c>
      <c r="J432" s="10" t="str">
        <f>IFERROR((IF(VLOOKUP(A432,'ECN-ECO_DATA'!B:Q,14,FALSE)="","",VLOOKUP(A432,'ECN-ECO_DATA'!B:Q,14,FALSE))),"")</f>
        <v/>
      </c>
      <c r="K432" s="10" t="str">
        <f>IFERROR((IF(VLOOKUP(A432,'ECN-ECO_DATA'!B:Q,15,FALSE)="","",VLOOKUP(A432,'ECN-ECO_DATA'!B:Q,15,FALSE))),"")</f>
        <v/>
      </c>
      <c r="L432" s="10" t="str">
        <f>IFERROR((IF(VLOOKUP(A432,'ECN-ECO_DATA'!B:Q,16,FALSE)="","",VLOOKUP(A432,'ECN-ECO_DATA'!B:Q,16,FALSE))),"")</f>
        <v/>
      </c>
      <c r="M432" s="9" t="str">
        <f>IFERROR((IF(VLOOKUP(A432,'ECN-ECO_DATA'!B:V,18,FALSE)=0/1/1900,"",VLOOKUP(A432,'ECN-ECO_DATA'!B:V,18,FALSE))),"")</f>
        <v/>
      </c>
      <c r="N432" s="9" t="str">
        <f>IFERROR((IF(VLOOKUP(A432,'ECN-ECO_DATA'!B:V,19,FALSE)=0/1/1900,"",VLOOKUP(A432,'ECN-ECO_DATA'!B:V,19,FALSE))),"")</f>
        <v/>
      </c>
      <c r="O432" s="9" t="str">
        <f>IFERROR((IF(VLOOKUP(A432,'ECN-ECO_DATA'!B:V,20,FALSE)=0/1/1900,"",VLOOKUP(A432,'ECN-ECO_DATA'!B:V,20,FALSE))),"")</f>
        <v/>
      </c>
      <c r="P432" s="9" t="str">
        <f>IFERROR((IF(VLOOKUP(A432,'ECN-ECO_DATA'!B:V,21,FALSE)=0/1/1900,"",VLOOKUP(A432,'ECN-ECO_DATA'!B:V,21,FALSE))),"")</f>
        <v/>
      </c>
      <c r="Q432" s="10" t="str">
        <f t="shared" ca="1" si="30"/>
        <v/>
      </c>
      <c r="R432" s="4" t="str">
        <f t="shared" si="31"/>
        <v/>
      </c>
      <c r="S432" s="4" t="str">
        <f t="shared" si="32"/>
        <v/>
      </c>
      <c r="T432" s="4" t="str">
        <f t="shared" si="33"/>
        <v/>
      </c>
      <c r="U432" s="10" t="str">
        <f t="shared" si="34"/>
        <v/>
      </c>
      <c r="V432" s="4"/>
    </row>
    <row r="433" spans="2:22" x14ac:dyDescent="0.25">
      <c r="B433" s="4" t="str">
        <f>IFERROR(VLOOKUP(A433,'ECN-ECO_DATA'!B:G,4,FALSE),"")</f>
        <v/>
      </c>
      <c r="C433" s="9" t="str">
        <f>IFERROR(VLOOKUP(A433,'ECN-ECO_DATA'!B:G,5,FALSE),"")</f>
        <v/>
      </c>
      <c r="D433" s="9" t="str">
        <f ca="1">IFERROR((IF(VLOOKUP(A433,'ECN-ECO_DATA'!B:G,6,FALSE)=0/1/1900,TODAY(),VLOOKUP(A433,'ECN-ECO_DATA'!B:G,6,FALSE))),"")</f>
        <v/>
      </c>
      <c r="E433" s="9" t="str">
        <f>IFERROR((IF(VLOOKUP(A433,'ECN-ECO_DATA'!B:G,6,FALSE)=0/1/1900,"",VLOOKUP(A433,'ECN-ECO_DATA'!B:G,6,FALSE))),"")</f>
        <v/>
      </c>
      <c r="F433" s="9" t="str">
        <f>IFERROR((IF(VLOOKUP(A433,'ECN-ECO_DATA'!B:J,7,FALSE)=0/1/1900,"",VLOOKUP(A433,'ECN-ECO_DATA'!B:J,7,FALSE))),"")</f>
        <v/>
      </c>
      <c r="G433" s="9" t="str">
        <f>IFERROR((IF(VLOOKUP(A433,'ECN-ECO_DATA'!B:J,8,FALSE)=0/1/1900,"",VLOOKUP(A433,'ECN-ECO_DATA'!B:J,8,FALSE))),"")</f>
        <v/>
      </c>
      <c r="H433" s="9" t="str">
        <f>IFERROR((IF(VLOOKUP(A433,'ECN-ECO_DATA'!B:J,9,FALSE)=0/1/1900,"",VLOOKUP(A433,'ECN-ECO_DATA'!B:J,9,FALSE))),"")</f>
        <v/>
      </c>
      <c r="I433" s="10" t="str">
        <f>IFERROR((IF(VLOOKUP(A433,'ECN-ECO_DATA'!B:Q,13,FALSE)="","",VLOOKUP(A433,'ECN-ECO_DATA'!B:Q,13,FALSE))),"")</f>
        <v/>
      </c>
      <c r="J433" s="10" t="str">
        <f>IFERROR((IF(VLOOKUP(A433,'ECN-ECO_DATA'!B:Q,14,FALSE)="","",VLOOKUP(A433,'ECN-ECO_DATA'!B:Q,14,FALSE))),"")</f>
        <v/>
      </c>
      <c r="K433" s="10" t="str">
        <f>IFERROR((IF(VLOOKUP(A433,'ECN-ECO_DATA'!B:Q,15,FALSE)="","",VLOOKUP(A433,'ECN-ECO_DATA'!B:Q,15,FALSE))),"")</f>
        <v/>
      </c>
      <c r="L433" s="10" t="str">
        <f>IFERROR((IF(VLOOKUP(A433,'ECN-ECO_DATA'!B:Q,16,FALSE)="","",VLOOKUP(A433,'ECN-ECO_DATA'!B:Q,16,FALSE))),"")</f>
        <v/>
      </c>
      <c r="M433" s="9" t="str">
        <f>IFERROR((IF(VLOOKUP(A433,'ECN-ECO_DATA'!B:V,18,FALSE)=0/1/1900,"",VLOOKUP(A433,'ECN-ECO_DATA'!B:V,18,FALSE))),"")</f>
        <v/>
      </c>
      <c r="N433" s="9" t="str">
        <f>IFERROR((IF(VLOOKUP(A433,'ECN-ECO_DATA'!B:V,19,FALSE)=0/1/1900,"",VLOOKUP(A433,'ECN-ECO_DATA'!B:V,19,FALSE))),"")</f>
        <v/>
      </c>
      <c r="O433" s="9" t="str">
        <f>IFERROR((IF(VLOOKUP(A433,'ECN-ECO_DATA'!B:V,20,FALSE)=0/1/1900,"",VLOOKUP(A433,'ECN-ECO_DATA'!B:V,20,FALSE))),"")</f>
        <v/>
      </c>
      <c r="P433" s="9" t="str">
        <f>IFERROR((IF(VLOOKUP(A433,'ECN-ECO_DATA'!B:V,21,FALSE)=0/1/1900,"",VLOOKUP(A433,'ECN-ECO_DATA'!B:V,21,FALSE))),"")</f>
        <v/>
      </c>
      <c r="Q433" s="10" t="str">
        <f t="shared" ca="1" si="30"/>
        <v/>
      </c>
      <c r="R433" s="4" t="str">
        <f t="shared" si="31"/>
        <v/>
      </c>
      <c r="S433" s="4" t="str">
        <f t="shared" si="32"/>
        <v/>
      </c>
      <c r="T433" s="4" t="str">
        <f t="shared" si="33"/>
        <v/>
      </c>
      <c r="U433" s="10" t="str">
        <f t="shared" si="34"/>
        <v/>
      </c>
      <c r="V433" s="4"/>
    </row>
    <row r="434" spans="2:22" x14ac:dyDescent="0.25">
      <c r="B434" s="4" t="str">
        <f>IFERROR(VLOOKUP(A434,'ECN-ECO_DATA'!B:G,4,FALSE),"")</f>
        <v/>
      </c>
      <c r="C434" s="9" t="str">
        <f>IFERROR(VLOOKUP(A434,'ECN-ECO_DATA'!B:G,5,FALSE),"")</f>
        <v/>
      </c>
      <c r="D434" s="9" t="str">
        <f ca="1">IFERROR((IF(VLOOKUP(A434,'ECN-ECO_DATA'!B:G,6,FALSE)=0/1/1900,TODAY(),VLOOKUP(A434,'ECN-ECO_DATA'!B:G,6,FALSE))),"")</f>
        <v/>
      </c>
      <c r="E434" s="9" t="str">
        <f>IFERROR((IF(VLOOKUP(A434,'ECN-ECO_DATA'!B:G,6,FALSE)=0/1/1900,"",VLOOKUP(A434,'ECN-ECO_DATA'!B:G,6,FALSE))),"")</f>
        <v/>
      </c>
      <c r="F434" s="9" t="str">
        <f>IFERROR((IF(VLOOKUP(A434,'ECN-ECO_DATA'!B:J,7,FALSE)=0/1/1900,"",VLOOKUP(A434,'ECN-ECO_DATA'!B:J,7,FALSE))),"")</f>
        <v/>
      </c>
      <c r="G434" s="9" t="str">
        <f>IFERROR((IF(VLOOKUP(A434,'ECN-ECO_DATA'!B:J,8,FALSE)=0/1/1900,"",VLOOKUP(A434,'ECN-ECO_DATA'!B:J,8,FALSE))),"")</f>
        <v/>
      </c>
      <c r="H434" s="9" t="str">
        <f>IFERROR((IF(VLOOKUP(A434,'ECN-ECO_DATA'!B:J,9,FALSE)=0/1/1900,"",VLOOKUP(A434,'ECN-ECO_DATA'!B:J,9,FALSE))),"")</f>
        <v/>
      </c>
      <c r="I434" s="10" t="str">
        <f>IFERROR((IF(VLOOKUP(A434,'ECN-ECO_DATA'!B:Q,13,FALSE)="","",VLOOKUP(A434,'ECN-ECO_DATA'!B:Q,13,FALSE))),"")</f>
        <v/>
      </c>
      <c r="J434" s="10" t="str">
        <f>IFERROR((IF(VLOOKUP(A434,'ECN-ECO_DATA'!B:Q,14,FALSE)="","",VLOOKUP(A434,'ECN-ECO_DATA'!B:Q,14,FALSE))),"")</f>
        <v/>
      </c>
      <c r="K434" s="10" t="str">
        <f>IFERROR((IF(VLOOKUP(A434,'ECN-ECO_DATA'!B:Q,15,FALSE)="","",VLOOKUP(A434,'ECN-ECO_DATA'!B:Q,15,FALSE))),"")</f>
        <v/>
      </c>
      <c r="L434" s="10" t="str">
        <f>IFERROR((IF(VLOOKUP(A434,'ECN-ECO_DATA'!B:Q,16,FALSE)="","",VLOOKUP(A434,'ECN-ECO_DATA'!B:Q,16,FALSE))),"")</f>
        <v/>
      </c>
      <c r="M434" s="9" t="str">
        <f>IFERROR((IF(VLOOKUP(A434,'ECN-ECO_DATA'!B:V,18,FALSE)=0/1/1900,"",VLOOKUP(A434,'ECN-ECO_DATA'!B:V,18,FALSE))),"")</f>
        <v/>
      </c>
      <c r="N434" s="9" t="str">
        <f>IFERROR((IF(VLOOKUP(A434,'ECN-ECO_DATA'!B:V,19,FALSE)=0/1/1900,"",VLOOKUP(A434,'ECN-ECO_DATA'!B:V,19,FALSE))),"")</f>
        <v/>
      </c>
      <c r="O434" s="9" t="str">
        <f>IFERROR((IF(VLOOKUP(A434,'ECN-ECO_DATA'!B:V,20,FALSE)=0/1/1900,"",VLOOKUP(A434,'ECN-ECO_DATA'!B:V,20,FALSE))),"")</f>
        <v/>
      </c>
      <c r="P434" s="9" t="str">
        <f>IFERROR((IF(VLOOKUP(A434,'ECN-ECO_DATA'!B:V,21,FALSE)=0/1/1900,"",VLOOKUP(A434,'ECN-ECO_DATA'!B:V,21,FALSE))),"")</f>
        <v/>
      </c>
      <c r="Q434" s="10" t="str">
        <f t="shared" ca="1" si="30"/>
        <v/>
      </c>
      <c r="R434" s="4" t="str">
        <f t="shared" si="31"/>
        <v/>
      </c>
      <c r="S434" s="4" t="str">
        <f t="shared" si="32"/>
        <v/>
      </c>
      <c r="T434" s="4" t="str">
        <f t="shared" si="33"/>
        <v/>
      </c>
      <c r="U434" s="10" t="str">
        <f t="shared" si="34"/>
        <v/>
      </c>
      <c r="V434" s="4"/>
    </row>
    <row r="435" spans="2:22" x14ac:dyDescent="0.25">
      <c r="B435" s="4" t="str">
        <f>IFERROR(VLOOKUP(A435,'ECN-ECO_DATA'!B:G,4,FALSE),"")</f>
        <v/>
      </c>
      <c r="C435" s="9" t="str">
        <f>IFERROR(VLOOKUP(A435,'ECN-ECO_DATA'!B:G,5,FALSE),"")</f>
        <v/>
      </c>
      <c r="D435" s="9" t="str">
        <f ca="1">IFERROR((IF(VLOOKUP(A435,'ECN-ECO_DATA'!B:G,6,FALSE)=0/1/1900,TODAY(),VLOOKUP(A435,'ECN-ECO_DATA'!B:G,6,FALSE))),"")</f>
        <v/>
      </c>
      <c r="E435" s="9" t="str">
        <f>IFERROR((IF(VLOOKUP(A435,'ECN-ECO_DATA'!B:G,6,FALSE)=0/1/1900,"",VLOOKUP(A435,'ECN-ECO_DATA'!B:G,6,FALSE))),"")</f>
        <v/>
      </c>
      <c r="F435" s="9" t="str">
        <f>IFERROR((IF(VLOOKUP(A435,'ECN-ECO_DATA'!B:J,7,FALSE)=0/1/1900,"",VLOOKUP(A435,'ECN-ECO_DATA'!B:J,7,FALSE))),"")</f>
        <v/>
      </c>
      <c r="G435" s="9" t="str">
        <f>IFERROR((IF(VLOOKUP(A435,'ECN-ECO_DATA'!B:J,8,FALSE)=0/1/1900,"",VLOOKUP(A435,'ECN-ECO_DATA'!B:J,8,FALSE))),"")</f>
        <v/>
      </c>
      <c r="H435" s="9" t="str">
        <f>IFERROR((IF(VLOOKUP(A435,'ECN-ECO_DATA'!B:J,9,FALSE)=0/1/1900,"",VLOOKUP(A435,'ECN-ECO_DATA'!B:J,9,FALSE))),"")</f>
        <v/>
      </c>
      <c r="I435" s="10" t="str">
        <f>IFERROR((IF(VLOOKUP(A435,'ECN-ECO_DATA'!B:Q,13,FALSE)="","",VLOOKUP(A435,'ECN-ECO_DATA'!B:Q,13,FALSE))),"")</f>
        <v/>
      </c>
      <c r="J435" s="10" t="str">
        <f>IFERROR((IF(VLOOKUP(A435,'ECN-ECO_DATA'!B:Q,14,FALSE)="","",VLOOKUP(A435,'ECN-ECO_DATA'!B:Q,14,FALSE))),"")</f>
        <v/>
      </c>
      <c r="K435" s="10" t="str">
        <f>IFERROR((IF(VLOOKUP(A435,'ECN-ECO_DATA'!B:Q,15,FALSE)="","",VLOOKUP(A435,'ECN-ECO_DATA'!B:Q,15,FALSE))),"")</f>
        <v/>
      </c>
      <c r="L435" s="10" t="str">
        <f>IFERROR((IF(VLOOKUP(A435,'ECN-ECO_DATA'!B:Q,16,FALSE)="","",VLOOKUP(A435,'ECN-ECO_DATA'!B:Q,16,FALSE))),"")</f>
        <v/>
      </c>
      <c r="M435" s="9" t="str">
        <f>IFERROR((IF(VLOOKUP(A435,'ECN-ECO_DATA'!B:V,18,FALSE)=0/1/1900,"",VLOOKUP(A435,'ECN-ECO_DATA'!B:V,18,FALSE))),"")</f>
        <v/>
      </c>
      <c r="N435" s="9" t="str">
        <f>IFERROR((IF(VLOOKUP(A435,'ECN-ECO_DATA'!B:V,19,FALSE)=0/1/1900,"",VLOOKUP(A435,'ECN-ECO_DATA'!B:V,19,FALSE))),"")</f>
        <v/>
      </c>
      <c r="O435" s="9" t="str">
        <f>IFERROR((IF(VLOOKUP(A435,'ECN-ECO_DATA'!B:V,20,FALSE)=0/1/1900,"",VLOOKUP(A435,'ECN-ECO_DATA'!B:V,20,FALSE))),"")</f>
        <v/>
      </c>
      <c r="P435" s="9" t="str">
        <f>IFERROR((IF(VLOOKUP(A435,'ECN-ECO_DATA'!B:V,21,FALSE)=0/1/1900,"",VLOOKUP(A435,'ECN-ECO_DATA'!B:V,21,FALSE))),"")</f>
        <v/>
      </c>
      <c r="Q435" s="10" t="str">
        <f t="shared" ca="1" si="30"/>
        <v/>
      </c>
      <c r="R435" s="4" t="str">
        <f t="shared" si="31"/>
        <v/>
      </c>
      <c r="S435" s="4" t="str">
        <f t="shared" si="32"/>
        <v/>
      </c>
      <c r="T435" s="4" t="str">
        <f t="shared" si="33"/>
        <v/>
      </c>
      <c r="U435" s="10" t="str">
        <f t="shared" si="34"/>
        <v/>
      </c>
      <c r="V435" s="4"/>
    </row>
    <row r="436" spans="2:22" x14ac:dyDescent="0.25">
      <c r="B436" s="4" t="str">
        <f>IFERROR(VLOOKUP(A436,'ECN-ECO_DATA'!B:G,4,FALSE),"")</f>
        <v/>
      </c>
      <c r="C436" s="9" t="str">
        <f>IFERROR(VLOOKUP(A436,'ECN-ECO_DATA'!B:G,5,FALSE),"")</f>
        <v/>
      </c>
      <c r="D436" s="9" t="str">
        <f ca="1">IFERROR((IF(VLOOKUP(A436,'ECN-ECO_DATA'!B:G,6,FALSE)=0/1/1900,TODAY(),VLOOKUP(A436,'ECN-ECO_DATA'!B:G,6,FALSE))),"")</f>
        <v/>
      </c>
      <c r="E436" s="9" t="str">
        <f>IFERROR((IF(VLOOKUP(A436,'ECN-ECO_DATA'!B:G,6,FALSE)=0/1/1900,"",VLOOKUP(A436,'ECN-ECO_DATA'!B:G,6,FALSE))),"")</f>
        <v/>
      </c>
      <c r="F436" s="9" t="str">
        <f>IFERROR((IF(VLOOKUP(A436,'ECN-ECO_DATA'!B:J,7,FALSE)=0/1/1900,"",VLOOKUP(A436,'ECN-ECO_DATA'!B:J,7,FALSE))),"")</f>
        <v/>
      </c>
      <c r="G436" s="9" t="str">
        <f>IFERROR((IF(VLOOKUP(A436,'ECN-ECO_DATA'!B:J,8,FALSE)=0/1/1900,"",VLOOKUP(A436,'ECN-ECO_DATA'!B:J,8,FALSE))),"")</f>
        <v/>
      </c>
      <c r="H436" s="9" t="str">
        <f>IFERROR((IF(VLOOKUP(A436,'ECN-ECO_DATA'!B:J,9,FALSE)=0/1/1900,"",VLOOKUP(A436,'ECN-ECO_DATA'!B:J,9,FALSE))),"")</f>
        <v/>
      </c>
      <c r="I436" s="10" t="str">
        <f>IFERROR((IF(VLOOKUP(A436,'ECN-ECO_DATA'!B:Q,13,FALSE)="","",VLOOKUP(A436,'ECN-ECO_DATA'!B:Q,13,FALSE))),"")</f>
        <v/>
      </c>
      <c r="J436" s="10" t="str">
        <f>IFERROR((IF(VLOOKUP(A436,'ECN-ECO_DATA'!B:Q,14,FALSE)="","",VLOOKUP(A436,'ECN-ECO_DATA'!B:Q,14,FALSE))),"")</f>
        <v/>
      </c>
      <c r="K436" s="10" t="str">
        <f>IFERROR((IF(VLOOKUP(A436,'ECN-ECO_DATA'!B:Q,15,FALSE)="","",VLOOKUP(A436,'ECN-ECO_DATA'!B:Q,15,FALSE))),"")</f>
        <v/>
      </c>
      <c r="L436" s="10" t="str">
        <f>IFERROR((IF(VLOOKUP(A436,'ECN-ECO_DATA'!B:Q,16,FALSE)="","",VLOOKUP(A436,'ECN-ECO_DATA'!B:Q,16,FALSE))),"")</f>
        <v/>
      </c>
      <c r="M436" s="9" t="str">
        <f>IFERROR((IF(VLOOKUP(A436,'ECN-ECO_DATA'!B:V,18,FALSE)=0/1/1900,"",VLOOKUP(A436,'ECN-ECO_DATA'!B:V,18,FALSE))),"")</f>
        <v/>
      </c>
      <c r="N436" s="9" t="str">
        <f>IFERROR((IF(VLOOKUP(A436,'ECN-ECO_DATA'!B:V,19,FALSE)=0/1/1900,"",VLOOKUP(A436,'ECN-ECO_DATA'!B:V,19,FALSE))),"")</f>
        <v/>
      </c>
      <c r="O436" s="9" t="str">
        <f>IFERROR((IF(VLOOKUP(A436,'ECN-ECO_DATA'!B:V,20,FALSE)=0/1/1900,"",VLOOKUP(A436,'ECN-ECO_DATA'!B:V,20,FALSE))),"")</f>
        <v/>
      </c>
      <c r="P436" s="9" t="str">
        <f>IFERROR((IF(VLOOKUP(A436,'ECN-ECO_DATA'!B:V,21,FALSE)=0/1/1900,"",VLOOKUP(A436,'ECN-ECO_DATA'!B:V,21,FALSE))),"")</f>
        <v/>
      </c>
      <c r="Q436" s="10" t="str">
        <f t="shared" ca="1" si="30"/>
        <v/>
      </c>
      <c r="R436" s="4" t="str">
        <f t="shared" si="31"/>
        <v/>
      </c>
      <c r="S436" s="4" t="str">
        <f t="shared" si="32"/>
        <v/>
      </c>
      <c r="T436" s="4" t="str">
        <f t="shared" si="33"/>
        <v/>
      </c>
      <c r="U436" s="10" t="str">
        <f t="shared" si="34"/>
        <v/>
      </c>
      <c r="V436" s="4"/>
    </row>
    <row r="437" spans="2:22" x14ac:dyDescent="0.25">
      <c r="B437" s="4" t="str">
        <f>IFERROR(VLOOKUP(A437,'ECN-ECO_DATA'!B:G,4,FALSE),"")</f>
        <v/>
      </c>
      <c r="C437" s="9" t="str">
        <f>IFERROR(VLOOKUP(A437,'ECN-ECO_DATA'!B:G,5,FALSE),"")</f>
        <v/>
      </c>
      <c r="D437" s="9" t="str">
        <f ca="1">IFERROR((IF(VLOOKUP(A437,'ECN-ECO_DATA'!B:G,6,FALSE)=0/1/1900,TODAY(),VLOOKUP(A437,'ECN-ECO_DATA'!B:G,6,FALSE))),"")</f>
        <v/>
      </c>
      <c r="E437" s="9" t="str">
        <f>IFERROR((IF(VLOOKUP(A437,'ECN-ECO_DATA'!B:G,6,FALSE)=0/1/1900,"",VLOOKUP(A437,'ECN-ECO_DATA'!B:G,6,FALSE))),"")</f>
        <v/>
      </c>
      <c r="F437" s="9" t="str">
        <f>IFERROR((IF(VLOOKUP(A437,'ECN-ECO_DATA'!B:J,7,FALSE)=0/1/1900,"",VLOOKUP(A437,'ECN-ECO_DATA'!B:J,7,FALSE))),"")</f>
        <v/>
      </c>
      <c r="G437" s="9" t="str">
        <f>IFERROR((IF(VLOOKUP(A437,'ECN-ECO_DATA'!B:J,8,FALSE)=0/1/1900,"",VLOOKUP(A437,'ECN-ECO_DATA'!B:J,8,FALSE))),"")</f>
        <v/>
      </c>
      <c r="H437" s="9" t="str">
        <f>IFERROR((IF(VLOOKUP(A437,'ECN-ECO_DATA'!B:J,9,FALSE)=0/1/1900,"",VLOOKUP(A437,'ECN-ECO_DATA'!B:J,9,FALSE))),"")</f>
        <v/>
      </c>
      <c r="I437" s="10" t="str">
        <f>IFERROR((IF(VLOOKUP(A437,'ECN-ECO_DATA'!B:Q,13,FALSE)="","",VLOOKUP(A437,'ECN-ECO_DATA'!B:Q,13,FALSE))),"")</f>
        <v/>
      </c>
      <c r="J437" s="10" t="str">
        <f>IFERROR((IF(VLOOKUP(A437,'ECN-ECO_DATA'!B:Q,14,FALSE)="","",VLOOKUP(A437,'ECN-ECO_DATA'!B:Q,14,FALSE))),"")</f>
        <v/>
      </c>
      <c r="K437" s="10" t="str">
        <f>IFERROR((IF(VLOOKUP(A437,'ECN-ECO_DATA'!B:Q,15,FALSE)="","",VLOOKUP(A437,'ECN-ECO_DATA'!B:Q,15,FALSE))),"")</f>
        <v/>
      </c>
      <c r="L437" s="10" t="str">
        <f>IFERROR((IF(VLOOKUP(A437,'ECN-ECO_DATA'!B:Q,16,FALSE)="","",VLOOKUP(A437,'ECN-ECO_DATA'!B:Q,16,FALSE))),"")</f>
        <v/>
      </c>
      <c r="M437" s="9" t="str">
        <f>IFERROR((IF(VLOOKUP(A437,'ECN-ECO_DATA'!B:V,18,FALSE)=0/1/1900,"",VLOOKUP(A437,'ECN-ECO_DATA'!B:V,18,FALSE))),"")</f>
        <v/>
      </c>
      <c r="N437" s="9" t="str">
        <f>IFERROR((IF(VLOOKUP(A437,'ECN-ECO_DATA'!B:V,19,FALSE)=0/1/1900,"",VLOOKUP(A437,'ECN-ECO_DATA'!B:V,19,FALSE))),"")</f>
        <v/>
      </c>
      <c r="O437" s="9" t="str">
        <f>IFERROR((IF(VLOOKUP(A437,'ECN-ECO_DATA'!B:V,20,FALSE)=0/1/1900,"",VLOOKUP(A437,'ECN-ECO_DATA'!B:V,20,FALSE))),"")</f>
        <v/>
      </c>
      <c r="P437" s="9" t="str">
        <f>IFERROR((IF(VLOOKUP(A437,'ECN-ECO_DATA'!B:V,21,FALSE)=0/1/1900,"",VLOOKUP(A437,'ECN-ECO_DATA'!B:V,21,FALSE))),"")</f>
        <v/>
      </c>
      <c r="Q437" s="10" t="str">
        <f t="shared" ca="1" si="30"/>
        <v/>
      </c>
      <c r="R437" s="4" t="str">
        <f t="shared" si="31"/>
        <v/>
      </c>
      <c r="S437" s="4" t="str">
        <f t="shared" si="32"/>
        <v/>
      </c>
      <c r="T437" s="4" t="str">
        <f t="shared" si="33"/>
        <v/>
      </c>
      <c r="U437" s="10" t="str">
        <f t="shared" si="34"/>
        <v/>
      </c>
      <c r="V437" s="4"/>
    </row>
    <row r="438" spans="2:22" x14ac:dyDescent="0.25">
      <c r="B438" s="4" t="str">
        <f>IFERROR(VLOOKUP(A438,'ECN-ECO_DATA'!B:G,4,FALSE),"")</f>
        <v/>
      </c>
      <c r="C438" s="9" t="str">
        <f>IFERROR(VLOOKUP(A438,'ECN-ECO_DATA'!B:G,5,FALSE),"")</f>
        <v/>
      </c>
      <c r="D438" s="9" t="str">
        <f ca="1">IFERROR((IF(VLOOKUP(A438,'ECN-ECO_DATA'!B:G,6,FALSE)=0/1/1900,TODAY(),VLOOKUP(A438,'ECN-ECO_DATA'!B:G,6,FALSE))),"")</f>
        <v/>
      </c>
      <c r="E438" s="9" t="str">
        <f>IFERROR((IF(VLOOKUP(A438,'ECN-ECO_DATA'!B:G,6,FALSE)=0/1/1900,"",VLOOKUP(A438,'ECN-ECO_DATA'!B:G,6,FALSE))),"")</f>
        <v/>
      </c>
      <c r="F438" s="9" t="str">
        <f>IFERROR((IF(VLOOKUP(A438,'ECN-ECO_DATA'!B:J,7,FALSE)=0/1/1900,"",VLOOKUP(A438,'ECN-ECO_DATA'!B:J,7,FALSE))),"")</f>
        <v/>
      </c>
      <c r="G438" s="9" t="str">
        <f>IFERROR((IF(VLOOKUP(A438,'ECN-ECO_DATA'!B:J,8,FALSE)=0/1/1900,"",VLOOKUP(A438,'ECN-ECO_DATA'!B:J,8,FALSE))),"")</f>
        <v/>
      </c>
      <c r="H438" s="9" t="str">
        <f>IFERROR((IF(VLOOKUP(A438,'ECN-ECO_DATA'!B:J,9,FALSE)=0/1/1900,"",VLOOKUP(A438,'ECN-ECO_DATA'!B:J,9,FALSE))),"")</f>
        <v/>
      </c>
      <c r="I438" s="10" t="str">
        <f>IFERROR((IF(VLOOKUP(A438,'ECN-ECO_DATA'!B:Q,13,FALSE)="","",VLOOKUP(A438,'ECN-ECO_DATA'!B:Q,13,FALSE))),"")</f>
        <v/>
      </c>
      <c r="J438" s="10" t="str">
        <f>IFERROR((IF(VLOOKUP(A438,'ECN-ECO_DATA'!B:Q,14,FALSE)="","",VLOOKUP(A438,'ECN-ECO_DATA'!B:Q,14,FALSE))),"")</f>
        <v/>
      </c>
      <c r="K438" s="10" t="str">
        <f>IFERROR((IF(VLOOKUP(A438,'ECN-ECO_DATA'!B:Q,15,FALSE)="","",VLOOKUP(A438,'ECN-ECO_DATA'!B:Q,15,FALSE))),"")</f>
        <v/>
      </c>
      <c r="L438" s="10" t="str">
        <f>IFERROR((IF(VLOOKUP(A438,'ECN-ECO_DATA'!B:Q,16,FALSE)="","",VLOOKUP(A438,'ECN-ECO_DATA'!B:Q,16,FALSE))),"")</f>
        <v/>
      </c>
      <c r="M438" s="9" t="str">
        <f>IFERROR((IF(VLOOKUP(A438,'ECN-ECO_DATA'!B:V,18,FALSE)=0/1/1900,"",VLOOKUP(A438,'ECN-ECO_DATA'!B:V,18,FALSE))),"")</f>
        <v/>
      </c>
      <c r="N438" s="9" t="str">
        <f>IFERROR((IF(VLOOKUP(A438,'ECN-ECO_DATA'!B:V,19,FALSE)=0/1/1900,"",VLOOKUP(A438,'ECN-ECO_DATA'!B:V,19,FALSE))),"")</f>
        <v/>
      </c>
      <c r="O438" s="9" t="str">
        <f>IFERROR((IF(VLOOKUP(A438,'ECN-ECO_DATA'!B:V,20,FALSE)=0/1/1900,"",VLOOKUP(A438,'ECN-ECO_DATA'!B:V,20,FALSE))),"")</f>
        <v/>
      </c>
      <c r="P438" s="9" t="str">
        <f>IFERROR((IF(VLOOKUP(A438,'ECN-ECO_DATA'!B:V,21,FALSE)=0/1/1900,"",VLOOKUP(A438,'ECN-ECO_DATA'!B:V,21,FALSE))),"")</f>
        <v/>
      </c>
      <c r="Q438" s="10" t="str">
        <f t="shared" ca="1" si="30"/>
        <v/>
      </c>
      <c r="R438" s="4" t="str">
        <f t="shared" si="31"/>
        <v/>
      </c>
      <c r="S438" s="4" t="str">
        <f t="shared" si="32"/>
        <v/>
      </c>
      <c r="T438" s="4" t="str">
        <f t="shared" si="33"/>
        <v/>
      </c>
      <c r="U438" s="10" t="str">
        <f t="shared" si="34"/>
        <v/>
      </c>
      <c r="V438" s="4"/>
    </row>
    <row r="439" spans="2:22" x14ac:dyDescent="0.25">
      <c r="B439" s="4" t="str">
        <f>IFERROR(VLOOKUP(A439,'ECN-ECO_DATA'!B:G,4,FALSE),"")</f>
        <v/>
      </c>
      <c r="C439" s="9" t="str">
        <f>IFERROR(VLOOKUP(A439,'ECN-ECO_DATA'!B:G,5,FALSE),"")</f>
        <v/>
      </c>
      <c r="D439" s="9" t="str">
        <f ca="1">IFERROR((IF(VLOOKUP(A439,'ECN-ECO_DATA'!B:G,6,FALSE)=0/1/1900,TODAY(),VLOOKUP(A439,'ECN-ECO_DATA'!B:G,6,FALSE))),"")</f>
        <v/>
      </c>
      <c r="E439" s="9" t="str">
        <f>IFERROR((IF(VLOOKUP(A439,'ECN-ECO_DATA'!B:G,6,FALSE)=0/1/1900,"",VLOOKUP(A439,'ECN-ECO_DATA'!B:G,6,FALSE))),"")</f>
        <v/>
      </c>
      <c r="F439" s="9" t="str">
        <f>IFERROR((IF(VLOOKUP(A439,'ECN-ECO_DATA'!B:J,7,FALSE)=0/1/1900,"",VLOOKUP(A439,'ECN-ECO_DATA'!B:J,7,FALSE))),"")</f>
        <v/>
      </c>
      <c r="G439" s="9" t="str">
        <f>IFERROR((IF(VLOOKUP(A439,'ECN-ECO_DATA'!B:J,8,FALSE)=0/1/1900,"",VLOOKUP(A439,'ECN-ECO_DATA'!B:J,8,FALSE))),"")</f>
        <v/>
      </c>
      <c r="H439" s="9" t="str">
        <f>IFERROR((IF(VLOOKUP(A439,'ECN-ECO_DATA'!B:J,9,FALSE)=0/1/1900,"",VLOOKUP(A439,'ECN-ECO_DATA'!B:J,9,FALSE))),"")</f>
        <v/>
      </c>
      <c r="I439" s="10" t="str">
        <f>IFERROR((IF(VLOOKUP(A439,'ECN-ECO_DATA'!B:Q,13,FALSE)="","",VLOOKUP(A439,'ECN-ECO_DATA'!B:Q,13,FALSE))),"")</f>
        <v/>
      </c>
      <c r="J439" s="10" t="str">
        <f>IFERROR((IF(VLOOKUP(A439,'ECN-ECO_DATA'!B:Q,14,FALSE)="","",VLOOKUP(A439,'ECN-ECO_DATA'!B:Q,14,FALSE))),"")</f>
        <v/>
      </c>
      <c r="K439" s="10" t="str">
        <f>IFERROR((IF(VLOOKUP(A439,'ECN-ECO_DATA'!B:Q,15,FALSE)="","",VLOOKUP(A439,'ECN-ECO_DATA'!B:Q,15,FALSE))),"")</f>
        <v/>
      </c>
      <c r="L439" s="10" t="str">
        <f>IFERROR((IF(VLOOKUP(A439,'ECN-ECO_DATA'!B:Q,16,FALSE)="","",VLOOKUP(A439,'ECN-ECO_DATA'!B:Q,16,FALSE))),"")</f>
        <v/>
      </c>
      <c r="M439" s="9" t="str">
        <f>IFERROR((IF(VLOOKUP(A439,'ECN-ECO_DATA'!B:V,18,FALSE)=0/1/1900,"",VLOOKUP(A439,'ECN-ECO_DATA'!B:V,18,FALSE))),"")</f>
        <v/>
      </c>
      <c r="N439" s="9" t="str">
        <f>IFERROR((IF(VLOOKUP(A439,'ECN-ECO_DATA'!B:V,19,FALSE)=0/1/1900,"",VLOOKUP(A439,'ECN-ECO_DATA'!B:V,19,FALSE))),"")</f>
        <v/>
      </c>
      <c r="O439" s="9" t="str">
        <f>IFERROR((IF(VLOOKUP(A439,'ECN-ECO_DATA'!B:V,20,FALSE)=0/1/1900,"",VLOOKUP(A439,'ECN-ECO_DATA'!B:V,20,FALSE))),"")</f>
        <v/>
      </c>
      <c r="P439" s="9" t="str">
        <f>IFERROR((IF(VLOOKUP(A439,'ECN-ECO_DATA'!B:V,21,FALSE)=0/1/1900,"",VLOOKUP(A439,'ECN-ECO_DATA'!B:V,21,FALSE))),"")</f>
        <v/>
      </c>
      <c r="Q439" s="10" t="str">
        <f t="shared" ca="1" si="30"/>
        <v/>
      </c>
      <c r="R439" s="4" t="str">
        <f t="shared" si="31"/>
        <v/>
      </c>
      <c r="S439" s="4" t="str">
        <f t="shared" si="32"/>
        <v/>
      </c>
      <c r="T439" s="4" t="str">
        <f t="shared" si="33"/>
        <v/>
      </c>
      <c r="U439" s="10" t="str">
        <f t="shared" si="34"/>
        <v/>
      </c>
      <c r="V439" s="4"/>
    </row>
    <row r="440" spans="2:22" x14ac:dyDescent="0.25">
      <c r="B440" s="4" t="str">
        <f>IFERROR(VLOOKUP(A440,'ECN-ECO_DATA'!B:G,4,FALSE),"")</f>
        <v/>
      </c>
      <c r="C440" s="9" t="str">
        <f>IFERROR(VLOOKUP(A440,'ECN-ECO_DATA'!B:G,5,FALSE),"")</f>
        <v/>
      </c>
      <c r="D440" s="9" t="str">
        <f ca="1">IFERROR((IF(VLOOKUP(A440,'ECN-ECO_DATA'!B:G,6,FALSE)=0/1/1900,TODAY(),VLOOKUP(A440,'ECN-ECO_DATA'!B:G,6,FALSE))),"")</f>
        <v/>
      </c>
      <c r="E440" s="9" t="str">
        <f>IFERROR((IF(VLOOKUP(A440,'ECN-ECO_DATA'!B:G,6,FALSE)=0/1/1900,"",VLOOKUP(A440,'ECN-ECO_DATA'!B:G,6,FALSE))),"")</f>
        <v/>
      </c>
      <c r="F440" s="9" t="str">
        <f>IFERROR((IF(VLOOKUP(A440,'ECN-ECO_DATA'!B:J,7,FALSE)=0/1/1900,"",VLOOKUP(A440,'ECN-ECO_DATA'!B:J,7,FALSE))),"")</f>
        <v/>
      </c>
      <c r="G440" s="9" t="str">
        <f>IFERROR((IF(VLOOKUP(A440,'ECN-ECO_DATA'!B:J,8,FALSE)=0/1/1900,"",VLOOKUP(A440,'ECN-ECO_DATA'!B:J,8,FALSE))),"")</f>
        <v/>
      </c>
      <c r="H440" s="9" t="str">
        <f>IFERROR((IF(VLOOKUP(A440,'ECN-ECO_DATA'!B:J,9,FALSE)=0/1/1900,"",VLOOKUP(A440,'ECN-ECO_DATA'!B:J,9,FALSE))),"")</f>
        <v/>
      </c>
      <c r="I440" s="10" t="str">
        <f>IFERROR((IF(VLOOKUP(A440,'ECN-ECO_DATA'!B:Q,13,FALSE)="","",VLOOKUP(A440,'ECN-ECO_DATA'!B:Q,13,FALSE))),"")</f>
        <v/>
      </c>
      <c r="J440" s="10" t="str">
        <f>IFERROR((IF(VLOOKUP(A440,'ECN-ECO_DATA'!B:Q,14,FALSE)="","",VLOOKUP(A440,'ECN-ECO_DATA'!B:Q,14,FALSE))),"")</f>
        <v/>
      </c>
      <c r="K440" s="10" t="str">
        <f>IFERROR((IF(VLOOKUP(A440,'ECN-ECO_DATA'!B:Q,15,FALSE)="","",VLOOKUP(A440,'ECN-ECO_DATA'!B:Q,15,FALSE))),"")</f>
        <v/>
      </c>
      <c r="L440" s="10" t="str">
        <f>IFERROR((IF(VLOOKUP(A440,'ECN-ECO_DATA'!B:Q,16,FALSE)="","",VLOOKUP(A440,'ECN-ECO_DATA'!B:Q,16,FALSE))),"")</f>
        <v/>
      </c>
      <c r="M440" s="9" t="str">
        <f>IFERROR((IF(VLOOKUP(A440,'ECN-ECO_DATA'!B:V,18,FALSE)=0/1/1900,"",VLOOKUP(A440,'ECN-ECO_DATA'!B:V,18,FALSE))),"")</f>
        <v/>
      </c>
      <c r="N440" s="9" t="str">
        <f>IFERROR((IF(VLOOKUP(A440,'ECN-ECO_DATA'!B:V,19,FALSE)=0/1/1900,"",VLOOKUP(A440,'ECN-ECO_DATA'!B:V,19,FALSE))),"")</f>
        <v/>
      </c>
      <c r="O440" s="9" t="str">
        <f>IFERROR((IF(VLOOKUP(A440,'ECN-ECO_DATA'!B:V,20,FALSE)=0/1/1900,"",VLOOKUP(A440,'ECN-ECO_DATA'!B:V,20,FALSE))),"")</f>
        <v/>
      </c>
      <c r="P440" s="9" t="str">
        <f>IFERROR((IF(VLOOKUP(A440,'ECN-ECO_DATA'!B:V,21,FALSE)=0/1/1900,"",VLOOKUP(A440,'ECN-ECO_DATA'!B:V,21,FALSE))),"")</f>
        <v/>
      </c>
      <c r="Q440" s="10" t="str">
        <f t="shared" ca="1" si="30"/>
        <v/>
      </c>
      <c r="R440" s="4" t="str">
        <f t="shared" si="31"/>
        <v/>
      </c>
      <c r="S440" s="4" t="str">
        <f t="shared" si="32"/>
        <v/>
      </c>
      <c r="T440" s="4" t="str">
        <f t="shared" si="33"/>
        <v/>
      </c>
      <c r="U440" s="10" t="str">
        <f t="shared" si="34"/>
        <v/>
      </c>
      <c r="V440" s="4"/>
    </row>
    <row r="441" spans="2:22" x14ac:dyDescent="0.25">
      <c r="B441" s="4" t="str">
        <f>IFERROR(VLOOKUP(A441,'ECN-ECO_DATA'!B:G,4,FALSE),"")</f>
        <v/>
      </c>
      <c r="C441" s="9" t="str">
        <f>IFERROR(VLOOKUP(A441,'ECN-ECO_DATA'!B:G,5,FALSE),"")</f>
        <v/>
      </c>
      <c r="D441" s="9" t="str">
        <f ca="1">IFERROR((IF(VLOOKUP(A441,'ECN-ECO_DATA'!B:G,6,FALSE)=0/1/1900,TODAY(),VLOOKUP(A441,'ECN-ECO_DATA'!B:G,6,FALSE))),"")</f>
        <v/>
      </c>
      <c r="E441" s="9" t="str">
        <f>IFERROR((IF(VLOOKUP(A441,'ECN-ECO_DATA'!B:G,6,FALSE)=0/1/1900,"",VLOOKUP(A441,'ECN-ECO_DATA'!B:G,6,FALSE))),"")</f>
        <v/>
      </c>
      <c r="F441" s="9" t="str">
        <f>IFERROR((IF(VLOOKUP(A441,'ECN-ECO_DATA'!B:J,7,FALSE)=0/1/1900,"",VLOOKUP(A441,'ECN-ECO_DATA'!B:J,7,FALSE))),"")</f>
        <v/>
      </c>
      <c r="G441" s="9" t="str">
        <f>IFERROR((IF(VLOOKUP(A441,'ECN-ECO_DATA'!B:J,8,FALSE)=0/1/1900,"",VLOOKUP(A441,'ECN-ECO_DATA'!B:J,8,FALSE))),"")</f>
        <v/>
      </c>
      <c r="H441" s="9" t="str">
        <f>IFERROR((IF(VLOOKUP(A441,'ECN-ECO_DATA'!B:J,9,FALSE)=0/1/1900,"",VLOOKUP(A441,'ECN-ECO_DATA'!B:J,9,FALSE))),"")</f>
        <v/>
      </c>
      <c r="I441" s="10" t="str">
        <f>IFERROR((IF(VLOOKUP(A441,'ECN-ECO_DATA'!B:Q,13,FALSE)="","",VLOOKUP(A441,'ECN-ECO_DATA'!B:Q,13,FALSE))),"")</f>
        <v/>
      </c>
      <c r="J441" s="10" t="str">
        <f>IFERROR((IF(VLOOKUP(A441,'ECN-ECO_DATA'!B:Q,14,FALSE)="","",VLOOKUP(A441,'ECN-ECO_DATA'!B:Q,14,FALSE))),"")</f>
        <v/>
      </c>
      <c r="K441" s="10" t="str">
        <f>IFERROR((IF(VLOOKUP(A441,'ECN-ECO_DATA'!B:Q,15,FALSE)="","",VLOOKUP(A441,'ECN-ECO_DATA'!B:Q,15,FALSE))),"")</f>
        <v/>
      </c>
      <c r="L441" s="10" t="str">
        <f>IFERROR((IF(VLOOKUP(A441,'ECN-ECO_DATA'!B:Q,16,FALSE)="","",VLOOKUP(A441,'ECN-ECO_DATA'!B:Q,16,FALSE))),"")</f>
        <v/>
      </c>
      <c r="M441" s="9" t="str">
        <f>IFERROR((IF(VLOOKUP(A441,'ECN-ECO_DATA'!B:V,18,FALSE)=0/1/1900,"",VLOOKUP(A441,'ECN-ECO_DATA'!B:V,18,FALSE))),"")</f>
        <v/>
      </c>
      <c r="N441" s="9" t="str">
        <f>IFERROR((IF(VLOOKUP(A441,'ECN-ECO_DATA'!B:V,19,FALSE)=0/1/1900,"",VLOOKUP(A441,'ECN-ECO_DATA'!B:V,19,FALSE))),"")</f>
        <v/>
      </c>
      <c r="O441" s="9" t="str">
        <f>IFERROR((IF(VLOOKUP(A441,'ECN-ECO_DATA'!B:V,20,FALSE)=0/1/1900,"",VLOOKUP(A441,'ECN-ECO_DATA'!B:V,20,FALSE))),"")</f>
        <v/>
      </c>
      <c r="P441" s="9" t="str">
        <f>IFERROR((IF(VLOOKUP(A441,'ECN-ECO_DATA'!B:V,21,FALSE)=0/1/1900,"",VLOOKUP(A441,'ECN-ECO_DATA'!B:V,21,FALSE))),"")</f>
        <v/>
      </c>
      <c r="Q441" s="10" t="str">
        <f t="shared" ca="1" si="30"/>
        <v/>
      </c>
      <c r="R441" s="4" t="str">
        <f t="shared" si="31"/>
        <v/>
      </c>
      <c r="S441" s="4" t="str">
        <f t="shared" si="32"/>
        <v/>
      </c>
      <c r="T441" s="4" t="str">
        <f t="shared" si="33"/>
        <v/>
      </c>
      <c r="U441" s="10" t="str">
        <f t="shared" si="34"/>
        <v/>
      </c>
      <c r="V441" s="4"/>
    </row>
    <row r="442" spans="2:22" x14ac:dyDescent="0.25">
      <c r="B442" s="4" t="str">
        <f>IFERROR(VLOOKUP(A442,'ECN-ECO_DATA'!B:G,4,FALSE),"")</f>
        <v/>
      </c>
      <c r="C442" s="9" t="str">
        <f>IFERROR(VLOOKUP(A442,'ECN-ECO_DATA'!B:G,5,FALSE),"")</f>
        <v/>
      </c>
      <c r="D442" s="9" t="str">
        <f ca="1">IFERROR((IF(VLOOKUP(A442,'ECN-ECO_DATA'!B:G,6,FALSE)=0/1/1900,TODAY(),VLOOKUP(A442,'ECN-ECO_DATA'!B:G,6,FALSE))),"")</f>
        <v/>
      </c>
      <c r="E442" s="9" t="str">
        <f>IFERROR((IF(VLOOKUP(A442,'ECN-ECO_DATA'!B:G,6,FALSE)=0/1/1900,"",VLOOKUP(A442,'ECN-ECO_DATA'!B:G,6,FALSE))),"")</f>
        <v/>
      </c>
      <c r="F442" s="9" t="str">
        <f>IFERROR((IF(VLOOKUP(A442,'ECN-ECO_DATA'!B:J,7,FALSE)=0/1/1900,"",VLOOKUP(A442,'ECN-ECO_DATA'!B:J,7,FALSE))),"")</f>
        <v/>
      </c>
      <c r="G442" s="9" t="str">
        <f>IFERROR((IF(VLOOKUP(A442,'ECN-ECO_DATA'!B:J,8,FALSE)=0/1/1900,"",VLOOKUP(A442,'ECN-ECO_DATA'!B:J,8,FALSE))),"")</f>
        <v/>
      </c>
      <c r="H442" s="9" t="str">
        <f>IFERROR((IF(VLOOKUP(A442,'ECN-ECO_DATA'!B:J,9,FALSE)=0/1/1900,"",VLOOKUP(A442,'ECN-ECO_DATA'!B:J,9,FALSE))),"")</f>
        <v/>
      </c>
      <c r="I442" s="10" t="str">
        <f>IFERROR((IF(VLOOKUP(A442,'ECN-ECO_DATA'!B:Q,13,FALSE)="","",VLOOKUP(A442,'ECN-ECO_DATA'!B:Q,13,FALSE))),"")</f>
        <v/>
      </c>
      <c r="J442" s="10" t="str">
        <f>IFERROR((IF(VLOOKUP(A442,'ECN-ECO_DATA'!B:Q,14,FALSE)="","",VLOOKUP(A442,'ECN-ECO_DATA'!B:Q,14,FALSE))),"")</f>
        <v/>
      </c>
      <c r="K442" s="10" t="str">
        <f>IFERROR((IF(VLOOKUP(A442,'ECN-ECO_DATA'!B:Q,15,FALSE)="","",VLOOKUP(A442,'ECN-ECO_DATA'!B:Q,15,FALSE))),"")</f>
        <v/>
      </c>
      <c r="L442" s="10" t="str">
        <f>IFERROR((IF(VLOOKUP(A442,'ECN-ECO_DATA'!B:Q,16,FALSE)="","",VLOOKUP(A442,'ECN-ECO_DATA'!B:Q,16,FALSE))),"")</f>
        <v/>
      </c>
      <c r="M442" s="9" t="str">
        <f>IFERROR((IF(VLOOKUP(A442,'ECN-ECO_DATA'!B:V,18,FALSE)=0/1/1900,"",VLOOKUP(A442,'ECN-ECO_DATA'!B:V,18,FALSE))),"")</f>
        <v/>
      </c>
      <c r="N442" s="9" t="str">
        <f>IFERROR((IF(VLOOKUP(A442,'ECN-ECO_DATA'!B:V,19,FALSE)=0/1/1900,"",VLOOKUP(A442,'ECN-ECO_DATA'!B:V,19,FALSE))),"")</f>
        <v/>
      </c>
      <c r="O442" s="9" t="str">
        <f>IFERROR((IF(VLOOKUP(A442,'ECN-ECO_DATA'!B:V,20,FALSE)=0/1/1900,"",VLOOKUP(A442,'ECN-ECO_DATA'!B:V,20,FALSE))),"")</f>
        <v/>
      </c>
      <c r="P442" s="9" t="str">
        <f>IFERROR((IF(VLOOKUP(A442,'ECN-ECO_DATA'!B:V,21,FALSE)=0/1/1900,"",VLOOKUP(A442,'ECN-ECO_DATA'!B:V,21,FALSE))),"")</f>
        <v/>
      </c>
      <c r="Q442" s="10" t="str">
        <f t="shared" ca="1" si="30"/>
        <v/>
      </c>
      <c r="R442" s="4" t="str">
        <f t="shared" si="31"/>
        <v/>
      </c>
      <c r="S442" s="4" t="str">
        <f t="shared" si="32"/>
        <v/>
      </c>
      <c r="T442" s="4" t="str">
        <f t="shared" si="33"/>
        <v/>
      </c>
      <c r="U442" s="10" t="str">
        <f t="shared" si="34"/>
        <v/>
      </c>
      <c r="V442" s="4"/>
    </row>
    <row r="443" spans="2:22" x14ac:dyDescent="0.25">
      <c r="B443" s="4" t="str">
        <f>IFERROR(VLOOKUP(A443,'ECN-ECO_DATA'!B:G,4,FALSE),"")</f>
        <v/>
      </c>
      <c r="C443" s="9" t="str">
        <f>IFERROR(VLOOKUP(A443,'ECN-ECO_DATA'!B:G,5,FALSE),"")</f>
        <v/>
      </c>
      <c r="D443" s="9" t="str">
        <f ca="1">IFERROR((IF(VLOOKUP(A443,'ECN-ECO_DATA'!B:G,6,FALSE)=0/1/1900,TODAY(),VLOOKUP(A443,'ECN-ECO_DATA'!B:G,6,FALSE))),"")</f>
        <v/>
      </c>
      <c r="E443" s="9" t="str">
        <f>IFERROR((IF(VLOOKUP(A443,'ECN-ECO_DATA'!B:G,6,FALSE)=0/1/1900,"",VLOOKUP(A443,'ECN-ECO_DATA'!B:G,6,FALSE))),"")</f>
        <v/>
      </c>
      <c r="F443" s="9" t="str">
        <f>IFERROR((IF(VLOOKUP(A443,'ECN-ECO_DATA'!B:J,7,FALSE)=0/1/1900,"",VLOOKUP(A443,'ECN-ECO_DATA'!B:J,7,FALSE))),"")</f>
        <v/>
      </c>
      <c r="G443" s="9" t="str">
        <f>IFERROR((IF(VLOOKUP(A443,'ECN-ECO_DATA'!B:J,8,FALSE)=0/1/1900,"",VLOOKUP(A443,'ECN-ECO_DATA'!B:J,8,FALSE))),"")</f>
        <v/>
      </c>
      <c r="H443" s="9" t="str">
        <f>IFERROR((IF(VLOOKUP(A443,'ECN-ECO_DATA'!B:J,9,FALSE)=0/1/1900,"",VLOOKUP(A443,'ECN-ECO_DATA'!B:J,9,FALSE))),"")</f>
        <v/>
      </c>
      <c r="I443" s="10" t="str">
        <f>IFERROR((IF(VLOOKUP(A443,'ECN-ECO_DATA'!B:Q,13,FALSE)="","",VLOOKUP(A443,'ECN-ECO_DATA'!B:Q,13,FALSE))),"")</f>
        <v/>
      </c>
      <c r="J443" s="10" t="str">
        <f>IFERROR((IF(VLOOKUP(A443,'ECN-ECO_DATA'!B:Q,14,FALSE)="","",VLOOKUP(A443,'ECN-ECO_DATA'!B:Q,14,FALSE))),"")</f>
        <v/>
      </c>
      <c r="K443" s="10" t="str">
        <f>IFERROR((IF(VLOOKUP(A443,'ECN-ECO_DATA'!B:Q,15,FALSE)="","",VLOOKUP(A443,'ECN-ECO_DATA'!B:Q,15,FALSE))),"")</f>
        <v/>
      </c>
      <c r="L443" s="10" t="str">
        <f>IFERROR((IF(VLOOKUP(A443,'ECN-ECO_DATA'!B:Q,16,FALSE)="","",VLOOKUP(A443,'ECN-ECO_DATA'!B:Q,16,FALSE))),"")</f>
        <v/>
      </c>
      <c r="M443" s="9" t="str">
        <f>IFERROR((IF(VLOOKUP(A443,'ECN-ECO_DATA'!B:V,18,FALSE)=0/1/1900,"",VLOOKUP(A443,'ECN-ECO_DATA'!B:V,18,FALSE))),"")</f>
        <v/>
      </c>
      <c r="N443" s="9" t="str">
        <f>IFERROR((IF(VLOOKUP(A443,'ECN-ECO_DATA'!B:V,19,FALSE)=0/1/1900,"",VLOOKUP(A443,'ECN-ECO_DATA'!B:V,19,FALSE))),"")</f>
        <v/>
      </c>
      <c r="O443" s="9" t="str">
        <f>IFERROR((IF(VLOOKUP(A443,'ECN-ECO_DATA'!B:V,20,FALSE)=0/1/1900,"",VLOOKUP(A443,'ECN-ECO_DATA'!B:V,20,FALSE))),"")</f>
        <v/>
      </c>
      <c r="P443" s="9" t="str">
        <f>IFERROR((IF(VLOOKUP(A443,'ECN-ECO_DATA'!B:V,21,FALSE)=0/1/1900,"",VLOOKUP(A443,'ECN-ECO_DATA'!B:V,21,FALSE))),"")</f>
        <v/>
      </c>
      <c r="Q443" s="10" t="str">
        <f t="shared" ca="1" si="30"/>
        <v/>
      </c>
      <c r="R443" s="4" t="str">
        <f t="shared" si="31"/>
        <v/>
      </c>
      <c r="S443" s="4" t="str">
        <f t="shared" si="32"/>
        <v/>
      </c>
      <c r="T443" s="4" t="str">
        <f t="shared" si="33"/>
        <v/>
      </c>
      <c r="U443" s="10" t="str">
        <f t="shared" si="34"/>
        <v/>
      </c>
      <c r="V443" s="4"/>
    </row>
    <row r="444" spans="2:22" x14ac:dyDescent="0.25">
      <c r="B444" s="4" t="str">
        <f>IFERROR(VLOOKUP(A444,'ECN-ECO_DATA'!B:G,4,FALSE),"")</f>
        <v/>
      </c>
      <c r="C444" s="9" t="str">
        <f>IFERROR(VLOOKUP(A444,'ECN-ECO_DATA'!B:G,5,FALSE),"")</f>
        <v/>
      </c>
      <c r="D444" s="9" t="str">
        <f ca="1">IFERROR((IF(VLOOKUP(A444,'ECN-ECO_DATA'!B:G,6,FALSE)=0/1/1900,TODAY(),VLOOKUP(A444,'ECN-ECO_DATA'!B:G,6,FALSE))),"")</f>
        <v/>
      </c>
      <c r="E444" s="9" t="str">
        <f>IFERROR((IF(VLOOKUP(A444,'ECN-ECO_DATA'!B:G,6,FALSE)=0/1/1900,"",VLOOKUP(A444,'ECN-ECO_DATA'!B:G,6,FALSE))),"")</f>
        <v/>
      </c>
      <c r="F444" s="9" t="str">
        <f>IFERROR((IF(VLOOKUP(A444,'ECN-ECO_DATA'!B:J,7,FALSE)=0/1/1900,"",VLOOKUP(A444,'ECN-ECO_DATA'!B:J,7,FALSE))),"")</f>
        <v/>
      </c>
      <c r="G444" s="9" t="str">
        <f>IFERROR((IF(VLOOKUP(A444,'ECN-ECO_DATA'!B:J,8,FALSE)=0/1/1900,"",VLOOKUP(A444,'ECN-ECO_DATA'!B:J,8,FALSE))),"")</f>
        <v/>
      </c>
      <c r="H444" s="9" t="str">
        <f>IFERROR((IF(VLOOKUP(A444,'ECN-ECO_DATA'!B:J,9,FALSE)=0/1/1900,"",VLOOKUP(A444,'ECN-ECO_DATA'!B:J,9,FALSE))),"")</f>
        <v/>
      </c>
      <c r="I444" s="10" t="str">
        <f>IFERROR((IF(VLOOKUP(A444,'ECN-ECO_DATA'!B:Q,13,FALSE)="","",VLOOKUP(A444,'ECN-ECO_DATA'!B:Q,13,FALSE))),"")</f>
        <v/>
      </c>
      <c r="J444" s="10" t="str">
        <f>IFERROR((IF(VLOOKUP(A444,'ECN-ECO_DATA'!B:Q,14,FALSE)="","",VLOOKUP(A444,'ECN-ECO_DATA'!B:Q,14,FALSE))),"")</f>
        <v/>
      </c>
      <c r="K444" s="10" t="str">
        <f>IFERROR((IF(VLOOKUP(A444,'ECN-ECO_DATA'!B:Q,15,FALSE)="","",VLOOKUP(A444,'ECN-ECO_DATA'!B:Q,15,FALSE))),"")</f>
        <v/>
      </c>
      <c r="L444" s="10" t="str">
        <f>IFERROR((IF(VLOOKUP(A444,'ECN-ECO_DATA'!B:Q,16,FALSE)="","",VLOOKUP(A444,'ECN-ECO_DATA'!B:Q,16,FALSE))),"")</f>
        <v/>
      </c>
      <c r="M444" s="9" t="str">
        <f>IFERROR((IF(VLOOKUP(A444,'ECN-ECO_DATA'!B:V,18,FALSE)=0/1/1900,"",VLOOKUP(A444,'ECN-ECO_DATA'!B:V,18,FALSE))),"")</f>
        <v/>
      </c>
      <c r="N444" s="9" t="str">
        <f>IFERROR((IF(VLOOKUP(A444,'ECN-ECO_DATA'!B:V,19,FALSE)=0/1/1900,"",VLOOKUP(A444,'ECN-ECO_DATA'!B:V,19,FALSE))),"")</f>
        <v/>
      </c>
      <c r="O444" s="9" t="str">
        <f>IFERROR((IF(VLOOKUP(A444,'ECN-ECO_DATA'!B:V,20,FALSE)=0/1/1900,"",VLOOKUP(A444,'ECN-ECO_DATA'!B:V,20,FALSE))),"")</f>
        <v/>
      </c>
      <c r="P444" s="9" t="str">
        <f>IFERROR((IF(VLOOKUP(A444,'ECN-ECO_DATA'!B:V,21,FALSE)=0/1/1900,"",VLOOKUP(A444,'ECN-ECO_DATA'!B:V,21,FALSE))),"")</f>
        <v/>
      </c>
      <c r="Q444" s="10" t="str">
        <f t="shared" ca="1" si="30"/>
        <v/>
      </c>
      <c r="R444" s="4" t="str">
        <f t="shared" si="31"/>
        <v/>
      </c>
      <c r="S444" s="4" t="str">
        <f t="shared" si="32"/>
        <v/>
      </c>
      <c r="T444" s="4" t="str">
        <f t="shared" si="33"/>
        <v/>
      </c>
      <c r="U444" s="10" t="str">
        <f t="shared" si="34"/>
        <v/>
      </c>
      <c r="V444" s="4"/>
    </row>
    <row r="445" spans="2:22" x14ac:dyDescent="0.25">
      <c r="B445" s="4" t="str">
        <f>IFERROR(VLOOKUP(A445,'ECN-ECO_DATA'!B:G,4,FALSE),"")</f>
        <v/>
      </c>
      <c r="C445" s="9" t="str">
        <f>IFERROR(VLOOKUP(A445,'ECN-ECO_DATA'!B:G,5,FALSE),"")</f>
        <v/>
      </c>
      <c r="D445" s="9" t="str">
        <f ca="1">IFERROR((IF(VLOOKUP(A445,'ECN-ECO_DATA'!B:G,6,FALSE)=0/1/1900,TODAY(),VLOOKUP(A445,'ECN-ECO_DATA'!B:G,6,FALSE))),"")</f>
        <v/>
      </c>
      <c r="E445" s="9" t="str">
        <f>IFERROR((IF(VLOOKUP(A445,'ECN-ECO_DATA'!B:G,6,FALSE)=0/1/1900,"",VLOOKUP(A445,'ECN-ECO_DATA'!B:G,6,FALSE))),"")</f>
        <v/>
      </c>
      <c r="F445" s="9" t="str">
        <f>IFERROR((IF(VLOOKUP(A445,'ECN-ECO_DATA'!B:J,7,FALSE)=0/1/1900,"",VLOOKUP(A445,'ECN-ECO_DATA'!B:J,7,FALSE))),"")</f>
        <v/>
      </c>
      <c r="G445" s="9" t="str">
        <f>IFERROR((IF(VLOOKUP(A445,'ECN-ECO_DATA'!B:J,8,FALSE)=0/1/1900,"",VLOOKUP(A445,'ECN-ECO_DATA'!B:J,8,FALSE))),"")</f>
        <v/>
      </c>
      <c r="H445" s="9" t="str">
        <f>IFERROR((IF(VLOOKUP(A445,'ECN-ECO_DATA'!B:J,9,FALSE)=0/1/1900,"",VLOOKUP(A445,'ECN-ECO_DATA'!B:J,9,FALSE))),"")</f>
        <v/>
      </c>
      <c r="I445" s="10" t="str">
        <f>IFERROR((IF(VLOOKUP(A445,'ECN-ECO_DATA'!B:Q,13,FALSE)="","",VLOOKUP(A445,'ECN-ECO_DATA'!B:Q,13,FALSE))),"")</f>
        <v/>
      </c>
      <c r="J445" s="10" t="str">
        <f>IFERROR((IF(VLOOKUP(A445,'ECN-ECO_DATA'!B:Q,14,FALSE)="","",VLOOKUP(A445,'ECN-ECO_DATA'!B:Q,14,FALSE))),"")</f>
        <v/>
      </c>
      <c r="K445" s="10" t="str">
        <f>IFERROR((IF(VLOOKUP(A445,'ECN-ECO_DATA'!B:Q,15,FALSE)="","",VLOOKUP(A445,'ECN-ECO_DATA'!B:Q,15,FALSE))),"")</f>
        <v/>
      </c>
      <c r="L445" s="10" t="str">
        <f>IFERROR((IF(VLOOKUP(A445,'ECN-ECO_DATA'!B:Q,16,FALSE)="","",VLOOKUP(A445,'ECN-ECO_DATA'!B:Q,16,FALSE))),"")</f>
        <v/>
      </c>
      <c r="M445" s="9" t="str">
        <f>IFERROR((IF(VLOOKUP(A445,'ECN-ECO_DATA'!B:V,18,FALSE)=0/1/1900,"",VLOOKUP(A445,'ECN-ECO_DATA'!B:V,18,FALSE))),"")</f>
        <v/>
      </c>
      <c r="N445" s="9" t="str">
        <f>IFERROR((IF(VLOOKUP(A445,'ECN-ECO_DATA'!B:V,19,FALSE)=0/1/1900,"",VLOOKUP(A445,'ECN-ECO_DATA'!B:V,19,FALSE))),"")</f>
        <v/>
      </c>
      <c r="O445" s="9" t="str">
        <f>IFERROR((IF(VLOOKUP(A445,'ECN-ECO_DATA'!B:V,20,FALSE)=0/1/1900,"",VLOOKUP(A445,'ECN-ECO_DATA'!B:V,20,FALSE))),"")</f>
        <v/>
      </c>
      <c r="P445" s="9" t="str">
        <f>IFERROR((IF(VLOOKUP(A445,'ECN-ECO_DATA'!B:V,21,FALSE)=0/1/1900,"",VLOOKUP(A445,'ECN-ECO_DATA'!B:V,21,FALSE))),"")</f>
        <v/>
      </c>
      <c r="Q445" s="10" t="str">
        <f t="shared" ca="1" si="30"/>
        <v/>
      </c>
      <c r="R445" s="4" t="str">
        <f t="shared" si="31"/>
        <v/>
      </c>
      <c r="S445" s="4" t="str">
        <f t="shared" si="32"/>
        <v/>
      </c>
      <c r="T445" s="4" t="str">
        <f t="shared" si="33"/>
        <v/>
      </c>
      <c r="U445" s="10" t="str">
        <f t="shared" si="34"/>
        <v/>
      </c>
      <c r="V445" s="4"/>
    </row>
    <row r="446" spans="2:22" x14ac:dyDescent="0.25">
      <c r="B446" s="4" t="str">
        <f>IFERROR(VLOOKUP(A446,'ECN-ECO_DATA'!B:G,4,FALSE),"")</f>
        <v/>
      </c>
      <c r="C446" s="9" t="str">
        <f>IFERROR(VLOOKUP(A446,'ECN-ECO_DATA'!B:G,5,FALSE),"")</f>
        <v/>
      </c>
      <c r="D446" s="9" t="str">
        <f ca="1">IFERROR((IF(VLOOKUP(A446,'ECN-ECO_DATA'!B:G,6,FALSE)=0/1/1900,TODAY(),VLOOKUP(A446,'ECN-ECO_DATA'!B:G,6,FALSE))),"")</f>
        <v/>
      </c>
      <c r="E446" s="9" t="str">
        <f>IFERROR((IF(VLOOKUP(A446,'ECN-ECO_DATA'!B:G,6,FALSE)=0/1/1900,"",VLOOKUP(A446,'ECN-ECO_DATA'!B:G,6,FALSE))),"")</f>
        <v/>
      </c>
      <c r="F446" s="9" t="str">
        <f>IFERROR((IF(VLOOKUP(A446,'ECN-ECO_DATA'!B:J,7,FALSE)=0/1/1900,"",VLOOKUP(A446,'ECN-ECO_DATA'!B:J,7,FALSE))),"")</f>
        <v/>
      </c>
      <c r="G446" s="9" t="str">
        <f>IFERROR((IF(VLOOKUP(A446,'ECN-ECO_DATA'!B:J,8,FALSE)=0/1/1900,"",VLOOKUP(A446,'ECN-ECO_DATA'!B:J,8,FALSE))),"")</f>
        <v/>
      </c>
      <c r="H446" s="9" t="str">
        <f>IFERROR((IF(VLOOKUP(A446,'ECN-ECO_DATA'!B:J,9,FALSE)=0/1/1900,"",VLOOKUP(A446,'ECN-ECO_DATA'!B:J,9,FALSE))),"")</f>
        <v/>
      </c>
      <c r="I446" s="10" t="str">
        <f>IFERROR((IF(VLOOKUP(A446,'ECN-ECO_DATA'!B:Q,13,FALSE)="","",VLOOKUP(A446,'ECN-ECO_DATA'!B:Q,13,FALSE))),"")</f>
        <v/>
      </c>
      <c r="J446" s="10" t="str">
        <f>IFERROR((IF(VLOOKUP(A446,'ECN-ECO_DATA'!B:Q,14,FALSE)="","",VLOOKUP(A446,'ECN-ECO_DATA'!B:Q,14,FALSE))),"")</f>
        <v/>
      </c>
      <c r="K446" s="10" t="str">
        <f>IFERROR((IF(VLOOKUP(A446,'ECN-ECO_DATA'!B:Q,15,FALSE)="","",VLOOKUP(A446,'ECN-ECO_DATA'!B:Q,15,FALSE))),"")</f>
        <v/>
      </c>
      <c r="L446" s="10" t="str">
        <f>IFERROR((IF(VLOOKUP(A446,'ECN-ECO_DATA'!B:Q,16,FALSE)="","",VLOOKUP(A446,'ECN-ECO_DATA'!B:Q,16,FALSE))),"")</f>
        <v/>
      </c>
      <c r="M446" s="9" t="str">
        <f>IFERROR((IF(VLOOKUP(A446,'ECN-ECO_DATA'!B:V,18,FALSE)=0/1/1900,"",VLOOKUP(A446,'ECN-ECO_DATA'!B:V,18,FALSE))),"")</f>
        <v/>
      </c>
      <c r="N446" s="9" t="str">
        <f>IFERROR((IF(VLOOKUP(A446,'ECN-ECO_DATA'!B:V,19,FALSE)=0/1/1900,"",VLOOKUP(A446,'ECN-ECO_DATA'!B:V,19,FALSE))),"")</f>
        <v/>
      </c>
      <c r="O446" s="9" t="str">
        <f>IFERROR((IF(VLOOKUP(A446,'ECN-ECO_DATA'!B:V,20,FALSE)=0/1/1900,"",VLOOKUP(A446,'ECN-ECO_DATA'!B:V,20,FALSE))),"")</f>
        <v/>
      </c>
      <c r="P446" s="9" t="str">
        <f>IFERROR((IF(VLOOKUP(A446,'ECN-ECO_DATA'!B:V,21,FALSE)=0/1/1900,"",VLOOKUP(A446,'ECN-ECO_DATA'!B:V,21,FALSE))),"")</f>
        <v/>
      </c>
      <c r="Q446" s="10" t="str">
        <f t="shared" ca="1" si="30"/>
        <v/>
      </c>
      <c r="R446" s="4" t="str">
        <f t="shared" si="31"/>
        <v/>
      </c>
      <c r="S446" s="4" t="str">
        <f t="shared" si="32"/>
        <v/>
      </c>
      <c r="T446" s="4" t="str">
        <f t="shared" si="33"/>
        <v/>
      </c>
      <c r="U446" s="10" t="str">
        <f t="shared" si="34"/>
        <v/>
      </c>
      <c r="V446" s="4"/>
    </row>
    <row r="447" spans="2:22" x14ac:dyDescent="0.25">
      <c r="B447" s="4" t="str">
        <f>IFERROR(VLOOKUP(A447,'ECN-ECO_DATA'!B:G,4,FALSE),"")</f>
        <v/>
      </c>
      <c r="C447" s="9" t="str">
        <f>IFERROR(VLOOKUP(A447,'ECN-ECO_DATA'!B:G,5,FALSE),"")</f>
        <v/>
      </c>
      <c r="D447" s="9" t="str">
        <f ca="1">IFERROR((IF(VLOOKUP(A447,'ECN-ECO_DATA'!B:G,6,FALSE)=0/1/1900,TODAY(),VLOOKUP(A447,'ECN-ECO_DATA'!B:G,6,FALSE))),"")</f>
        <v/>
      </c>
      <c r="E447" s="9" t="str">
        <f>IFERROR((IF(VLOOKUP(A447,'ECN-ECO_DATA'!B:G,6,FALSE)=0/1/1900,"",VLOOKUP(A447,'ECN-ECO_DATA'!B:G,6,FALSE))),"")</f>
        <v/>
      </c>
      <c r="F447" s="9" t="str">
        <f>IFERROR((IF(VLOOKUP(A447,'ECN-ECO_DATA'!B:J,7,FALSE)=0/1/1900,"",VLOOKUP(A447,'ECN-ECO_DATA'!B:J,7,FALSE))),"")</f>
        <v/>
      </c>
      <c r="G447" s="9" t="str">
        <f>IFERROR((IF(VLOOKUP(A447,'ECN-ECO_DATA'!B:J,8,FALSE)=0/1/1900,"",VLOOKUP(A447,'ECN-ECO_DATA'!B:J,8,FALSE))),"")</f>
        <v/>
      </c>
      <c r="H447" s="9" t="str">
        <f>IFERROR((IF(VLOOKUP(A447,'ECN-ECO_DATA'!B:J,9,FALSE)=0/1/1900,"",VLOOKUP(A447,'ECN-ECO_DATA'!B:J,9,FALSE))),"")</f>
        <v/>
      </c>
      <c r="I447" s="10" t="str">
        <f>IFERROR((IF(VLOOKUP(A447,'ECN-ECO_DATA'!B:Q,13,FALSE)="","",VLOOKUP(A447,'ECN-ECO_DATA'!B:Q,13,FALSE))),"")</f>
        <v/>
      </c>
      <c r="J447" s="10" t="str">
        <f>IFERROR((IF(VLOOKUP(A447,'ECN-ECO_DATA'!B:Q,14,FALSE)="","",VLOOKUP(A447,'ECN-ECO_DATA'!B:Q,14,FALSE))),"")</f>
        <v/>
      </c>
      <c r="K447" s="10" t="str">
        <f>IFERROR((IF(VLOOKUP(A447,'ECN-ECO_DATA'!B:Q,15,FALSE)="","",VLOOKUP(A447,'ECN-ECO_DATA'!B:Q,15,FALSE))),"")</f>
        <v/>
      </c>
      <c r="L447" s="10" t="str">
        <f>IFERROR((IF(VLOOKUP(A447,'ECN-ECO_DATA'!B:Q,16,FALSE)="","",VLOOKUP(A447,'ECN-ECO_DATA'!B:Q,16,FALSE))),"")</f>
        <v/>
      </c>
      <c r="M447" s="9" t="str">
        <f>IFERROR((IF(VLOOKUP(A447,'ECN-ECO_DATA'!B:V,18,FALSE)=0/1/1900,"",VLOOKUP(A447,'ECN-ECO_DATA'!B:V,18,FALSE))),"")</f>
        <v/>
      </c>
      <c r="N447" s="9" t="str">
        <f>IFERROR((IF(VLOOKUP(A447,'ECN-ECO_DATA'!B:V,19,FALSE)=0/1/1900,"",VLOOKUP(A447,'ECN-ECO_DATA'!B:V,19,FALSE))),"")</f>
        <v/>
      </c>
      <c r="O447" s="9" t="str">
        <f>IFERROR((IF(VLOOKUP(A447,'ECN-ECO_DATA'!B:V,20,FALSE)=0/1/1900,"",VLOOKUP(A447,'ECN-ECO_DATA'!B:V,20,FALSE))),"")</f>
        <v/>
      </c>
      <c r="P447" s="9" t="str">
        <f>IFERROR((IF(VLOOKUP(A447,'ECN-ECO_DATA'!B:V,21,FALSE)=0/1/1900,"",VLOOKUP(A447,'ECN-ECO_DATA'!B:V,21,FALSE))),"")</f>
        <v/>
      </c>
      <c r="Q447" s="10" t="str">
        <f t="shared" ca="1" si="30"/>
        <v/>
      </c>
      <c r="R447" s="4" t="str">
        <f t="shared" si="31"/>
        <v/>
      </c>
      <c r="S447" s="4" t="str">
        <f t="shared" si="32"/>
        <v/>
      </c>
      <c r="T447" s="4" t="str">
        <f t="shared" si="33"/>
        <v/>
      </c>
      <c r="U447" s="10" t="str">
        <f t="shared" si="34"/>
        <v/>
      </c>
      <c r="V447" s="4"/>
    </row>
    <row r="448" spans="2:22" x14ac:dyDescent="0.25">
      <c r="B448" s="4" t="str">
        <f>IFERROR(VLOOKUP(A448,'ECN-ECO_DATA'!B:G,4,FALSE),"")</f>
        <v/>
      </c>
      <c r="C448" s="9" t="str">
        <f>IFERROR(VLOOKUP(A448,'ECN-ECO_DATA'!B:G,5,FALSE),"")</f>
        <v/>
      </c>
      <c r="D448" s="9" t="str">
        <f ca="1">IFERROR((IF(VLOOKUP(A448,'ECN-ECO_DATA'!B:G,6,FALSE)=0/1/1900,TODAY(),VLOOKUP(A448,'ECN-ECO_DATA'!B:G,6,FALSE))),"")</f>
        <v/>
      </c>
      <c r="E448" s="9" t="str">
        <f>IFERROR((IF(VLOOKUP(A448,'ECN-ECO_DATA'!B:G,6,FALSE)=0/1/1900,"",VLOOKUP(A448,'ECN-ECO_DATA'!B:G,6,FALSE))),"")</f>
        <v/>
      </c>
      <c r="F448" s="9" t="str">
        <f>IFERROR((IF(VLOOKUP(A448,'ECN-ECO_DATA'!B:J,7,FALSE)=0/1/1900,"",VLOOKUP(A448,'ECN-ECO_DATA'!B:J,7,FALSE))),"")</f>
        <v/>
      </c>
      <c r="G448" s="9" t="str">
        <f>IFERROR((IF(VLOOKUP(A448,'ECN-ECO_DATA'!B:J,8,FALSE)=0/1/1900,"",VLOOKUP(A448,'ECN-ECO_DATA'!B:J,8,FALSE))),"")</f>
        <v/>
      </c>
      <c r="H448" s="9" t="str">
        <f>IFERROR((IF(VLOOKUP(A448,'ECN-ECO_DATA'!B:J,9,FALSE)=0/1/1900,"",VLOOKUP(A448,'ECN-ECO_DATA'!B:J,9,FALSE))),"")</f>
        <v/>
      </c>
      <c r="I448" s="10" t="str">
        <f>IFERROR((IF(VLOOKUP(A448,'ECN-ECO_DATA'!B:Q,13,FALSE)="","",VLOOKUP(A448,'ECN-ECO_DATA'!B:Q,13,FALSE))),"")</f>
        <v/>
      </c>
      <c r="J448" s="10" t="str">
        <f>IFERROR((IF(VLOOKUP(A448,'ECN-ECO_DATA'!B:Q,14,FALSE)="","",VLOOKUP(A448,'ECN-ECO_DATA'!B:Q,14,FALSE))),"")</f>
        <v/>
      </c>
      <c r="K448" s="10" t="str">
        <f>IFERROR((IF(VLOOKUP(A448,'ECN-ECO_DATA'!B:Q,15,FALSE)="","",VLOOKUP(A448,'ECN-ECO_DATA'!B:Q,15,FALSE))),"")</f>
        <v/>
      </c>
      <c r="L448" s="10" t="str">
        <f>IFERROR((IF(VLOOKUP(A448,'ECN-ECO_DATA'!B:Q,16,FALSE)="","",VLOOKUP(A448,'ECN-ECO_DATA'!B:Q,16,FALSE))),"")</f>
        <v/>
      </c>
      <c r="M448" s="9" t="str">
        <f>IFERROR((IF(VLOOKUP(A448,'ECN-ECO_DATA'!B:V,18,FALSE)=0/1/1900,"",VLOOKUP(A448,'ECN-ECO_DATA'!B:V,18,FALSE))),"")</f>
        <v/>
      </c>
      <c r="N448" s="9" t="str">
        <f>IFERROR((IF(VLOOKUP(A448,'ECN-ECO_DATA'!B:V,19,FALSE)=0/1/1900,"",VLOOKUP(A448,'ECN-ECO_DATA'!B:V,19,FALSE))),"")</f>
        <v/>
      </c>
      <c r="O448" s="9" t="str">
        <f>IFERROR((IF(VLOOKUP(A448,'ECN-ECO_DATA'!B:V,20,FALSE)=0/1/1900,"",VLOOKUP(A448,'ECN-ECO_DATA'!B:V,20,FALSE))),"")</f>
        <v/>
      </c>
      <c r="P448" s="9" t="str">
        <f>IFERROR((IF(VLOOKUP(A448,'ECN-ECO_DATA'!B:V,21,FALSE)=0/1/1900,"",VLOOKUP(A448,'ECN-ECO_DATA'!B:V,21,FALSE))),"")</f>
        <v/>
      </c>
      <c r="Q448" s="10" t="str">
        <f t="shared" ca="1" si="30"/>
        <v/>
      </c>
      <c r="R448" s="4" t="str">
        <f t="shared" si="31"/>
        <v/>
      </c>
      <c r="S448" s="4" t="str">
        <f t="shared" si="32"/>
        <v/>
      </c>
      <c r="T448" s="4" t="str">
        <f t="shared" si="33"/>
        <v/>
      </c>
      <c r="U448" s="10" t="str">
        <f t="shared" si="34"/>
        <v/>
      </c>
      <c r="V448" s="4"/>
    </row>
    <row r="449" spans="2:22" x14ac:dyDescent="0.25">
      <c r="B449" s="4" t="str">
        <f>IFERROR(VLOOKUP(A449,'ECN-ECO_DATA'!B:G,4,FALSE),"")</f>
        <v/>
      </c>
      <c r="C449" s="9" t="str">
        <f>IFERROR(VLOOKUP(A449,'ECN-ECO_DATA'!B:G,5,FALSE),"")</f>
        <v/>
      </c>
      <c r="D449" s="9" t="str">
        <f ca="1">IFERROR((IF(VLOOKUP(A449,'ECN-ECO_DATA'!B:G,6,FALSE)=0/1/1900,TODAY(),VLOOKUP(A449,'ECN-ECO_DATA'!B:G,6,FALSE))),"")</f>
        <v/>
      </c>
      <c r="E449" s="9" t="str">
        <f>IFERROR((IF(VLOOKUP(A449,'ECN-ECO_DATA'!B:G,6,FALSE)=0/1/1900,"",VLOOKUP(A449,'ECN-ECO_DATA'!B:G,6,FALSE))),"")</f>
        <v/>
      </c>
      <c r="F449" s="9" t="str">
        <f>IFERROR((IF(VLOOKUP(A449,'ECN-ECO_DATA'!B:J,7,FALSE)=0/1/1900,"",VLOOKUP(A449,'ECN-ECO_DATA'!B:J,7,FALSE))),"")</f>
        <v/>
      </c>
      <c r="G449" s="9" t="str">
        <f>IFERROR((IF(VLOOKUP(A449,'ECN-ECO_DATA'!B:J,8,FALSE)=0/1/1900,"",VLOOKUP(A449,'ECN-ECO_DATA'!B:J,8,FALSE))),"")</f>
        <v/>
      </c>
      <c r="H449" s="9" t="str">
        <f>IFERROR((IF(VLOOKUP(A449,'ECN-ECO_DATA'!B:J,9,FALSE)=0/1/1900,"",VLOOKUP(A449,'ECN-ECO_DATA'!B:J,9,FALSE))),"")</f>
        <v/>
      </c>
      <c r="I449" s="10" t="str">
        <f>IFERROR((IF(VLOOKUP(A449,'ECN-ECO_DATA'!B:Q,13,FALSE)="","",VLOOKUP(A449,'ECN-ECO_DATA'!B:Q,13,FALSE))),"")</f>
        <v/>
      </c>
      <c r="J449" s="10" t="str">
        <f>IFERROR((IF(VLOOKUP(A449,'ECN-ECO_DATA'!B:Q,14,FALSE)="","",VLOOKUP(A449,'ECN-ECO_DATA'!B:Q,14,FALSE))),"")</f>
        <v/>
      </c>
      <c r="K449" s="10" t="str">
        <f>IFERROR((IF(VLOOKUP(A449,'ECN-ECO_DATA'!B:Q,15,FALSE)="","",VLOOKUP(A449,'ECN-ECO_DATA'!B:Q,15,FALSE))),"")</f>
        <v/>
      </c>
      <c r="L449" s="10" t="str">
        <f>IFERROR((IF(VLOOKUP(A449,'ECN-ECO_DATA'!B:Q,16,FALSE)="","",VLOOKUP(A449,'ECN-ECO_DATA'!B:Q,16,FALSE))),"")</f>
        <v/>
      </c>
      <c r="M449" s="9" t="str">
        <f>IFERROR((IF(VLOOKUP(A449,'ECN-ECO_DATA'!B:V,18,FALSE)=0/1/1900,"",VLOOKUP(A449,'ECN-ECO_DATA'!B:V,18,FALSE))),"")</f>
        <v/>
      </c>
      <c r="N449" s="9" t="str">
        <f>IFERROR((IF(VLOOKUP(A449,'ECN-ECO_DATA'!B:V,19,FALSE)=0/1/1900,"",VLOOKUP(A449,'ECN-ECO_DATA'!B:V,19,FALSE))),"")</f>
        <v/>
      </c>
      <c r="O449" s="9" t="str">
        <f>IFERROR((IF(VLOOKUP(A449,'ECN-ECO_DATA'!B:V,20,FALSE)=0/1/1900,"",VLOOKUP(A449,'ECN-ECO_DATA'!B:V,20,FALSE))),"")</f>
        <v/>
      </c>
      <c r="P449" s="9" t="str">
        <f>IFERROR((IF(VLOOKUP(A449,'ECN-ECO_DATA'!B:V,21,FALSE)=0/1/1900,"",VLOOKUP(A449,'ECN-ECO_DATA'!B:V,21,FALSE))),"")</f>
        <v/>
      </c>
      <c r="Q449" s="10" t="str">
        <f t="shared" ca="1" si="30"/>
        <v/>
      </c>
      <c r="R449" s="4" t="str">
        <f t="shared" si="31"/>
        <v/>
      </c>
      <c r="S449" s="4" t="str">
        <f t="shared" si="32"/>
        <v/>
      </c>
      <c r="T449" s="4" t="str">
        <f t="shared" si="33"/>
        <v/>
      </c>
      <c r="U449" s="10" t="str">
        <f t="shared" si="34"/>
        <v/>
      </c>
      <c r="V449" s="4"/>
    </row>
    <row r="450" spans="2:22" x14ac:dyDescent="0.25">
      <c r="B450" s="4" t="str">
        <f>IFERROR(VLOOKUP(A450,'ECN-ECO_DATA'!B:G,4,FALSE),"")</f>
        <v/>
      </c>
      <c r="C450" s="9" t="str">
        <f>IFERROR(VLOOKUP(A450,'ECN-ECO_DATA'!B:G,5,FALSE),"")</f>
        <v/>
      </c>
      <c r="D450" s="9" t="str">
        <f ca="1">IFERROR((IF(VLOOKUP(A450,'ECN-ECO_DATA'!B:G,6,FALSE)=0/1/1900,TODAY(),VLOOKUP(A450,'ECN-ECO_DATA'!B:G,6,FALSE))),"")</f>
        <v/>
      </c>
      <c r="E450" s="9" t="str">
        <f>IFERROR((IF(VLOOKUP(A450,'ECN-ECO_DATA'!B:G,6,FALSE)=0/1/1900,"",VLOOKUP(A450,'ECN-ECO_DATA'!B:G,6,FALSE))),"")</f>
        <v/>
      </c>
      <c r="F450" s="9" t="str">
        <f>IFERROR((IF(VLOOKUP(A450,'ECN-ECO_DATA'!B:J,7,FALSE)=0/1/1900,"",VLOOKUP(A450,'ECN-ECO_DATA'!B:J,7,FALSE))),"")</f>
        <v/>
      </c>
      <c r="G450" s="9" t="str">
        <f>IFERROR((IF(VLOOKUP(A450,'ECN-ECO_DATA'!B:J,8,FALSE)=0/1/1900,"",VLOOKUP(A450,'ECN-ECO_DATA'!B:J,8,FALSE))),"")</f>
        <v/>
      </c>
      <c r="H450" s="9" t="str">
        <f>IFERROR((IF(VLOOKUP(A450,'ECN-ECO_DATA'!B:J,9,FALSE)=0/1/1900,"",VLOOKUP(A450,'ECN-ECO_DATA'!B:J,9,FALSE))),"")</f>
        <v/>
      </c>
      <c r="I450" s="10" t="str">
        <f>IFERROR((IF(VLOOKUP(A450,'ECN-ECO_DATA'!B:Q,13,FALSE)="","",VLOOKUP(A450,'ECN-ECO_DATA'!B:Q,13,FALSE))),"")</f>
        <v/>
      </c>
      <c r="J450" s="10" t="str">
        <f>IFERROR((IF(VLOOKUP(A450,'ECN-ECO_DATA'!B:Q,14,FALSE)="","",VLOOKUP(A450,'ECN-ECO_DATA'!B:Q,14,FALSE))),"")</f>
        <v/>
      </c>
      <c r="K450" s="10" t="str">
        <f>IFERROR((IF(VLOOKUP(A450,'ECN-ECO_DATA'!B:Q,15,FALSE)="","",VLOOKUP(A450,'ECN-ECO_DATA'!B:Q,15,FALSE))),"")</f>
        <v/>
      </c>
      <c r="L450" s="10" t="str">
        <f>IFERROR((IF(VLOOKUP(A450,'ECN-ECO_DATA'!B:Q,16,FALSE)="","",VLOOKUP(A450,'ECN-ECO_DATA'!B:Q,16,FALSE))),"")</f>
        <v/>
      </c>
      <c r="M450" s="9" t="str">
        <f>IFERROR((IF(VLOOKUP(A450,'ECN-ECO_DATA'!B:V,18,FALSE)=0/1/1900,"",VLOOKUP(A450,'ECN-ECO_DATA'!B:V,18,FALSE))),"")</f>
        <v/>
      </c>
      <c r="N450" s="9" t="str">
        <f>IFERROR((IF(VLOOKUP(A450,'ECN-ECO_DATA'!B:V,19,FALSE)=0/1/1900,"",VLOOKUP(A450,'ECN-ECO_DATA'!B:V,19,FALSE))),"")</f>
        <v/>
      </c>
      <c r="O450" s="9" t="str">
        <f>IFERROR((IF(VLOOKUP(A450,'ECN-ECO_DATA'!B:V,20,FALSE)=0/1/1900,"",VLOOKUP(A450,'ECN-ECO_DATA'!B:V,20,FALSE))),"")</f>
        <v/>
      </c>
      <c r="P450" s="9" t="str">
        <f>IFERROR((IF(VLOOKUP(A450,'ECN-ECO_DATA'!B:V,21,FALSE)=0/1/1900,"",VLOOKUP(A450,'ECN-ECO_DATA'!B:V,21,FALSE))),"")</f>
        <v/>
      </c>
      <c r="Q450" s="10" t="str">
        <f t="shared" ca="1" si="30"/>
        <v/>
      </c>
      <c r="R450" s="4" t="str">
        <f t="shared" si="31"/>
        <v/>
      </c>
      <c r="S450" s="4" t="str">
        <f t="shared" si="32"/>
        <v/>
      </c>
      <c r="T450" s="4" t="str">
        <f t="shared" si="33"/>
        <v/>
      </c>
      <c r="U450" s="10" t="str">
        <f t="shared" si="34"/>
        <v/>
      </c>
      <c r="V450" s="4"/>
    </row>
    <row r="451" spans="2:22" x14ac:dyDescent="0.25">
      <c r="B451" s="4" t="str">
        <f>IFERROR(VLOOKUP(A451,'ECN-ECO_DATA'!B:G,4,FALSE),"")</f>
        <v/>
      </c>
      <c r="C451" s="9" t="str">
        <f>IFERROR(VLOOKUP(A451,'ECN-ECO_DATA'!B:G,5,FALSE),"")</f>
        <v/>
      </c>
      <c r="D451" s="9" t="str">
        <f ca="1">IFERROR((IF(VLOOKUP(A451,'ECN-ECO_DATA'!B:G,6,FALSE)=0/1/1900,TODAY(),VLOOKUP(A451,'ECN-ECO_DATA'!B:G,6,FALSE))),"")</f>
        <v/>
      </c>
      <c r="E451" s="9" t="str">
        <f>IFERROR((IF(VLOOKUP(A451,'ECN-ECO_DATA'!B:G,6,FALSE)=0/1/1900,"",VLOOKUP(A451,'ECN-ECO_DATA'!B:G,6,FALSE))),"")</f>
        <v/>
      </c>
      <c r="F451" s="9" t="str">
        <f>IFERROR((IF(VLOOKUP(A451,'ECN-ECO_DATA'!B:J,7,FALSE)=0/1/1900,"",VLOOKUP(A451,'ECN-ECO_DATA'!B:J,7,FALSE))),"")</f>
        <v/>
      </c>
      <c r="G451" s="9" t="str">
        <f>IFERROR((IF(VLOOKUP(A451,'ECN-ECO_DATA'!B:J,8,FALSE)=0/1/1900,"",VLOOKUP(A451,'ECN-ECO_DATA'!B:J,8,FALSE))),"")</f>
        <v/>
      </c>
      <c r="H451" s="9" t="str">
        <f>IFERROR((IF(VLOOKUP(A451,'ECN-ECO_DATA'!B:J,9,FALSE)=0/1/1900,"",VLOOKUP(A451,'ECN-ECO_DATA'!B:J,9,FALSE))),"")</f>
        <v/>
      </c>
      <c r="I451" s="10" t="str">
        <f>IFERROR((IF(VLOOKUP(A451,'ECN-ECO_DATA'!B:Q,13,FALSE)="","",VLOOKUP(A451,'ECN-ECO_DATA'!B:Q,13,FALSE))),"")</f>
        <v/>
      </c>
      <c r="J451" s="10" t="str">
        <f>IFERROR((IF(VLOOKUP(A451,'ECN-ECO_DATA'!B:Q,14,FALSE)="","",VLOOKUP(A451,'ECN-ECO_DATA'!B:Q,14,FALSE))),"")</f>
        <v/>
      </c>
      <c r="K451" s="10" t="str">
        <f>IFERROR((IF(VLOOKUP(A451,'ECN-ECO_DATA'!B:Q,15,FALSE)="","",VLOOKUP(A451,'ECN-ECO_DATA'!B:Q,15,FALSE))),"")</f>
        <v/>
      </c>
      <c r="L451" s="10" t="str">
        <f>IFERROR((IF(VLOOKUP(A451,'ECN-ECO_DATA'!B:Q,16,FALSE)="","",VLOOKUP(A451,'ECN-ECO_DATA'!B:Q,16,FALSE))),"")</f>
        <v/>
      </c>
      <c r="M451" s="9" t="str">
        <f>IFERROR((IF(VLOOKUP(A451,'ECN-ECO_DATA'!B:V,18,FALSE)=0/1/1900,"",VLOOKUP(A451,'ECN-ECO_DATA'!B:V,18,FALSE))),"")</f>
        <v/>
      </c>
      <c r="N451" s="9" t="str">
        <f>IFERROR((IF(VLOOKUP(A451,'ECN-ECO_DATA'!B:V,19,FALSE)=0/1/1900,"",VLOOKUP(A451,'ECN-ECO_DATA'!B:V,19,FALSE))),"")</f>
        <v/>
      </c>
      <c r="O451" s="9" t="str">
        <f>IFERROR((IF(VLOOKUP(A451,'ECN-ECO_DATA'!B:V,20,FALSE)=0/1/1900,"",VLOOKUP(A451,'ECN-ECO_DATA'!B:V,20,FALSE))),"")</f>
        <v/>
      </c>
      <c r="P451" s="9" t="str">
        <f>IFERROR((IF(VLOOKUP(A451,'ECN-ECO_DATA'!B:V,21,FALSE)=0/1/1900,"",VLOOKUP(A451,'ECN-ECO_DATA'!B:V,21,FALSE))),"")</f>
        <v/>
      </c>
      <c r="Q451" s="10" t="str">
        <f t="shared" ref="Q451:Q514" ca="1" si="35">IFERROR(D451-C451,"")</f>
        <v/>
      </c>
      <c r="R451" s="4" t="str">
        <f t="shared" ref="R451:R514" si="36">IFERROR(H451-E451,"")</f>
        <v/>
      </c>
      <c r="S451" s="4" t="str">
        <f t="shared" ref="S451:S514" si="37">IFERROR(N451-H451,"")</f>
        <v/>
      </c>
      <c r="T451" s="4" t="str">
        <f t="shared" ref="T451:T514" si="38">IFERROR(O451-N451,"")</f>
        <v/>
      </c>
      <c r="U451" s="10" t="str">
        <f t="shared" ref="U451:U514" si="39">IF(O451="","",IF(SUM(Q451:T451)=0,"",SUM(Q451:T451)))</f>
        <v/>
      </c>
      <c r="V451" s="4"/>
    </row>
    <row r="452" spans="2:22" x14ac:dyDescent="0.25">
      <c r="B452" s="4" t="str">
        <f>IFERROR(VLOOKUP(A452,'ECN-ECO_DATA'!B:G,4,FALSE),"")</f>
        <v/>
      </c>
      <c r="C452" s="9" t="str">
        <f>IFERROR(VLOOKUP(A452,'ECN-ECO_DATA'!B:G,5,FALSE),"")</f>
        <v/>
      </c>
      <c r="D452" s="9" t="str">
        <f ca="1">IFERROR((IF(VLOOKUP(A452,'ECN-ECO_DATA'!B:G,6,FALSE)=0/1/1900,TODAY(),VLOOKUP(A452,'ECN-ECO_DATA'!B:G,6,FALSE))),"")</f>
        <v/>
      </c>
      <c r="E452" s="9" t="str">
        <f>IFERROR((IF(VLOOKUP(A452,'ECN-ECO_DATA'!B:G,6,FALSE)=0/1/1900,"",VLOOKUP(A452,'ECN-ECO_DATA'!B:G,6,FALSE))),"")</f>
        <v/>
      </c>
      <c r="F452" s="9" t="str">
        <f>IFERROR((IF(VLOOKUP(A452,'ECN-ECO_DATA'!B:J,7,FALSE)=0/1/1900,"",VLOOKUP(A452,'ECN-ECO_DATA'!B:J,7,FALSE))),"")</f>
        <v/>
      </c>
      <c r="G452" s="9" t="str">
        <f>IFERROR((IF(VLOOKUP(A452,'ECN-ECO_DATA'!B:J,8,FALSE)=0/1/1900,"",VLOOKUP(A452,'ECN-ECO_DATA'!B:J,8,FALSE))),"")</f>
        <v/>
      </c>
      <c r="H452" s="9" t="str">
        <f>IFERROR((IF(VLOOKUP(A452,'ECN-ECO_DATA'!B:J,9,FALSE)=0/1/1900,"",VLOOKUP(A452,'ECN-ECO_DATA'!B:J,9,FALSE))),"")</f>
        <v/>
      </c>
      <c r="I452" s="10" t="str">
        <f>IFERROR((IF(VLOOKUP(A452,'ECN-ECO_DATA'!B:Q,13,FALSE)="","",VLOOKUP(A452,'ECN-ECO_DATA'!B:Q,13,FALSE))),"")</f>
        <v/>
      </c>
      <c r="J452" s="10" t="str">
        <f>IFERROR((IF(VLOOKUP(A452,'ECN-ECO_DATA'!B:Q,14,FALSE)="","",VLOOKUP(A452,'ECN-ECO_DATA'!B:Q,14,FALSE))),"")</f>
        <v/>
      </c>
      <c r="K452" s="10" t="str">
        <f>IFERROR((IF(VLOOKUP(A452,'ECN-ECO_DATA'!B:Q,15,FALSE)="","",VLOOKUP(A452,'ECN-ECO_DATA'!B:Q,15,FALSE))),"")</f>
        <v/>
      </c>
      <c r="L452" s="10" t="str">
        <f>IFERROR((IF(VLOOKUP(A452,'ECN-ECO_DATA'!B:Q,16,FALSE)="","",VLOOKUP(A452,'ECN-ECO_DATA'!B:Q,16,FALSE))),"")</f>
        <v/>
      </c>
      <c r="M452" s="9" t="str">
        <f>IFERROR((IF(VLOOKUP(A452,'ECN-ECO_DATA'!B:V,18,FALSE)=0/1/1900,"",VLOOKUP(A452,'ECN-ECO_DATA'!B:V,18,FALSE))),"")</f>
        <v/>
      </c>
      <c r="N452" s="9" t="str">
        <f>IFERROR((IF(VLOOKUP(A452,'ECN-ECO_DATA'!B:V,19,FALSE)=0/1/1900,"",VLOOKUP(A452,'ECN-ECO_DATA'!B:V,19,FALSE))),"")</f>
        <v/>
      </c>
      <c r="O452" s="9" t="str">
        <f>IFERROR((IF(VLOOKUP(A452,'ECN-ECO_DATA'!B:V,20,FALSE)=0/1/1900,"",VLOOKUP(A452,'ECN-ECO_DATA'!B:V,20,FALSE))),"")</f>
        <v/>
      </c>
      <c r="P452" s="9" t="str">
        <f>IFERROR((IF(VLOOKUP(A452,'ECN-ECO_DATA'!B:V,21,FALSE)=0/1/1900,"",VLOOKUP(A452,'ECN-ECO_DATA'!B:V,21,FALSE))),"")</f>
        <v/>
      </c>
      <c r="Q452" s="10" t="str">
        <f t="shared" ca="1" si="35"/>
        <v/>
      </c>
      <c r="R452" s="4" t="str">
        <f t="shared" si="36"/>
        <v/>
      </c>
      <c r="S452" s="4" t="str">
        <f t="shared" si="37"/>
        <v/>
      </c>
      <c r="T452" s="4" t="str">
        <f t="shared" si="38"/>
        <v/>
      </c>
      <c r="U452" s="10" t="str">
        <f t="shared" si="39"/>
        <v/>
      </c>
      <c r="V452" s="4"/>
    </row>
    <row r="453" spans="2:22" x14ac:dyDescent="0.25">
      <c r="B453" s="4" t="str">
        <f>IFERROR(VLOOKUP(A453,'ECN-ECO_DATA'!B:G,4,FALSE),"")</f>
        <v/>
      </c>
      <c r="C453" s="9" t="str">
        <f>IFERROR(VLOOKUP(A453,'ECN-ECO_DATA'!B:G,5,FALSE),"")</f>
        <v/>
      </c>
      <c r="D453" s="9" t="str">
        <f ca="1">IFERROR((IF(VLOOKUP(A453,'ECN-ECO_DATA'!B:G,6,FALSE)=0/1/1900,TODAY(),VLOOKUP(A453,'ECN-ECO_DATA'!B:G,6,FALSE))),"")</f>
        <v/>
      </c>
      <c r="E453" s="9" t="str">
        <f>IFERROR((IF(VLOOKUP(A453,'ECN-ECO_DATA'!B:G,6,FALSE)=0/1/1900,"",VLOOKUP(A453,'ECN-ECO_DATA'!B:G,6,FALSE))),"")</f>
        <v/>
      </c>
      <c r="F453" s="9" t="str">
        <f>IFERROR((IF(VLOOKUP(A453,'ECN-ECO_DATA'!B:J,7,FALSE)=0/1/1900,"",VLOOKUP(A453,'ECN-ECO_DATA'!B:J,7,FALSE))),"")</f>
        <v/>
      </c>
      <c r="G453" s="9" t="str">
        <f>IFERROR((IF(VLOOKUP(A453,'ECN-ECO_DATA'!B:J,8,FALSE)=0/1/1900,"",VLOOKUP(A453,'ECN-ECO_DATA'!B:J,8,FALSE))),"")</f>
        <v/>
      </c>
      <c r="H453" s="9" t="str">
        <f>IFERROR((IF(VLOOKUP(A453,'ECN-ECO_DATA'!B:J,9,FALSE)=0/1/1900,"",VLOOKUP(A453,'ECN-ECO_DATA'!B:J,9,FALSE))),"")</f>
        <v/>
      </c>
      <c r="I453" s="10" t="str">
        <f>IFERROR((IF(VLOOKUP(A453,'ECN-ECO_DATA'!B:Q,13,FALSE)="","",VLOOKUP(A453,'ECN-ECO_DATA'!B:Q,13,FALSE))),"")</f>
        <v/>
      </c>
      <c r="J453" s="10" t="str">
        <f>IFERROR((IF(VLOOKUP(A453,'ECN-ECO_DATA'!B:Q,14,FALSE)="","",VLOOKUP(A453,'ECN-ECO_DATA'!B:Q,14,FALSE))),"")</f>
        <v/>
      </c>
      <c r="K453" s="10" t="str">
        <f>IFERROR((IF(VLOOKUP(A453,'ECN-ECO_DATA'!B:Q,15,FALSE)="","",VLOOKUP(A453,'ECN-ECO_DATA'!B:Q,15,FALSE))),"")</f>
        <v/>
      </c>
      <c r="L453" s="10" t="str">
        <f>IFERROR((IF(VLOOKUP(A453,'ECN-ECO_DATA'!B:Q,16,FALSE)="","",VLOOKUP(A453,'ECN-ECO_DATA'!B:Q,16,FALSE))),"")</f>
        <v/>
      </c>
      <c r="M453" s="9" t="str">
        <f>IFERROR((IF(VLOOKUP(A453,'ECN-ECO_DATA'!B:V,18,FALSE)=0/1/1900,"",VLOOKUP(A453,'ECN-ECO_DATA'!B:V,18,FALSE))),"")</f>
        <v/>
      </c>
      <c r="N453" s="9" t="str">
        <f>IFERROR((IF(VLOOKUP(A453,'ECN-ECO_DATA'!B:V,19,FALSE)=0/1/1900,"",VLOOKUP(A453,'ECN-ECO_DATA'!B:V,19,FALSE))),"")</f>
        <v/>
      </c>
      <c r="O453" s="9" t="str">
        <f>IFERROR((IF(VLOOKUP(A453,'ECN-ECO_DATA'!B:V,20,FALSE)=0/1/1900,"",VLOOKUP(A453,'ECN-ECO_DATA'!B:V,20,FALSE))),"")</f>
        <v/>
      </c>
      <c r="P453" s="9" t="str">
        <f>IFERROR((IF(VLOOKUP(A453,'ECN-ECO_DATA'!B:V,21,FALSE)=0/1/1900,"",VLOOKUP(A453,'ECN-ECO_DATA'!B:V,21,FALSE))),"")</f>
        <v/>
      </c>
      <c r="Q453" s="10" t="str">
        <f t="shared" ca="1" si="35"/>
        <v/>
      </c>
      <c r="R453" s="4" t="str">
        <f t="shared" si="36"/>
        <v/>
      </c>
      <c r="S453" s="4" t="str">
        <f t="shared" si="37"/>
        <v/>
      </c>
      <c r="T453" s="4" t="str">
        <f t="shared" si="38"/>
        <v/>
      </c>
      <c r="U453" s="10" t="str">
        <f t="shared" si="39"/>
        <v/>
      </c>
      <c r="V453" s="4"/>
    </row>
    <row r="454" spans="2:22" x14ac:dyDescent="0.25">
      <c r="B454" s="4" t="str">
        <f>IFERROR(VLOOKUP(A454,'ECN-ECO_DATA'!B:G,4,FALSE),"")</f>
        <v/>
      </c>
      <c r="C454" s="9" t="str">
        <f>IFERROR(VLOOKUP(A454,'ECN-ECO_DATA'!B:G,5,FALSE),"")</f>
        <v/>
      </c>
      <c r="D454" s="9" t="str">
        <f ca="1">IFERROR((IF(VLOOKUP(A454,'ECN-ECO_DATA'!B:G,6,FALSE)=0/1/1900,TODAY(),VLOOKUP(A454,'ECN-ECO_DATA'!B:G,6,FALSE))),"")</f>
        <v/>
      </c>
      <c r="E454" s="9" t="str">
        <f>IFERROR((IF(VLOOKUP(A454,'ECN-ECO_DATA'!B:G,6,FALSE)=0/1/1900,"",VLOOKUP(A454,'ECN-ECO_DATA'!B:G,6,FALSE))),"")</f>
        <v/>
      </c>
      <c r="F454" s="9" t="str">
        <f>IFERROR((IF(VLOOKUP(A454,'ECN-ECO_DATA'!B:J,7,FALSE)=0/1/1900,"",VLOOKUP(A454,'ECN-ECO_DATA'!B:J,7,FALSE))),"")</f>
        <v/>
      </c>
      <c r="G454" s="9" t="str">
        <f>IFERROR((IF(VLOOKUP(A454,'ECN-ECO_DATA'!B:J,8,FALSE)=0/1/1900,"",VLOOKUP(A454,'ECN-ECO_DATA'!B:J,8,FALSE))),"")</f>
        <v/>
      </c>
      <c r="H454" s="9" t="str">
        <f>IFERROR((IF(VLOOKUP(A454,'ECN-ECO_DATA'!B:J,9,FALSE)=0/1/1900,"",VLOOKUP(A454,'ECN-ECO_DATA'!B:J,9,FALSE))),"")</f>
        <v/>
      </c>
      <c r="I454" s="10" t="str">
        <f>IFERROR((IF(VLOOKUP(A454,'ECN-ECO_DATA'!B:Q,13,FALSE)="","",VLOOKUP(A454,'ECN-ECO_DATA'!B:Q,13,FALSE))),"")</f>
        <v/>
      </c>
      <c r="J454" s="10" t="str">
        <f>IFERROR((IF(VLOOKUP(A454,'ECN-ECO_DATA'!B:Q,14,FALSE)="","",VLOOKUP(A454,'ECN-ECO_DATA'!B:Q,14,FALSE))),"")</f>
        <v/>
      </c>
      <c r="K454" s="10" t="str">
        <f>IFERROR((IF(VLOOKUP(A454,'ECN-ECO_DATA'!B:Q,15,FALSE)="","",VLOOKUP(A454,'ECN-ECO_DATA'!B:Q,15,FALSE))),"")</f>
        <v/>
      </c>
      <c r="L454" s="10" t="str">
        <f>IFERROR((IF(VLOOKUP(A454,'ECN-ECO_DATA'!B:Q,16,FALSE)="","",VLOOKUP(A454,'ECN-ECO_DATA'!B:Q,16,FALSE))),"")</f>
        <v/>
      </c>
      <c r="M454" s="9" t="str">
        <f>IFERROR((IF(VLOOKUP(A454,'ECN-ECO_DATA'!B:V,18,FALSE)=0/1/1900,"",VLOOKUP(A454,'ECN-ECO_DATA'!B:V,18,FALSE))),"")</f>
        <v/>
      </c>
      <c r="N454" s="9" t="str">
        <f>IFERROR((IF(VLOOKUP(A454,'ECN-ECO_DATA'!B:V,19,FALSE)=0/1/1900,"",VLOOKUP(A454,'ECN-ECO_DATA'!B:V,19,FALSE))),"")</f>
        <v/>
      </c>
      <c r="O454" s="9" t="str">
        <f>IFERROR((IF(VLOOKUP(A454,'ECN-ECO_DATA'!B:V,20,FALSE)=0/1/1900,"",VLOOKUP(A454,'ECN-ECO_DATA'!B:V,20,FALSE))),"")</f>
        <v/>
      </c>
      <c r="P454" s="9" t="str">
        <f>IFERROR((IF(VLOOKUP(A454,'ECN-ECO_DATA'!B:V,21,FALSE)=0/1/1900,"",VLOOKUP(A454,'ECN-ECO_DATA'!B:V,21,FALSE))),"")</f>
        <v/>
      </c>
      <c r="Q454" s="10" t="str">
        <f t="shared" ca="1" si="35"/>
        <v/>
      </c>
      <c r="R454" s="4" t="str">
        <f t="shared" si="36"/>
        <v/>
      </c>
      <c r="S454" s="4" t="str">
        <f t="shared" si="37"/>
        <v/>
      </c>
      <c r="T454" s="4" t="str">
        <f t="shared" si="38"/>
        <v/>
      </c>
      <c r="U454" s="10" t="str">
        <f t="shared" si="39"/>
        <v/>
      </c>
      <c r="V454" s="4"/>
    </row>
    <row r="455" spans="2:22" x14ac:dyDescent="0.25">
      <c r="B455" s="4" t="str">
        <f>IFERROR(VLOOKUP(A455,'ECN-ECO_DATA'!B:G,4,FALSE),"")</f>
        <v/>
      </c>
      <c r="C455" s="9" t="str">
        <f>IFERROR(VLOOKUP(A455,'ECN-ECO_DATA'!B:G,5,FALSE),"")</f>
        <v/>
      </c>
      <c r="D455" s="9" t="str">
        <f ca="1">IFERROR((IF(VLOOKUP(A455,'ECN-ECO_DATA'!B:G,6,FALSE)=0/1/1900,TODAY(),VLOOKUP(A455,'ECN-ECO_DATA'!B:G,6,FALSE))),"")</f>
        <v/>
      </c>
      <c r="E455" s="9" t="str">
        <f>IFERROR((IF(VLOOKUP(A455,'ECN-ECO_DATA'!B:G,6,FALSE)=0/1/1900,"",VLOOKUP(A455,'ECN-ECO_DATA'!B:G,6,FALSE))),"")</f>
        <v/>
      </c>
      <c r="F455" s="9" t="str">
        <f>IFERROR((IF(VLOOKUP(A455,'ECN-ECO_DATA'!B:J,7,FALSE)=0/1/1900,"",VLOOKUP(A455,'ECN-ECO_DATA'!B:J,7,FALSE))),"")</f>
        <v/>
      </c>
      <c r="G455" s="9" t="str">
        <f>IFERROR((IF(VLOOKUP(A455,'ECN-ECO_DATA'!B:J,8,FALSE)=0/1/1900,"",VLOOKUP(A455,'ECN-ECO_DATA'!B:J,8,FALSE))),"")</f>
        <v/>
      </c>
      <c r="H455" s="9" t="str">
        <f>IFERROR((IF(VLOOKUP(A455,'ECN-ECO_DATA'!B:J,9,FALSE)=0/1/1900,"",VLOOKUP(A455,'ECN-ECO_DATA'!B:J,9,FALSE))),"")</f>
        <v/>
      </c>
      <c r="I455" s="10" t="str">
        <f>IFERROR((IF(VLOOKUP(A455,'ECN-ECO_DATA'!B:Q,13,FALSE)="","",VLOOKUP(A455,'ECN-ECO_DATA'!B:Q,13,FALSE))),"")</f>
        <v/>
      </c>
      <c r="J455" s="10" t="str">
        <f>IFERROR((IF(VLOOKUP(A455,'ECN-ECO_DATA'!B:Q,14,FALSE)="","",VLOOKUP(A455,'ECN-ECO_DATA'!B:Q,14,FALSE))),"")</f>
        <v/>
      </c>
      <c r="K455" s="10" t="str">
        <f>IFERROR((IF(VLOOKUP(A455,'ECN-ECO_DATA'!B:Q,15,FALSE)="","",VLOOKUP(A455,'ECN-ECO_DATA'!B:Q,15,FALSE))),"")</f>
        <v/>
      </c>
      <c r="L455" s="10" t="str">
        <f>IFERROR((IF(VLOOKUP(A455,'ECN-ECO_DATA'!B:Q,16,FALSE)="","",VLOOKUP(A455,'ECN-ECO_DATA'!B:Q,16,FALSE))),"")</f>
        <v/>
      </c>
      <c r="M455" s="9" t="str">
        <f>IFERROR((IF(VLOOKUP(A455,'ECN-ECO_DATA'!B:V,18,FALSE)=0/1/1900,"",VLOOKUP(A455,'ECN-ECO_DATA'!B:V,18,FALSE))),"")</f>
        <v/>
      </c>
      <c r="N455" s="9" t="str">
        <f>IFERROR((IF(VLOOKUP(A455,'ECN-ECO_DATA'!B:V,19,FALSE)=0/1/1900,"",VLOOKUP(A455,'ECN-ECO_DATA'!B:V,19,FALSE))),"")</f>
        <v/>
      </c>
      <c r="O455" s="9" t="str">
        <f>IFERROR((IF(VLOOKUP(A455,'ECN-ECO_DATA'!B:V,20,FALSE)=0/1/1900,"",VLOOKUP(A455,'ECN-ECO_DATA'!B:V,20,FALSE))),"")</f>
        <v/>
      </c>
      <c r="P455" s="9" t="str">
        <f>IFERROR((IF(VLOOKUP(A455,'ECN-ECO_DATA'!B:V,21,FALSE)=0/1/1900,"",VLOOKUP(A455,'ECN-ECO_DATA'!B:V,21,FALSE))),"")</f>
        <v/>
      </c>
      <c r="Q455" s="10" t="str">
        <f t="shared" ca="1" si="35"/>
        <v/>
      </c>
      <c r="R455" s="4" t="str">
        <f t="shared" si="36"/>
        <v/>
      </c>
      <c r="S455" s="4" t="str">
        <f t="shared" si="37"/>
        <v/>
      </c>
      <c r="T455" s="4" t="str">
        <f t="shared" si="38"/>
        <v/>
      </c>
      <c r="U455" s="10" t="str">
        <f t="shared" si="39"/>
        <v/>
      </c>
      <c r="V455" s="4"/>
    </row>
    <row r="456" spans="2:22" x14ac:dyDescent="0.25">
      <c r="B456" s="4" t="str">
        <f>IFERROR(VLOOKUP(A456,'ECN-ECO_DATA'!B:G,4,FALSE),"")</f>
        <v/>
      </c>
      <c r="C456" s="9" t="str">
        <f>IFERROR(VLOOKUP(A456,'ECN-ECO_DATA'!B:G,5,FALSE),"")</f>
        <v/>
      </c>
      <c r="D456" s="9" t="str">
        <f ca="1">IFERROR((IF(VLOOKUP(A456,'ECN-ECO_DATA'!B:G,6,FALSE)=0/1/1900,TODAY(),VLOOKUP(A456,'ECN-ECO_DATA'!B:G,6,FALSE))),"")</f>
        <v/>
      </c>
      <c r="E456" s="9" t="str">
        <f>IFERROR((IF(VLOOKUP(A456,'ECN-ECO_DATA'!B:G,6,FALSE)=0/1/1900,"",VLOOKUP(A456,'ECN-ECO_DATA'!B:G,6,FALSE))),"")</f>
        <v/>
      </c>
      <c r="F456" s="9" t="str">
        <f>IFERROR((IF(VLOOKUP(A456,'ECN-ECO_DATA'!B:J,7,FALSE)=0/1/1900,"",VLOOKUP(A456,'ECN-ECO_DATA'!B:J,7,FALSE))),"")</f>
        <v/>
      </c>
      <c r="G456" s="9" t="str">
        <f>IFERROR((IF(VLOOKUP(A456,'ECN-ECO_DATA'!B:J,8,FALSE)=0/1/1900,"",VLOOKUP(A456,'ECN-ECO_DATA'!B:J,8,FALSE))),"")</f>
        <v/>
      </c>
      <c r="H456" s="9" t="str">
        <f>IFERROR((IF(VLOOKUP(A456,'ECN-ECO_DATA'!B:J,9,FALSE)=0/1/1900,"",VLOOKUP(A456,'ECN-ECO_DATA'!B:J,9,FALSE))),"")</f>
        <v/>
      </c>
      <c r="I456" s="10" t="str">
        <f>IFERROR((IF(VLOOKUP(A456,'ECN-ECO_DATA'!B:Q,13,FALSE)="","",VLOOKUP(A456,'ECN-ECO_DATA'!B:Q,13,FALSE))),"")</f>
        <v/>
      </c>
      <c r="J456" s="10" t="str">
        <f>IFERROR((IF(VLOOKUP(A456,'ECN-ECO_DATA'!B:Q,14,FALSE)="","",VLOOKUP(A456,'ECN-ECO_DATA'!B:Q,14,FALSE))),"")</f>
        <v/>
      </c>
      <c r="K456" s="10" t="str">
        <f>IFERROR((IF(VLOOKUP(A456,'ECN-ECO_DATA'!B:Q,15,FALSE)="","",VLOOKUP(A456,'ECN-ECO_DATA'!B:Q,15,FALSE))),"")</f>
        <v/>
      </c>
      <c r="L456" s="10" t="str">
        <f>IFERROR((IF(VLOOKUP(A456,'ECN-ECO_DATA'!B:Q,16,FALSE)="","",VLOOKUP(A456,'ECN-ECO_DATA'!B:Q,16,FALSE))),"")</f>
        <v/>
      </c>
      <c r="M456" s="9" t="str">
        <f>IFERROR((IF(VLOOKUP(A456,'ECN-ECO_DATA'!B:V,18,FALSE)=0/1/1900,"",VLOOKUP(A456,'ECN-ECO_DATA'!B:V,18,FALSE))),"")</f>
        <v/>
      </c>
      <c r="N456" s="9" t="str">
        <f>IFERROR((IF(VLOOKUP(A456,'ECN-ECO_DATA'!B:V,19,FALSE)=0/1/1900,"",VLOOKUP(A456,'ECN-ECO_DATA'!B:V,19,FALSE))),"")</f>
        <v/>
      </c>
      <c r="O456" s="9" t="str">
        <f>IFERROR((IF(VLOOKUP(A456,'ECN-ECO_DATA'!B:V,20,FALSE)=0/1/1900,"",VLOOKUP(A456,'ECN-ECO_DATA'!B:V,20,FALSE))),"")</f>
        <v/>
      </c>
      <c r="P456" s="9" t="str">
        <f>IFERROR((IF(VLOOKUP(A456,'ECN-ECO_DATA'!B:V,21,FALSE)=0/1/1900,"",VLOOKUP(A456,'ECN-ECO_DATA'!B:V,21,FALSE))),"")</f>
        <v/>
      </c>
      <c r="Q456" s="10" t="str">
        <f t="shared" ca="1" si="35"/>
        <v/>
      </c>
      <c r="R456" s="4" t="str">
        <f t="shared" si="36"/>
        <v/>
      </c>
      <c r="S456" s="4" t="str">
        <f t="shared" si="37"/>
        <v/>
      </c>
      <c r="T456" s="4" t="str">
        <f t="shared" si="38"/>
        <v/>
      </c>
      <c r="U456" s="10" t="str">
        <f t="shared" si="39"/>
        <v/>
      </c>
      <c r="V456" s="4"/>
    </row>
    <row r="457" spans="2:22" x14ac:dyDescent="0.25">
      <c r="B457" s="4" t="str">
        <f>IFERROR(VLOOKUP(A457,'ECN-ECO_DATA'!B:G,4,FALSE),"")</f>
        <v/>
      </c>
      <c r="C457" s="9" t="str">
        <f>IFERROR(VLOOKUP(A457,'ECN-ECO_DATA'!B:G,5,FALSE),"")</f>
        <v/>
      </c>
      <c r="D457" s="9" t="str">
        <f ca="1">IFERROR((IF(VLOOKUP(A457,'ECN-ECO_DATA'!B:G,6,FALSE)=0/1/1900,TODAY(),VLOOKUP(A457,'ECN-ECO_DATA'!B:G,6,FALSE))),"")</f>
        <v/>
      </c>
      <c r="E457" s="9" t="str">
        <f>IFERROR((IF(VLOOKUP(A457,'ECN-ECO_DATA'!B:G,6,FALSE)=0/1/1900,"",VLOOKUP(A457,'ECN-ECO_DATA'!B:G,6,FALSE))),"")</f>
        <v/>
      </c>
      <c r="F457" s="9" t="str">
        <f>IFERROR((IF(VLOOKUP(A457,'ECN-ECO_DATA'!B:J,7,FALSE)=0/1/1900,"",VLOOKUP(A457,'ECN-ECO_DATA'!B:J,7,FALSE))),"")</f>
        <v/>
      </c>
      <c r="G457" s="9" t="str">
        <f>IFERROR((IF(VLOOKUP(A457,'ECN-ECO_DATA'!B:J,8,FALSE)=0/1/1900,"",VLOOKUP(A457,'ECN-ECO_DATA'!B:J,8,FALSE))),"")</f>
        <v/>
      </c>
      <c r="H457" s="9" t="str">
        <f>IFERROR((IF(VLOOKUP(A457,'ECN-ECO_DATA'!B:J,9,FALSE)=0/1/1900,"",VLOOKUP(A457,'ECN-ECO_DATA'!B:J,9,FALSE))),"")</f>
        <v/>
      </c>
      <c r="I457" s="10" t="str">
        <f>IFERROR((IF(VLOOKUP(A457,'ECN-ECO_DATA'!B:Q,13,FALSE)="","",VLOOKUP(A457,'ECN-ECO_DATA'!B:Q,13,FALSE))),"")</f>
        <v/>
      </c>
      <c r="J457" s="10" t="str">
        <f>IFERROR((IF(VLOOKUP(A457,'ECN-ECO_DATA'!B:Q,14,FALSE)="","",VLOOKUP(A457,'ECN-ECO_DATA'!B:Q,14,FALSE))),"")</f>
        <v/>
      </c>
      <c r="K457" s="10" t="str">
        <f>IFERROR((IF(VLOOKUP(A457,'ECN-ECO_DATA'!B:Q,15,FALSE)="","",VLOOKUP(A457,'ECN-ECO_DATA'!B:Q,15,FALSE))),"")</f>
        <v/>
      </c>
      <c r="L457" s="10" t="str">
        <f>IFERROR((IF(VLOOKUP(A457,'ECN-ECO_DATA'!B:Q,16,FALSE)="","",VLOOKUP(A457,'ECN-ECO_DATA'!B:Q,16,FALSE))),"")</f>
        <v/>
      </c>
      <c r="M457" s="9" t="str">
        <f>IFERROR((IF(VLOOKUP(A457,'ECN-ECO_DATA'!B:V,18,FALSE)=0/1/1900,"",VLOOKUP(A457,'ECN-ECO_DATA'!B:V,18,FALSE))),"")</f>
        <v/>
      </c>
      <c r="N457" s="9" t="str">
        <f>IFERROR((IF(VLOOKUP(A457,'ECN-ECO_DATA'!B:V,19,FALSE)=0/1/1900,"",VLOOKUP(A457,'ECN-ECO_DATA'!B:V,19,FALSE))),"")</f>
        <v/>
      </c>
      <c r="O457" s="9" t="str">
        <f>IFERROR((IF(VLOOKUP(A457,'ECN-ECO_DATA'!B:V,20,FALSE)=0/1/1900,"",VLOOKUP(A457,'ECN-ECO_DATA'!B:V,20,FALSE))),"")</f>
        <v/>
      </c>
      <c r="P457" s="9" t="str">
        <f>IFERROR((IF(VLOOKUP(A457,'ECN-ECO_DATA'!B:V,21,FALSE)=0/1/1900,"",VLOOKUP(A457,'ECN-ECO_DATA'!B:V,21,FALSE))),"")</f>
        <v/>
      </c>
      <c r="Q457" s="10" t="str">
        <f t="shared" ca="1" si="35"/>
        <v/>
      </c>
      <c r="R457" s="4" t="str">
        <f t="shared" si="36"/>
        <v/>
      </c>
      <c r="S457" s="4" t="str">
        <f t="shared" si="37"/>
        <v/>
      </c>
      <c r="T457" s="4" t="str">
        <f t="shared" si="38"/>
        <v/>
      </c>
      <c r="U457" s="10" t="str">
        <f t="shared" si="39"/>
        <v/>
      </c>
      <c r="V457" s="4"/>
    </row>
    <row r="458" spans="2:22" x14ac:dyDescent="0.25">
      <c r="B458" s="4" t="str">
        <f>IFERROR(VLOOKUP(A458,'ECN-ECO_DATA'!B:G,4,FALSE),"")</f>
        <v/>
      </c>
      <c r="C458" s="9" t="str">
        <f>IFERROR(VLOOKUP(A458,'ECN-ECO_DATA'!B:G,5,FALSE),"")</f>
        <v/>
      </c>
      <c r="D458" s="9" t="str">
        <f ca="1">IFERROR((IF(VLOOKUP(A458,'ECN-ECO_DATA'!B:G,6,FALSE)=0/1/1900,TODAY(),VLOOKUP(A458,'ECN-ECO_DATA'!B:G,6,FALSE))),"")</f>
        <v/>
      </c>
      <c r="E458" s="9" t="str">
        <f>IFERROR((IF(VLOOKUP(A458,'ECN-ECO_DATA'!B:G,6,FALSE)=0/1/1900,"",VLOOKUP(A458,'ECN-ECO_DATA'!B:G,6,FALSE))),"")</f>
        <v/>
      </c>
      <c r="F458" s="9" t="str">
        <f>IFERROR((IF(VLOOKUP(A458,'ECN-ECO_DATA'!B:J,7,FALSE)=0/1/1900,"",VLOOKUP(A458,'ECN-ECO_DATA'!B:J,7,FALSE))),"")</f>
        <v/>
      </c>
      <c r="G458" s="9" t="str">
        <f>IFERROR((IF(VLOOKUP(A458,'ECN-ECO_DATA'!B:J,8,FALSE)=0/1/1900,"",VLOOKUP(A458,'ECN-ECO_DATA'!B:J,8,FALSE))),"")</f>
        <v/>
      </c>
      <c r="H458" s="9" t="str">
        <f>IFERROR((IF(VLOOKUP(A458,'ECN-ECO_DATA'!B:J,9,FALSE)=0/1/1900,"",VLOOKUP(A458,'ECN-ECO_DATA'!B:J,9,FALSE))),"")</f>
        <v/>
      </c>
      <c r="I458" s="10" t="str">
        <f>IFERROR((IF(VLOOKUP(A458,'ECN-ECO_DATA'!B:Q,13,FALSE)="","",VLOOKUP(A458,'ECN-ECO_DATA'!B:Q,13,FALSE))),"")</f>
        <v/>
      </c>
      <c r="J458" s="10" t="str">
        <f>IFERROR((IF(VLOOKUP(A458,'ECN-ECO_DATA'!B:Q,14,FALSE)="","",VLOOKUP(A458,'ECN-ECO_DATA'!B:Q,14,FALSE))),"")</f>
        <v/>
      </c>
      <c r="K458" s="10" t="str">
        <f>IFERROR((IF(VLOOKUP(A458,'ECN-ECO_DATA'!B:Q,15,FALSE)="","",VLOOKUP(A458,'ECN-ECO_DATA'!B:Q,15,FALSE))),"")</f>
        <v/>
      </c>
      <c r="L458" s="10" t="str">
        <f>IFERROR((IF(VLOOKUP(A458,'ECN-ECO_DATA'!B:Q,16,FALSE)="","",VLOOKUP(A458,'ECN-ECO_DATA'!B:Q,16,FALSE))),"")</f>
        <v/>
      </c>
      <c r="M458" s="9" t="str">
        <f>IFERROR((IF(VLOOKUP(A458,'ECN-ECO_DATA'!B:V,18,FALSE)=0/1/1900,"",VLOOKUP(A458,'ECN-ECO_DATA'!B:V,18,FALSE))),"")</f>
        <v/>
      </c>
      <c r="N458" s="9" t="str">
        <f>IFERROR((IF(VLOOKUP(A458,'ECN-ECO_DATA'!B:V,19,FALSE)=0/1/1900,"",VLOOKUP(A458,'ECN-ECO_DATA'!B:V,19,FALSE))),"")</f>
        <v/>
      </c>
      <c r="O458" s="9" t="str">
        <f>IFERROR((IF(VLOOKUP(A458,'ECN-ECO_DATA'!B:V,20,FALSE)=0/1/1900,"",VLOOKUP(A458,'ECN-ECO_DATA'!B:V,20,FALSE))),"")</f>
        <v/>
      </c>
      <c r="P458" s="9" t="str">
        <f>IFERROR((IF(VLOOKUP(A458,'ECN-ECO_DATA'!B:V,21,FALSE)=0/1/1900,"",VLOOKUP(A458,'ECN-ECO_DATA'!B:V,21,FALSE))),"")</f>
        <v/>
      </c>
      <c r="Q458" s="10" t="str">
        <f t="shared" ca="1" si="35"/>
        <v/>
      </c>
      <c r="R458" s="4" t="str">
        <f t="shared" si="36"/>
        <v/>
      </c>
      <c r="S458" s="4" t="str">
        <f t="shared" si="37"/>
        <v/>
      </c>
      <c r="T458" s="4" t="str">
        <f t="shared" si="38"/>
        <v/>
      </c>
      <c r="U458" s="10" t="str">
        <f t="shared" si="39"/>
        <v/>
      </c>
      <c r="V458" s="4"/>
    </row>
    <row r="459" spans="2:22" x14ac:dyDescent="0.25">
      <c r="B459" s="4" t="str">
        <f>IFERROR(VLOOKUP(A459,'ECN-ECO_DATA'!B:G,4,FALSE),"")</f>
        <v/>
      </c>
      <c r="C459" s="9" t="str">
        <f>IFERROR(VLOOKUP(A459,'ECN-ECO_DATA'!B:G,5,FALSE),"")</f>
        <v/>
      </c>
      <c r="D459" s="9" t="str">
        <f ca="1">IFERROR((IF(VLOOKUP(A459,'ECN-ECO_DATA'!B:G,6,FALSE)=0/1/1900,TODAY(),VLOOKUP(A459,'ECN-ECO_DATA'!B:G,6,FALSE))),"")</f>
        <v/>
      </c>
      <c r="E459" s="9" t="str">
        <f>IFERROR((IF(VLOOKUP(A459,'ECN-ECO_DATA'!B:G,6,FALSE)=0/1/1900,"",VLOOKUP(A459,'ECN-ECO_DATA'!B:G,6,FALSE))),"")</f>
        <v/>
      </c>
      <c r="F459" s="9" t="str">
        <f>IFERROR((IF(VLOOKUP(A459,'ECN-ECO_DATA'!B:J,7,FALSE)=0/1/1900,"",VLOOKUP(A459,'ECN-ECO_DATA'!B:J,7,FALSE))),"")</f>
        <v/>
      </c>
      <c r="G459" s="9" t="str">
        <f>IFERROR((IF(VLOOKUP(A459,'ECN-ECO_DATA'!B:J,8,FALSE)=0/1/1900,"",VLOOKUP(A459,'ECN-ECO_DATA'!B:J,8,FALSE))),"")</f>
        <v/>
      </c>
      <c r="H459" s="9" t="str">
        <f>IFERROR((IF(VLOOKUP(A459,'ECN-ECO_DATA'!B:J,9,FALSE)=0/1/1900,"",VLOOKUP(A459,'ECN-ECO_DATA'!B:J,9,FALSE))),"")</f>
        <v/>
      </c>
      <c r="I459" s="10" t="str">
        <f>IFERROR((IF(VLOOKUP(A459,'ECN-ECO_DATA'!B:Q,13,FALSE)="","",VLOOKUP(A459,'ECN-ECO_DATA'!B:Q,13,FALSE))),"")</f>
        <v/>
      </c>
      <c r="J459" s="10" t="str">
        <f>IFERROR((IF(VLOOKUP(A459,'ECN-ECO_DATA'!B:Q,14,FALSE)="","",VLOOKUP(A459,'ECN-ECO_DATA'!B:Q,14,FALSE))),"")</f>
        <v/>
      </c>
      <c r="K459" s="10" t="str">
        <f>IFERROR((IF(VLOOKUP(A459,'ECN-ECO_DATA'!B:Q,15,FALSE)="","",VLOOKUP(A459,'ECN-ECO_DATA'!B:Q,15,FALSE))),"")</f>
        <v/>
      </c>
      <c r="L459" s="10" t="str">
        <f>IFERROR((IF(VLOOKUP(A459,'ECN-ECO_DATA'!B:Q,16,FALSE)="","",VLOOKUP(A459,'ECN-ECO_DATA'!B:Q,16,FALSE))),"")</f>
        <v/>
      </c>
      <c r="M459" s="9" t="str">
        <f>IFERROR((IF(VLOOKUP(A459,'ECN-ECO_DATA'!B:V,18,FALSE)=0/1/1900,"",VLOOKUP(A459,'ECN-ECO_DATA'!B:V,18,FALSE))),"")</f>
        <v/>
      </c>
      <c r="N459" s="9" t="str">
        <f>IFERROR((IF(VLOOKUP(A459,'ECN-ECO_DATA'!B:V,19,FALSE)=0/1/1900,"",VLOOKUP(A459,'ECN-ECO_DATA'!B:V,19,FALSE))),"")</f>
        <v/>
      </c>
      <c r="O459" s="9" t="str">
        <f>IFERROR((IF(VLOOKUP(A459,'ECN-ECO_DATA'!B:V,20,FALSE)=0/1/1900,"",VLOOKUP(A459,'ECN-ECO_DATA'!B:V,20,FALSE))),"")</f>
        <v/>
      </c>
      <c r="P459" s="9" t="str">
        <f>IFERROR((IF(VLOOKUP(A459,'ECN-ECO_DATA'!B:V,21,FALSE)=0/1/1900,"",VLOOKUP(A459,'ECN-ECO_DATA'!B:V,21,FALSE))),"")</f>
        <v/>
      </c>
      <c r="Q459" s="10" t="str">
        <f t="shared" ca="1" si="35"/>
        <v/>
      </c>
      <c r="R459" s="4" t="str">
        <f t="shared" si="36"/>
        <v/>
      </c>
      <c r="S459" s="4" t="str">
        <f t="shared" si="37"/>
        <v/>
      </c>
      <c r="T459" s="4" t="str">
        <f t="shared" si="38"/>
        <v/>
      </c>
      <c r="U459" s="10" t="str">
        <f t="shared" si="39"/>
        <v/>
      </c>
      <c r="V459" s="4"/>
    </row>
    <row r="460" spans="2:22" x14ac:dyDescent="0.25">
      <c r="B460" s="4" t="str">
        <f>IFERROR(VLOOKUP(A460,'ECN-ECO_DATA'!B:G,4,FALSE),"")</f>
        <v/>
      </c>
      <c r="C460" s="9" t="str">
        <f>IFERROR(VLOOKUP(A460,'ECN-ECO_DATA'!B:G,5,FALSE),"")</f>
        <v/>
      </c>
      <c r="D460" s="9" t="str">
        <f ca="1">IFERROR((IF(VLOOKUP(A460,'ECN-ECO_DATA'!B:G,6,FALSE)=0/1/1900,TODAY(),VLOOKUP(A460,'ECN-ECO_DATA'!B:G,6,FALSE))),"")</f>
        <v/>
      </c>
      <c r="E460" s="9" t="str">
        <f>IFERROR((IF(VLOOKUP(A460,'ECN-ECO_DATA'!B:G,6,FALSE)=0/1/1900,"",VLOOKUP(A460,'ECN-ECO_DATA'!B:G,6,FALSE))),"")</f>
        <v/>
      </c>
      <c r="F460" s="9" t="str">
        <f>IFERROR((IF(VLOOKUP(A460,'ECN-ECO_DATA'!B:J,7,FALSE)=0/1/1900,"",VLOOKUP(A460,'ECN-ECO_DATA'!B:J,7,FALSE))),"")</f>
        <v/>
      </c>
      <c r="G460" s="9" t="str">
        <f>IFERROR((IF(VLOOKUP(A460,'ECN-ECO_DATA'!B:J,8,FALSE)=0/1/1900,"",VLOOKUP(A460,'ECN-ECO_DATA'!B:J,8,FALSE))),"")</f>
        <v/>
      </c>
      <c r="H460" s="9" t="str">
        <f>IFERROR((IF(VLOOKUP(A460,'ECN-ECO_DATA'!B:J,9,FALSE)=0/1/1900,"",VLOOKUP(A460,'ECN-ECO_DATA'!B:J,9,FALSE))),"")</f>
        <v/>
      </c>
      <c r="I460" s="10" t="str">
        <f>IFERROR((IF(VLOOKUP(A460,'ECN-ECO_DATA'!B:Q,13,FALSE)="","",VLOOKUP(A460,'ECN-ECO_DATA'!B:Q,13,FALSE))),"")</f>
        <v/>
      </c>
      <c r="J460" s="10" t="str">
        <f>IFERROR((IF(VLOOKUP(A460,'ECN-ECO_DATA'!B:Q,14,FALSE)="","",VLOOKUP(A460,'ECN-ECO_DATA'!B:Q,14,FALSE))),"")</f>
        <v/>
      </c>
      <c r="K460" s="10" t="str">
        <f>IFERROR((IF(VLOOKUP(A460,'ECN-ECO_DATA'!B:Q,15,FALSE)="","",VLOOKUP(A460,'ECN-ECO_DATA'!B:Q,15,FALSE))),"")</f>
        <v/>
      </c>
      <c r="L460" s="10" t="str">
        <f>IFERROR((IF(VLOOKUP(A460,'ECN-ECO_DATA'!B:Q,16,FALSE)="","",VLOOKUP(A460,'ECN-ECO_DATA'!B:Q,16,FALSE))),"")</f>
        <v/>
      </c>
      <c r="M460" s="9" t="str">
        <f>IFERROR((IF(VLOOKUP(A460,'ECN-ECO_DATA'!B:V,18,FALSE)=0/1/1900,"",VLOOKUP(A460,'ECN-ECO_DATA'!B:V,18,FALSE))),"")</f>
        <v/>
      </c>
      <c r="N460" s="9" t="str">
        <f>IFERROR((IF(VLOOKUP(A460,'ECN-ECO_DATA'!B:V,19,FALSE)=0/1/1900,"",VLOOKUP(A460,'ECN-ECO_DATA'!B:V,19,FALSE))),"")</f>
        <v/>
      </c>
      <c r="O460" s="9" t="str">
        <f>IFERROR((IF(VLOOKUP(A460,'ECN-ECO_DATA'!B:V,20,FALSE)=0/1/1900,"",VLOOKUP(A460,'ECN-ECO_DATA'!B:V,20,FALSE))),"")</f>
        <v/>
      </c>
      <c r="P460" s="9" t="str">
        <f>IFERROR((IF(VLOOKUP(A460,'ECN-ECO_DATA'!B:V,21,FALSE)=0/1/1900,"",VLOOKUP(A460,'ECN-ECO_DATA'!B:V,21,FALSE))),"")</f>
        <v/>
      </c>
      <c r="Q460" s="10" t="str">
        <f t="shared" ca="1" si="35"/>
        <v/>
      </c>
      <c r="R460" s="4" t="str">
        <f t="shared" si="36"/>
        <v/>
      </c>
      <c r="S460" s="4" t="str">
        <f t="shared" si="37"/>
        <v/>
      </c>
      <c r="T460" s="4" t="str">
        <f t="shared" si="38"/>
        <v/>
      </c>
      <c r="U460" s="10" t="str">
        <f t="shared" si="39"/>
        <v/>
      </c>
      <c r="V460" s="4"/>
    </row>
    <row r="461" spans="2:22" x14ac:dyDescent="0.25">
      <c r="B461" s="4" t="str">
        <f>IFERROR(VLOOKUP(A461,'ECN-ECO_DATA'!B:G,4,FALSE),"")</f>
        <v/>
      </c>
      <c r="C461" s="9" t="str">
        <f>IFERROR(VLOOKUP(A461,'ECN-ECO_DATA'!B:G,5,FALSE),"")</f>
        <v/>
      </c>
      <c r="D461" s="9" t="str">
        <f ca="1">IFERROR((IF(VLOOKUP(A461,'ECN-ECO_DATA'!B:G,6,FALSE)=0/1/1900,TODAY(),VLOOKUP(A461,'ECN-ECO_DATA'!B:G,6,FALSE))),"")</f>
        <v/>
      </c>
      <c r="E461" s="9" t="str">
        <f>IFERROR((IF(VLOOKUP(A461,'ECN-ECO_DATA'!B:G,6,FALSE)=0/1/1900,"",VLOOKUP(A461,'ECN-ECO_DATA'!B:G,6,FALSE))),"")</f>
        <v/>
      </c>
      <c r="F461" s="9" t="str">
        <f>IFERROR((IF(VLOOKUP(A461,'ECN-ECO_DATA'!B:J,7,FALSE)=0/1/1900,"",VLOOKUP(A461,'ECN-ECO_DATA'!B:J,7,FALSE))),"")</f>
        <v/>
      </c>
      <c r="G461" s="9" t="str">
        <f>IFERROR((IF(VLOOKUP(A461,'ECN-ECO_DATA'!B:J,8,FALSE)=0/1/1900,"",VLOOKUP(A461,'ECN-ECO_DATA'!B:J,8,FALSE))),"")</f>
        <v/>
      </c>
      <c r="H461" s="9" t="str">
        <f>IFERROR((IF(VLOOKUP(A461,'ECN-ECO_DATA'!B:J,9,FALSE)=0/1/1900,"",VLOOKUP(A461,'ECN-ECO_DATA'!B:J,9,FALSE))),"")</f>
        <v/>
      </c>
      <c r="I461" s="10" t="str">
        <f>IFERROR((IF(VLOOKUP(A461,'ECN-ECO_DATA'!B:Q,13,FALSE)="","",VLOOKUP(A461,'ECN-ECO_DATA'!B:Q,13,FALSE))),"")</f>
        <v/>
      </c>
      <c r="J461" s="10" t="str">
        <f>IFERROR((IF(VLOOKUP(A461,'ECN-ECO_DATA'!B:Q,14,FALSE)="","",VLOOKUP(A461,'ECN-ECO_DATA'!B:Q,14,FALSE))),"")</f>
        <v/>
      </c>
      <c r="K461" s="10" t="str">
        <f>IFERROR((IF(VLOOKUP(A461,'ECN-ECO_DATA'!B:Q,15,FALSE)="","",VLOOKUP(A461,'ECN-ECO_DATA'!B:Q,15,FALSE))),"")</f>
        <v/>
      </c>
      <c r="L461" s="10" t="str">
        <f>IFERROR((IF(VLOOKUP(A461,'ECN-ECO_DATA'!B:Q,16,FALSE)="","",VLOOKUP(A461,'ECN-ECO_DATA'!B:Q,16,FALSE))),"")</f>
        <v/>
      </c>
      <c r="M461" s="9" t="str">
        <f>IFERROR((IF(VLOOKUP(A461,'ECN-ECO_DATA'!B:V,18,FALSE)=0/1/1900,"",VLOOKUP(A461,'ECN-ECO_DATA'!B:V,18,FALSE))),"")</f>
        <v/>
      </c>
      <c r="N461" s="9" t="str">
        <f>IFERROR((IF(VLOOKUP(A461,'ECN-ECO_DATA'!B:V,19,FALSE)=0/1/1900,"",VLOOKUP(A461,'ECN-ECO_DATA'!B:V,19,FALSE))),"")</f>
        <v/>
      </c>
      <c r="O461" s="9" t="str">
        <f>IFERROR((IF(VLOOKUP(A461,'ECN-ECO_DATA'!B:V,20,FALSE)=0/1/1900,"",VLOOKUP(A461,'ECN-ECO_DATA'!B:V,20,FALSE))),"")</f>
        <v/>
      </c>
      <c r="P461" s="9" t="str">
        <f>IFERROR((IF(VLOOKUP(A461,'ECN-ECO_DATA'!B:V,21,FALSE)=0/1/1900,"",VLOOKUP(A461,'ECN-ECO_DATA'!B:V,21,FALSE))),"")</f>
        <v/>
      </c>
      <c r="Q461" s="10" t="str">
        <f t="shared" ca="1" si="35"/>
        <v/>
      </c>
      <c r="R461" s="4" t="str">
        <f t="shared" si="36"/>
        <v/>
      </c>
      <c r="S461" s="4" t="str">
        <f t="shared" si="37"/>
        <v/>
      </c>
      <c r="T461" s="4" t="str">
        <f t="shared" si="38"/>
        <v/>
      </c>
      <c r="U461" s="10" t="str">
        <f t="shared" si="39"/>
        <v/>
      </c>
      <c r="V461" s="4"/>
    </row>
    <row r="462" spans="2:22" x14ac:dyDescent="0.25">
      <c r="B462" s="4" t="str">
        <f>IFERROR(VLOOKUP(A462,'ECN-ECO_DATA'!B:G,4,FALSE),"")</f>
        <v/>
      </c>
      <c r="C462" s="9" t="str">
        <f>IFERROR(VLOOKUP(A462,'ECN-ECO_DATA'!B:G,5,FALSE),"")</f>
        <v/>
      </c>
      <c r="D462" s="9" t="str">
        <f ca="1">IFERROR((IF(VLOOKUP(A462,'ECN-ECO_DATA'!B:G,6,FALSE)=0/1/1900,TODAY(),VLOOKUP(A462,'ECN-ECO_DATA'!B:G,6,FALSE))),"")</f>
        <v/>
      </c>
      <c r="E462" s="9" t="str">
        <f>IFERROR((IF(VLOOKUP(A462,'ECN-ECO_DATA'!B:G,6,FALSE)=0/1/1900,"",VLOOKUP(A462,'ECN-ECO_DATA'!B:G,6,FALSE))),"")</f>
        <v/>
      </c>
      <c r="F462" s="9" t="str">
        <f>IFERROR((IF(VLOOKUP(A462,'ECN-ECO_DATA'!B:J,7,FALSE)=0/1/1900,"",VLOOKUP(A462,'ECN-ECO_DATA'!B:J,7,FALSE))),"")</f>
        <v/>
      </c>
      <c r="G462" s="9" t="str">
        <f>IFERROR((IF(VLOOKUP(A462,'ECN-ECO_DATA'!B:J,8,FALSE)=0/1/1900,"",VLOOKUP(A462,'ECN-ECO_DATA'!B:J,8,FALSE))),"")</f>
        <v/>
      </c>
      <c r="H462" s="9" t="str">
        <f>IFERROR((IF(VLOOKUP(A462,'ECN-ECO_DATA'!B:J,9,FALSE)=0/1/1900,"",VLOOKUP(A462,'ECN-ECO_DATA'!B:J,9,FALSE))),"")</f>
        <v/>
      </c>
      <c r="I462" s="10" t="str">
        <f>IFERROR((IF(VLOOKUP(A462,'ECN-ECO_DATA'!B:Q,13,FALSE)="","",VLOOKUP(A462,'ECN-ECO_DATA'!B:Q,13,FALSE))),"")</f>
        <v/>
      </c>
      <c r="J462" s="10" t="str">
        <f>IFERROR((IF(VLOOKUP(A462,'ECN-ECO_DATA'!B:Q,14,FALSE)="","",VLOOKUP(A462,'ECN-ECO_DATA'!B:Q,14,FALSE))),"")</f>
        <v/>
      </c>
      <c r="K462" s="10" t="str">
        <f>IFERROR((IF(VLOOKUP(A462,'ECN-ECO_DATA'!B:Q,15,FALSE)="","",VLOOKUP(A462,'ECN-ECO_DATA'!B:Q,15,FALSE))),"")</f>
        <v/>
      </c>
      <c r="L462" s="10" t="str">
        <f>IFERROR((IF(VLOOKUP(A462,'ECN-ECO_DATA'!B:Q,16,FALSE)="","",VLOOKUP(A462,'ECN-ECO_DATA'!B:Q,16,FALSE))),"")</f>
        <v/>
      </c>
      <c r="M462" s="9" t="str">
        <f>IFERROR((IF(VLOOKUP(A462,'ECN-ECO_DATA'!B:V,18,FALSE)=0/1/1900,"",VLOOKUP(A462,'ECN-ECO_DATA'!B:V,18,FALSE))),"")</f>
        <v/>
      </c>
      <c r="N462" s="9" t="str">
        <f>IFERROR((IF(VLOOKUP(A462,'ECN-ECO_DATA'!B:V,19,FALSE)=0/1/1900,"",VLOOKUP(A462,'ECN-ECO_DATA'!B:V,19,FALSE))),"")</f>
        <v/>
      </c>
      <c r="O462" s="9" t="str">
        <f>IFERROR((IF(VLOOKUP(A462,'ECN-ECO_DATA'!B:V,20,FALSE)=0/1/1900,"",VLOOKUP(A462,'ECN-ECO_DATA'!B:V,20,FALSE))),"")</f>
        <v/>
      </c>
      <c r="P462" s="9" t="str">
        <f>IFERROR((IF(VLOOKUP(A462,'ECN-ECO_DATA'!B:V,21,FALSE)=0/1/1900,"",VLOOKUP(A462,'ECN-ECO_DATA'!B:V,21,FALSE))),"")</f>
        <v/>
      </c>
      <c r="Q462" s="10" t="str">
        <f t="shared" ca="1" si="35"/>
        <v/>
      </c>
      <c r="R462" s="4" t="str">
        <f t="shared" si="36"/>
        <v/>
      </c>
      <c r="S462" s="4" t="str">
        <f t="shared" si="37"/>
        <v/>
      </c>
      <c r="T462" s="4" t="str">
        <f t="shared" si="38"/>
        <v/>
      </c>
      <c r="U462" s="10" t="str">
        <f t="shared" si="39"/>
        <v/>
      </c>
      <c r="V462" s="4"/>
    </row>
    <row r="463" spans="2:22" x14ac:dyDescent="0.25">
      <c r="B463" s="4" t="str">
        <f>IFERROR(VLOOKUP(A463,'ECN-ECO_DATA'!B:G,4,FALSE),"")</f>
        <v/>
      </c>
      <c r="C463" s="9" t="str">
        <f>IFERROR(VLOOKUP(A463,'ECN-ECO_DATA'!B:G,5,FALSE),"")</f>
        <v/>
      </c>
      <c r="D463" s="9" t="str">
        <f ca="1">IFERROR((IF(VLOOKUP(A463,'ECN-ECO_DATA'!B:G,6,FALSE)=0/1/1900,TODAY(),VLOOKUP(A463,'ECN-ECO_DATA'!B:G,6,FALSE))),"")</f>
        <v/>
      </c>
      <c r="E463" s="9" t="str">
        <f>IFERROR((IF(VLOOKUP(A463,'ECN-ECO_DATA'!B:G,6,FALSE)=0/1/1900,"",VLOOKUP(A463,'ECN-ECO_DATA'!B:G,6,FALSE))),"")</f>
        <v/>
      </c>
      <c r="F463" s="9" t="str">
        <f>IFERROR((IF(VLOOKUP(A463,'ECN-ECO_DATA'!B:J,7,FALSE)=0/1/1900,"",VLOOKUP(A463,'ECN-ECO_DATA'!B:J,7,FALSE))),"")</f>
        <v/>
      </c>
      <c r="G463" s="9" t="str">
        <f>IFERROR((IF(VLOOKUP(A463,'ECN-ECO_DATA'!B:J,8,FALSE)=0/1/1900,"",VLOOKUP(A463,'ECN-ECO_DATA'!B:J,8,FALSE))),"")</f>
        <v/>
      </c>
      <c r="H463" s="9" t="str">
        <f>IFERROR((IF(VLOOKUP(A463,'ECN-ECO_DATA'!B:J,9,FALSE)=0/1/1900,"",VLOOKUP(A463,'ECN-ECO_DATA'!B:J,9,FALSE))),"")</f>
        <v/>
      </c>
      <c r="I463" s="10" t="str">
        <f>IFERROR((IF(VLOOKUP(A463,'ECN-ECO_DATA'!B:Q,13,FALSE)="","",VLOOKUP(A463,'ECN-ECO_DATA'!B:Q,13,FALSE))),"")</f>
        <v/>
      </c>
      <c r="J463" s="10" t="str">
        <f>IFERROR((IF(VLOOKUP(A463,'ECN-ECO_DATA'!B:Q,14,FALSE)="","",VLOOKUP(A463,'ECN-ECO_DATA'!B:Q,14,FALSE))),"")</f>
        <v/>
      </c>
      <c r="K463" s="10" t="str">
        <f>IFERROR((IF(VLOOKUP(A463,'ECN-ECO_DATA'!B:Q,15,FALSE)="","",VLOOKUP(A463,'ECN-ECO_DATA'!B:Q,15,FALSE))),"")</f>
        <v/>
      </c>
      <c r="L463" s="10" t="str">
        <f>IFERROR((IF(VLOOKUP(A463,'ECN-ECO_DATA'!B:Q,16,FALSE)="","",VLOOKUP(A463,'ECN-ECO_DATA'!B:Q,16,FALSE))),"")</f>
        <v/>
      </c>
      <c r="M463" s="9" t="str">
        <f>IFERROR((IF(VLOOKUP(A463,'ECN-ECO_DATA'!B:V,18,FALSE)=0/1/1900,"",VLOOKUP(A463,'ECN-ECO_DATA'!B:V,18,FALSE))),"")</f>
        <v/>
      </c>
      <c r="N463" s="9" t="str">
        <f>IFERROR((IF(VLOOKUP(A463,'ECN-ECO_DATA'!B:V,19,FALSE)=0/1/1900,"",VLOOKUP(A463,'ECN-ECO_DATA'!B:V,19,FALSE))),"")</f>
        <v/>
      </c>
      <c r="O463" s="9" t="str">
        <f>IFERROR((IF(VLOOKUP(A463,'ECN-ECO_DATA'!B:V,20,FALSE)=0/1/1900,"",VLOOKUP(A463,'ECN-ECO_DATA'!B:V,20,FALSE))),"")</f>
        <v/>
      </c>
      <c r="P463" s="9" t="str">
        <f>IFERROR((IF(VLOOKUP(A463,'ECN-ECO_DATA'!B:V,21,FALSE)=0/1/1900,"",VLOOKUP(A463,'ECN-ECO_DATA'!B:V,21,FALSE))),"")</f>
        <v/>
      </c>
      <c r="Q463" s="10" t="str">
        <f t="shared" ca="1" si="35"/>
        <v/>
      </c>
      <c r="R463" s="4" t="str">
        <f t="shared" si="36"/>
        <v/>
      </c>
      <c r="S463" s="4" t="str">
        <f t="shared" si="37"/>
        <v/>
      </c>
      <c r="T463" s="4" t="str">
        <f t="shared" si="38"/>
        <v/>
      </c>
      <c r="U463" s="10" t="str">
        <f t="shared" si="39"/>
        <v/>
      </c>
      <c r="V463" s="4"/>
    </row>
    <row r="464" spans="2:22" x14ac:dyDescent="0.25">
      <c r="B464" s="4" t="str">
        <f>IFERROR(VLOOKUP(A464,'ECN-ECO_DATA'!B:G,4,FALSE),"")</f>
        <v/>
      </c>
      <c r="C464" s="9" t="str">
        <f>IFERROR(VLOOKUP(A464,'ECN-ECO_DATA'!B:G,5,FALSE),"")</f>
        <v/>
      </c>
      <c r="D464" s="9" t="str">
        <f ca="1">IFERROR((IF(VLOOKUP(A464,'ECN-ECO_DATA'!B:G,6,FALSE)=0/1/1900,TODAY(),VLOOKUP(A464,'ECN-ECO_DATA'!B:G,6,FALSE))),"")</f>
        <v/>
      </c>
      <c r="E464" s="9" t="str">
        <f>IFERROR((IF(VLOOKUP(A464,'ECN-ECO_DATA'!B:G,6,FALSE)=0/1/1900,"",VLOOKUP(A464,'ECN-ECO_DATA'!B:G,6,FALSE))),"")</f>
        <v/>
      </c>
      <c r="F464" s="9" t="str">
        <f>IFERROR((IF(VLOOKUP(A464,'ECN-ECO_DATA'!B:J,7,FALSE)=0/1/1900,"",VLOOKUP(A464,'ECN-ECO_DATA'!B:J,7,FALSE))),"")</f>
        <v/>
      </c>
      <c r="G464" s="9" t="str">
        <f>IFERROR((IF(VLOOKUP(A464,'ECN-ECO_DATA'!B:J,8,FALSE)=0/1/1900,"",VLOOKUP(A464,'ECN-ECO_DATA'!B:J,8,FALSE))),"")</f>
        <v/>
      </c>
      <c r="H464" s="9" t="str">
        <f>IFERROR((IF(VLOOKUP(A464,'ECN-ECO_DATA'!B:J,9,FALSE)=0/1/1900,"",VLOOKUP(A464,'ECN-ECO_DATA'!B:J,9,FALSE))),"")</f>
        <v/>
      </c>
      <c r="I464" s="10" t="str">
        <f>IFERROR((IF(VLOOKUP(A464,'ECN-ECO_DATA'!B:Q,13,FALSE)="","",VLOOKUP(A464,'ECN-ECO_DATA'!B:Q,13,FALSE))),"")</f>
        <v/>
      </c>
      <c r="J464" s="10" t="str">
        <f>IFERROR((IF(VLOOKUP(A464,'ECN-ECO_DATA'!B:Q,14,FALSE)="","",VLOOKUP(A464,'ECN-ECO_DATA'!B:Q,14,FALSE))),"")</f>
        <v/>
      </c>
      <c r="K464" s="10" t="str">
        <f>IFERROR((IF(VLOOKUP(A464,'ECN-ECO_DATA'!B:Q,15,FALSE)="","",VLOOKUP(A464,'ECN-ECO_DATA'!B:Q,15,FALSE))),"")</f>
        <v/>
      </c>
      <c r="L464" s="10" t="str">
        <f>IFERROR((IF(VLOOKUP(A464,'ECN-ECO_DATA'!B:Q,16,FALSE)="","",VLOOKUP(A464,'ECN-ECO_DATA'!B:Q,16,FALSE))),"")</f>
        <v/>
      </c>
      <c r="M464" s="9" t="str">
        <f>IFERROR((IF(VLOOKUP(A464,'ECN-ECO_DATA'!B:V,18,FALSE)=0/1/1900,"",VLOOKUP(A464,'ECN-ECO_DATA'!B:V,18,FALSE))),"")</f>
        <v/>
      </c>
      <c r="N464" s="9" t="str">
        <f>IFERROR((IF(VLOOKUP(A464,'ECN-ECO_DATA'!B:V,19,FALSE)=0/1/1900,"",VLOOKUP(A464,'ECN-ECO_DATA'!B:V,19,FALSE))),"")</f>
        <v/>
      </c>
      <c r="O464" s="9" t="str">
        <f>IFERROR((IF(VLOOKUP(A464,'ECN-ECO_DATA'!B:V,20,FALSE)=0/1/1900,"",VLOOKUP(A464,'ECN-ECO_DATA'!B:V,20,FALSE))),"")</f>
        <v/>
      </c>
      <c r="P464" s="9" t="str">
        <f>IFERROR((IF(VLOOKUP(A464,'ECN-ECO_DATA'!B:V,21,FALSE)=0/1/1900,"",VLOOKUP(A464,'ECN-ECO_DATA'!B:V,21,FALSE))),"")</f>
        <v/>
      </c>
      <c r="Q464" s="10" t="str">
        <f t="shared" ca="1" si="35"/>
        <v/>
      </c>
      <c r="R464" s="4" t="str">
        <f t="shared" si="36"/>
        <v/>
      </c>
      <c r="S464" s="4" t="str">
        <f t="shared" si="37"/>
        <v/>
      </c>
      <c r="T464" s="4" t="str">
        <f t="shared" si="38"/>
        <v/>
      </c>
      <c r="U464" s="10" t="str">
        <f t="shared" si="39"/>
        <v/>
      </c>
      <c r="V464" s="4"/>
    </row>
    <row r="465" spans="2:22" x14ac:dyDescent="0.25">
      <c r="B465" s="4" t="str">
        <f>IFERROR(VLOOKUP(A465,'ECN-ECO_DATA'!B:G,4,FALSE),"")</f>
        <v/>
      </c>
      <c r="C465" s="9" t="str">
        <f>IFERROR(VLOOKUP(A465,'ECN-ECO_DATA'!B:G,5,FALSE),"")</f>
        <v/>
      </c>
      <c r="D465" s="9" t="str">
        <f ca="1">IFERROR((IF(VLOOKUP(A465,'ECN-ECO_DATA'!B:G,6,FALSE)=0/1/1900,TODAY(),VLOOKUP(A465,'ECN-ECO_DATA'!B:G,6,FALSE))),"")</f>
        <v/>
      </c>
      <c r="E465" s="9" t="str">
        <f>IFERROR((IF(VLOOKUP(A465,'ECN-ECO_DATA'!B:G,6,FALSE)=0/1/1900,"",VLOOKUP(A465,'ECN-ECO_DATA'!B:G,6,FALSE))),"")</f>
        <v/>
      </c>
      <c r="F465" s="9" t="str">
        <f>IFERROR((IF(VLOOKUP(A465,'ECN-ECO_DATA'!B:J,7,FALSE)=0/1/1900,"",VLOOKUP(A465,'ECN-ECO_DATA'!B:J,7,FALSE))),"")</f>
        <v/>
      </c>
      <c r="G465" s="9" t="str">
        <f>IFERROR((IF(VLOOKUP(A465,'ECN-ECO_DATA'!B:J,8,FALSE)=0/1/1900,"",VLOOKUP(A465,'ECN-ECO_DATA'!B:J,8,FALSE))),"")</f>
        <v/>
      </c>
      <c r="H465" s="9" t="str">
        <f>IFERROR((IF(VLOOKUP(A465,'ECN-ECO_DATA'!B:J,9,FALSE)=0/1/1900,"",VLOOKUP(A465,'ECN-ECO_DATA'!B:J,9,FALSE))),"")</f>
        <v/>
      </c>
      <c r="I465" s="10" t="str">
        <f>IFERROR((IF(VLOOKUP(A465,'ECN-ECO_DATA'!B:Q,13,FALSE)="","",VLOOKUP(A465,'ECN-ECO_DATA'!B:Q,13,FALSE))),"")</f>
        <v/>
      </c>
      <c r="J465" s="10" t="str">
        <f>IFERROR((IF(VLOOKUP(A465,'ECN-ECO_DATA'!B:Q,14,FALSE)="","",VLOOKUP(A465,'ECN-ECO_DATA'!B:Q,14,FALSE))),"")</f>
        <v/>
      </c>
      <c r="K465" s="10" t="str">
        <f>IFERROR((IF(VLOOKUP(A465,'ECN-ECO_DATA'!B:Q,15,FALSE)="","",VLOOKUP(A465,'ECN-ECO_DATA'!B:Q,15,FALSE))),"")</f>
        <v/>
      </c>
      <c r="L465" s="10" t="str">
        <f>IFERROR((IF(VLOOKUP(A465,'ECN-ECO_DATA'!B:Q,16,FALSE)="","",VLOOKUP(A465,'ECN-ECO_DATA'!B:Q,16,FALSE))),"")</f>
        <v/>
      </c>
      <c r="M465" s="9" t="str">
        <f>IFERROR((IF(VLOOKUP(A465,'ECN-ECO_DATA'!B:V,18,FALSE)=0/1/1900,"",VLOOKUP(A465,'ECN-ECO_DATA'!B:V,18,FALSE))),"")</f>
        <v/>
      </c>
      <c r="N465" s="9" t="str">
        <f>IFERROR((IF(VLOOKUP(A465,'ECN-ECO_DATA'!B:V,19,FALSE)=0/1/1900,"",VLOOKUP(A465,'ECN-ECO_DATA'!B:V,19,FALSE))),"")</f>
        <v/>
      </c>
      <c r="O465" s="9" t="str">
        <f>IFERROR((IF(VLOOKUP(A465,'ECN-ECO_DATA'!B:V,20,FALSE)=0/1/1900,"",VLOOKUP(A465,'ECN-ECO_DATA'!B:V,20,FALSE))),"")</f>
        <v/>
      </c>
      <c r="P465" s="9" t="str">
        <f>IFERROR((IF(VLOOKUP(A465,'ECN-ECO_DATA'!B:V,21,FALSE)=0/1/1900,"",VLOOKUP(A465,'ECN-ECO_DATA'!B:V,21,FALSE))),"")</f>
        <v/>
      </c>
      <c r="Q465" s="10" t="str">
        <f t="shared" ca="1" si="35"/>
        <v/>
      </c>
      <c r="R465" s="4" t="str">
        <f t="shared" si="36"/>
        <v/>
      </c>
      <c r="S465" s="4" t="str">
        <f t="shared" si="37"/>
        <v/>
      </c>
      <c r="T465" s="4" t="str">
        <f t="shared" si="38"/>
        <v/>
      </c>
      <c r="U465" s="10" t="str">
        <f t="shared" si="39"/>
        <v/>
      </c>
      <c r="V465" s="4"/>
    </row>
    <row r="466" spans="2:22" x14ac:dyDescent="0.25">
      <c r="B466" s="4" t="str">
        <f>IFERROR(VLOOKUP(A466,'ECN-ECO_DATA'!B:G,4,FALSE),"")</f>
        <v/>
      </c>
      <c r="C466" s="9" t="str">
        <f>IFERROR(VLOOKUP(A466,'ECN-ECO_DATA'!B:G,5,FALSE),"")</f>
        <v/>
      </c>
      <c r="D466" s="9" t="str">
        <f ca="1">IFERROR((IF(VLOOKUP(A466,'ECN-ECO_DATA'!B:G,6,FALSE)=0/1/1900,TODAY(),VLOOKUP(A466,'ECN-ECO_DATA'!B:G,6,FALSE))),"")</f>
        <v/>
      </c>
      <c r="E466" s="9" t="str">
        <f>IFERROR((IF(VLOOKUP(A466,'ECN-ECO_DATA'!B:G,6,FALSE)=0/1/1900,"",VLOOKUP(A466,'ECN-ECO_DATA'!B:G,6,FALSE))),"")</f>
        <v/>
      </c>
      <c r="F466" s="9" t="str">
        <f>IFERROR((IF(VLOOKUP(A466,'ECN-ECO_DATA'!B:J,7,FALSE)=0/1/1900,"",VLOOKUP(A466,'ECN-ECO_DATA'!B:J,7,FALSE))),"")</f>
        <v/>
      </c>
      <c r="G466" s="9" t="str">
        <f>IFERROR((IF(VLOOKUP(A466,'ECN-ECO_DATA'!B:J,8,FALSE)=0/1/1900,"",VLOOKUP(A466,'ECN-ECO_DATA'!B:J,8,FALSE))),"")</f>
        <v/>
      </c>
      <c r="H466" s="9" t="str">
        <f>IFERROR((IF(VLOOKUP(A466,'ECN-ECO_DATA'!B:J,9,FALSE)=0/1/1900,"",VLOOKUP(A466,'ECN-ECO_DATA'!B:J,9,FALSE))),"")</f>
        <v/>
      </c>
      <c r="I466" s="10" t="str">
        <f>IFERROR((IF(VLOOKUP(A466,'ECN-ECO_DATA'!B:Q,13,FALSE)="","",VLOOKUP(A466,'ECN-ECO_DATA'!B:Q,13,FALSE))),"")</f>
        <v/>
      </c>
      <c r="J466" s="10" t="str">
        <f>IFERROR((IF(VLOOKUP(A466,'ECN-ECO_DATA'!B:Q,14,FALSE)="","",VLOOKUP(A466,'ECN-ECO_DATA'!B:Q,14,FALSE))),"")</f>
        <v/>
      </c>
      <c r="K466" s="10" t="str">
        <f>IFERROR((IF(VLOOKUP(A466,'ECN-ECO_DATA'!B:Q,15,FALSE)="","",VLOOKUP(A466,'ECN-ECO_DATA'!B:Q,15,FALSE))),"")</f>
        <v/>
      </c>
      <c r="L466" s="10" t="str">
        <f>IFERROR((IF(VLOOKUP(A466,'ECN-ECO_DATA'!B:Q,16,FALSE)="","",VLOOKUP(A466,'ECN-ECO_DATA'!B:Q,16,FALSE))),"")</f>
        <v/>
      </c>
      <c r="M466" s="9" t="str">
        <f>IFERROR((IF(VLOOKUP(A466,'ECN-ECO_DATA'!B:V,18,FALSE)=0/1/1900,"",VLOOKUP(A466,'ECN-ECO_DATA'!B:V,18,FALSE))),"")</f>
        <v/>
      </c>
      <c r="N466" s="9" t="str">
        <f>IFERROR((IF(VLOOKUP(A466,'ECN-ECO_DATA'!B:V,19,FALSE)=0/1/1900,"",VLOOKUP(A466,'ECN-ECO_DATA'!B:V,19,FALSE))),"")</f>
        <v/>
      </c>
      <c r="O466" s="9" t="str">
        <f>IFERROR((IF(VLOOKUP(A466,'ECN-ECO_DATA'!B:V,20,FALSE)=0/1/1900,"",VLOOKUP(A466,'ECN-ECO_DATA'!B:V,20,FALSE))),"")</f>
        <v/>
      </c>
      <c r="P466" s="9" t="str">
        <f>IFERROR((IF(VLOOKUP(A466,'ECN-ECO_DATA'!B:V,21,FALSE)=0/1/1900,"",VLOOKUP(A466,'ECN-ECO_DATA'!B:V,21,FALSE))),"")</f>
        <v/>
      </c>
      <c r="Q466" s="10" t="str">
        <f t="shared" ca="1" si="35"/>
        <v/>
      </c>
      <c r="R466" s="4" t="str">
        <f t="shared" si="36"/>
        <v/>
      </c>
      <c r="S466" s="4" t="str">
        <f t="shared" si="37"/>
        <v/>
      </c>
      <c r="T466" s="4" t="str">
        <f t="shared" si="38"/>
        <v/>
      </c>
      <c r="U466" s="10" t="str">
        <f t="shared" si="39"/>
        <v/>
      </c>
      <c r="V466" s="4"/>
    </row>
    <row r="467" spans="2:22" x14ac:dyDescent="0.25">
      <c r="B467" s="4" t="str">
        <f>IFERROR(VLOOKUP(A467,'ECN-ECO_DATA'!B:G,4,FALSE),"")</f>
        <v/>
      </c>
      <c r="C467" s="9" t="str">
        <f>IFERROR(VLOOKUP(A467,'ECN-ECO_DATA'!B:G,5,FALSE),"")</f>
        <v/>
      </c>
      <c r="D467" s="9" t="str">
        <f ca="1">IFERROR((IF(VLOOKUP(A467,'ECN-ECO_DATA'!B:G,6,FALSE)=0/1/1900,TODAY(),VLOOKUP(A467,'ECN-ECO_DATA'!B:G,6,FALSE))),"")</f>
        <v/>
      </c>
      <c r="E467" s="9" t="str">
        <f>IFERROR((IF(VLOOKUP(A467,'ECN-ECO_DATA'!B:G,6,FALSE)=0/1/1900,"",VLOOKUP(A467,'ECN-ECO_DATA'!B:G,6,FALSE))),"")</f>
        <v/>
      </c>
      <c r="F467" s="9" t="str">
        <f>IFERROR((IF(VLOOKUP(A467,'ECN-ECO_DATA'!B:J,7,FALSE)=0/1/1900,"",VLOOKUP(A467,'ECN-ECO_DATA'!B:J,7,FALSE))),"")</f>
        <v/>
      </c>
      <c r="G467" s="9" t="str">
        <f>IFERROR((IF(VLOOKUP(A467,'ECN-ECO_DATA'!B:J,8,FALSE)=0/1/1900,"",VLOOKUP(A467,'ECN-ECO_DATA'!B:J,8,FALSE))),"")</f>
        <v/>
      </c>
      <c r="H467" s="9" t="str">
        <f>IFERROR((IF(VLOOKUP(A467,'ECN-ECO_DATA'!B:J,9,FALSE)=0/1/1900,"",VLOOKUP(A467,'ECN-ECO_DATA'!B:J,9,FALSE))),"")</f>
        <v/>
      </c>
      <c r="I467" s="10" t="str">
        <f>IFERROR((IF(VLOOKUP(A467,'ECN-ECO_DATA'!B:Q,13,FALSE)="","",VLOOKUP(A467,'ECN-ECO_DATA'!B:Q,13,FALSE))),"")</f>
        <v/>
      </c>
      <c r="J467" s="10" t="str">
        <f>IFERROR((IF(VLOOKUP(A467,'ECN-ECO_DATA'!B:Q,14,FALSE)="","",VLOOKUP(A467,'ECN-ECO_DATA'!B:Q,14,FALSE))),"")</f>
        <v/>
      </c>
      <c r="K467" s="10" t="str">
        <f>IFERROR((IF(VLOOKUP(A467,'ECN-ECO_DATA'!B:Q,15,FALSE)="","",VLOOKUP(A467,'ECN-ECO_DATA'!B:Q,15,FALSE))),"")</f>
        <v/>
      </c>
      <c r="L467" s="10" t="str">
        <f>IFERROR((IF(VLOOKUP(A467,'ECN-ECO_DATA'!B:Q,16,FALSE)="","",VLOOKUP(A467,'ECN-ECO_DATA'!B:Q,16,FALSE))),"")</f>
        <v/>
      </c>
      <c r="M467" s="9" t="str">
        <f>IFERROR((IF(VLOOKUP(A467,'ECN-ECO_DATA'!B:V,18,FALSE)=0/1/1900,"",VLOOKUP(A467,'ECN-ECO_DATA'!B:V,18,FALSE))),"")</f>
        <v/>
      </c>
      <c r="N467" s="9" t="str">
        <f>IFERROR((IF(VLOOKUP(A467,'ECN-ECO_DATA'!B:V,19,FALSE)=0/1/1900,"",VLOOKUP(A467,'ECN-ECO_DATA'!B:V,19,FALSE))),"")</f>
        <v/>
      </c>
      <c r="O467" s="9" t="str">
        <f>IFERROR((IF(VLOOKUP(A467,'ECN-ECO_DATA'!B:V,20,FALSE)=0/1/1900,"",VLOOKUP(A467,'ECN-ECO_DATA'!B:V,20,FALSE))),"")</f>
        <v/>
      </c>
      <c r="P467" s="9" t="str">
        <f>IFERROR((IF(VLOOKUP(A467,'ECN-ECO_DATA'!B:V,21,FALSE)=0/1/1900,"",VLOOKUP(A467,'ECN-ECO_DATA'!B:V,21,FALSE))),"")</f>
        <v/>
      </c>
      <c r="Q467" s="10" t="str">
        <f t="shared" ca="1" si="35"/>
        <v/>
      </c>
      <c r="R467" s="4" t="str">
        <f t="shared" si="36"/>
        <v/>
      </c>
      <c r="S467" s="4" t="str">
        <f t="shared" si="37"/>
        <v/>
      </c>
      <c r="T467" s="4" t="str">
        <f t="shared" si="38"/>
        <v/>
      </c>
      <c r="U467" s="10" t="str">
        <f t="shared" si="39"/>
        <v/>
      </c>
      <c r="V467" s="4"/>
    </row>
    <row r="468" spans="2:22" x14ac:dyDescent="0.25">
      <c r="B468" s="4" t="str">
        <f>IFERROR(VLOOKUP(A468,'ECN-ECO_DATA'!B:G,4,FALSE),"")</f>
        <v/>
      </c>
      <c r="C468" s="9" t="str">
        <f>IFERROR(VLOOKUP(A468,'ECN-ECO_DATA'!B:G,5,FALSE),"")</f>
        <v/>
      </c>
      <c r="D468" s="9" t="str">
        <f ca="1">IFERROR((IF(VLOOKUP(A468,'ECN-ECO_DATA'!B:G,6,FALSE)=0/1/1900,TODAY(),VLOOKUP(A468,'ECN-ECO_DATA'!B:G,6,FALSE))),"")</f>
        <v/>
      </c>
      <c r="E468" s="9" t="str">
        <f>IFERROR((IF(VLOOKUP(A468,'ECN-ECO_DATA'!B:G,6,FALSE)=0/1/1900,"",VLOOKUP(A468,'ECN-ECO_DATA'!B:G,6,FALSE))),"")</f>
        <v/>
      </c>
      <c r="F468" s="9" t="str">
        <f>IFERROR((IF(VLOOKUP(A468,'ECN-ECO_DATA'!B:J,7,FALSE)=0/1/1900,"",VLOOKUP(A468,'ECN-ECO_DATA'!B:J,7,FALSE))),"")</f>
        <v/>
      </c>
      <c r="G468" s="9" t="str">
        <f>IFERROR((IF(VLOOKUP(A468,'ECN-ECO_DATA'!B:J,8,FALSE)=0/1/1900,"",VLOOKUP(A468,'ECN-ECO_DATA'!B:J,8,FALSE))),"")</f>
        <v/>
      </c>
      <c r="H468" s="9" t="str">
        <f>IFERROR((IF(VLOOKUP(A468,'ECN-ECO_DATA'!B:J,9,FALSE)=0/1/1900,"",VLOOKUP(A468,'ECN-ECO_DATA'!B:J,9,FALSE))),"")</f>
        <v/>
      </c>
      <c r="I468" s="10" t="str">
        <f>IFERROR((IF(VLOOKUP(A468,'ECN-ECO_DATA'!B:Q,13,FALSE)="","",VLOOKUP(A468,'ECN-ECO_DATA'!B:Q,13,FALSE))),"")</f>
        <v/>
      </c>
      <c r="J468" s="10" t="str">
        <f>IFERROR((IF(VLOOKUP(A468,'ECN-ECO_DATA'!B:Q,14,FALSE)="","",VLOOKUP(A468,'ECN-ECO_DATA'!B:Q,14,FALSE))),"")</f>
        <v/>
      </c>
      <c r="K468" s="10" t="str">
        <f>IFERROR((IF(VLOOKUP(A468,'ECN-ECO_DATA'!B:Q,15,FALSE)="","",VLOOKUP(A468,'ECN-ECO_DATA'!B:Q,15,FALSE))),"")</f>
        <v/>
      </c>
      <c r="L468" s="10" t="str">
        <f>IFERROR((IF(VLOOKUP(A468,'ECN-ECO_DATA'!B:Q,16,FALSE)="","",VLOOKUP(A468,'ECN-ECO_DATA'!B:Q,16,FALSE))),"")</f>
        <v/>
      </c>
      <c r="M468" s="9" t="str">
        <f>IFERROR((IF(VLOOKUP(A468,'ECN-ECO_DATA'!B:V,18,FALSE)=0/1/1900,"",VLOOKUP(A468,'ECN-ECO_DATA'!B:V,18,FALSE))),"")</f>
        <v/>
      </c>
      <c r="N468" s="9" t="str">
        <f>IFERROR((IF(VLOOKUP(A468,'ECN-ECO_DATA'!B:V,19,FALSE)=0/1/1900,"",VLOOKUP(A468,'ECN-ECO_DATA'!B:V,19,FALSE))),"")</f>
        <v/>
      </c>
      <c r="O468" s="9" t="str">
        <f>IFERROR((IF(VLOOKUP(A468,'ECN-ECO_DATA'!B:V,20,FALSE)=0/1/1900,"",VLOOKUP(A468,'ECN-ECO_DATA'!B:V,20,FALSE))),"")</f>
        <v/>
      </c>
      <c r="P468" s="9" t="str">
        <f>IFERROR((IF(VLOOKUP(A468,'ECN-ECO_DATA'!B:V,21,FALSE)=0/1/1900,"",VLOOKUP(A468,'ECN-ECO_DATA'!B:V,21,FALSE))),"")</f>
        <v/>
      </c>
      <c r="Q468" s="10" t="str">
        <f t="shared" ca="1" si="35"/>
        <v/>
      </c>
      <c r="R468" s="4" t="str">
        <f t="shared" si="36"/>
        <v/>
      </c>
      <c r="S468" s="4" t="str">
        <f t="shared" si="37"/>
        <v/>
      </c>
      <c r="T468" s="4" t="str">
        <f t="shared" si="38"/>
        <v/>
      </c>
      <c r="U468" s="10" t="str">
        <f t="shared" si="39"/>
        <v/>
      </c>
      <c r="V468" s="4"/>
    </row>
    <row r="469" spans="2:22" x14ac:dyDescent="0.25">
      <c r="B469" s="4" t="str">
        <f>IFERROR(VLOOKUP(A469,'ECN-ECO_DATA'!B:G,4,FALSE),"")</f>
        <v/>
      </c>
      <c r="C469" s="9" t="str">
        <f>IFERROR(VLOOKUP(A469,'ECN-ECO_DATA'!B:G,5,FALSE),"")</f>
        <v/>
      </c>
      <c r="D469" s="9" t="str">
        <f ca="1">IFERROR((IF(VLOOKUP(A469,'ECN-ECO_DATA'!B:G,6,FALSE)=0/1/1900,TODAY(),VLOOKUP(A469,'ECN-ECO_DATA'!B:G,6,FALSE))),"")</f>
        <v/>
      </c>
      <c r="E469" s="9" t="str">
        <f>IFERROR((IF(VLOOKUP(A469,'ECN-ECO_DATA'!B:G,6,FALSE)=0/1/1900,"",VLOOKUP(A469,'ECN-ECO_DATA'!B:G,6,FALSE))),"")</f>
        <v/>
      </c>
      <c r="F469" s="9" t="str">
        <f>IFERROR((IF(VLOOKUP(A469,'ECN-ECO_DATA'!B:J,7,FALSE)=0/1/1900,"",VLOOKUP(A469,'ECN-ECO_DATA'!B:J,7,FALSE))),"")</f>
        <v/>
      </c>
      <c r="G469" s="9" t="str">
        <f>IFERROR((IF(VLOOKUP(A469,'ECN-ECO_DATA'!B:J,8,FALSE)=0/1/1900,"",VLOOKUP(A469,'ECN-ECO_DATA'!B:J,8,FALSE))),"")</f>
        <v/>
      </c>
      <c r="H469" s="9" t="str">
        <f>IFERROR((IF(VLOOKUP(A469,'ECN-ECO_DATA'!B:J,9,FALSE)=0/1/1900,"",VLOOKUP(A469,'ECN-ECO_DATA'!B:J,9,FALSE))),"")</f>
        <v/>
      </c>
      <c r="I469" s="10" t="str">
        <f>IFERROR((IF(VLOOKUP(A469,'ECN-ECO_DATA'!B:Q,13,FALSE)="","",VLOOKUP(A469,'ECN-ECO_DATA'!B:Q,13,FALSE))),"")</f>
        <v/>
      </c>
      <c r="J469" s="10" t="str">
        <f>IFERROR((IF(VLOOKUP(A469,'ECN-ECO_DATA'!B:Q,14,FALSE)="","",VLOOKUP(A469,'ECN-ECO_DATA'!B:Q,14,FALSE))),"")</f>
        <v/>
      </c>
      <c r="K469" s="10" t="str">
        <f>IFERROR((IF(VLOOKUP(A469,'ECN-ECO_DATA'!B:Q,15,FALSE)="","",VLOOKUP(A469,'ECN-ECO_DATA'!B:Q,15,FALSE))),"")</f>
        <v/>
      </c>
      <c r="L469" s="10" t="str">
        <f>IFERROR((IF(VLOOKUP(A469,'ECN-ECO_DATA'!B:Q,16,FALSE)="","",VLOOKUP(A469,'ECN-ECO_DATA'!B:Q,16,FALSE))),"")</f>
        <v/>
      </c>
      <c r="M469" s="9" t="str">
        <f>IFERROR((IF(VLOOKUP(A469,'ECN-ECO_DATA'!B:V,18,FALSE)=0/1/1900,"",VLOOKUP(A469,'ECN-ECO_DATA'!B:V,18,FALSE))),"")</f>
        <v/>
      </c>
      <c r="N469" s="9" t="str">
        <f>IFERROR((IF(VLOOKUP(A469,'ECN-ECO_DATA'!B:V,19,FALSE)=0/1/1900,"",VLOOKUP(A469,'ECN-ECO_DATA'!B:V,19,FALSE))),"")</f>
        <v/>
      </c>
      <c r="O469" s="9" t="str">
        <f>IFERROR((IF(VLOOKUP(A469,'ECN-ECO_DATA'!B:V,20,FALSE)=0/1/1900,"",VLOOKUP(A469,'ECN-ECO_DATA'!B:V,20,FALSE))),"")</f>
        <v/>
      </c>
      <c r="P469" s="9" t="str">
        <f>IFERROR((IF(VLOOKUP(A469,'ECN-ECO_DATA'!B:V,21,FALSE)=0/1/1900,"",VLOOKUP(A469,'ECN-ECO_DATA'!B:V,21,FALSE))),"")</f>
        <v/>
      </c>
      <c r="Q469" s="10" t="str">
        <f t="shared" ca="1" si="35"/>
        <v/>
      </c>
      <c r="R469" s="4" t="str">
        <f t="shared" si="36"/>
        <v/>
      </c>
      <c r="S469" s="4" t="str">
        <f t="shared" si="37"/>
        <v/>
      </c>
      <c r="T469" s="4" t="str">
        <f t="shared" si="38"/>
        <v/>
      </c>
      <c r="U469" s="10" t="str">
        <f t="shared" si="39"/>
        <v/>
      </c>
      <c r="V469" s="4"/>
    </row>
    <row r="470" spans="2:22" x14ac:dyDescent="0.25">
      <c r="B470" s="4" t="str">
        <f>IFERROR(VLOOKUP(A470,'ECN-ECO_DATA'!B:G,4,FALSE),"")</f>
        <v/>
      </c>
      <c r="C470" s="9" t="str">
        <f>IFERROR(VLOOKUP(A470,'ECN-ECO_DATA'!B:G,5,FALSE),"")</f>
        <v/>
      </c>
      <c r="D470" s="9" t="str">
        <f ca="1">IFERROR((IF(VLOOKUP(A470,'ECN-ECO_DATA'!B:G,6,FALSE)=0/1/1900,TODAY(),VLOOKUP(A470,'ECN-ECO_DATA'!B:G,6,FALSE))),"")</f>
        <v/>
      </c>
      <c r="E470" s="9" t="str">
        <f>IFERROR((IF(VLOOKUP(A470,'ECN-ECO_DATA'!B:G,6,FALSE)=0/1/1900,"",VLOOKUP(A470,'ECN-ECO_DATA'!B:G,6,FALSE))),"")</f>
        <v/>
      </c>
      <c r="F470" s="9" t="str">
        <f>IFERROR((IF(VLOOKUP(A470,'ECN-ECO_DATA'!B:J,7,FALSE)=0/1/1900,"",VLOOKUP(A470,'ECN-ECO_DATA'!B:J,7,FALSE))),"")</f>
        <v/>
      </c>
      <c r="G470" s="9" t="str">
        <f>IFERROR((IF(VLOOKUP(A470,'ECN-ECO_DATA'!B:J,8,FALSE)=0/1/1900,"",VLOOKUP(A470,'ECN-ECO_DATA'!B:J,8,FALSE))),"")</f>
        <v/>
      </c>
      <c r="H470" s="9" t="str">
        <f>IFERROR((IF(VLOOKUP(A470,'ECN-ECO_DATA'!B:J,9,FALSE)=0/1/1900,"",VLOOKUP(A470,'ECN-ECO_DATA'!B:J,9,FALSE))),"")</f>
        <v/>
      </c>
      <c r="I470" s="10" t="str">
        <f>IFERROR((IF(VLOOKUP(A470,'ECN-ECO_DATA'!B:Q,13,FALSE)="","",VLOOKUP(A470,'ECN-ECO_DATA'!B:Q,13,FALSE))),"")</f>
        <v/>
      </c>
      <c r="J470" s="10" t="str">
        <f>IFERROR((IF(VLOOKUP(A470,'ECN-ECO_DATA'!B:Q,14,FALSE)="","",VLOOKUP(A470,'ECN-ECO_DATA'!B:Q,14,FALSE))),"")</f>
        <v/>
      </c>
      <c r="K470" s="10" t="str">
        <f>IFERROR((IF(VLOOKUP(A470,'ECN-ECO_DATA'!B:Q,15,FALSE)="","",VLOOKUP(A470,'ECN-ECO_DATA'!B:Q,15,FALSE))),"")</f>
        <v/>
      </c>
      <c r="L470" s="10" t="str">
        <f>IFERROR((IF(VLOOKUP(A470,'ECN-ECO_DATA'!B:Q,16,FALSE)="","",VLOOKUP(A470,'ECN-ECO_DATA'!B:Q,16,FALSE))),"")</f>
        <v/>
      </c>
      <c r="M470" s="9" t="str">
        <f>IFERROR((IF(VLOOKUP(A470,'ECN-ECO_DATA'!B:V,18,FALSE)=0/1/1900,"",VLOOKUP(A470,'ECN-ECO_DATA'!B:V,18,FALSE))),"")</f>
        <v/>
      </c>
      <c r="N470" s="9" t="str">
        <f>IFERROR((IF(VLOOKUP(A470,'ECN-ECO_DATA'!B:V,19,FALSE)=0/1/1900,"",VLOOKUP(A470,'ECN-ECO_DATA'!B:V,19,FALSE))),"")</f>
        <v/>
      </c>
      <c r="O470" s="9" t="str">
        <f>IFERROR((IF(VLOOKUP(A470,'ECN-ECO_DATA'!B:V,20,FALSE)=0/1/1900,"",VLOOKUP(A470,'ECN-ECO_DATA'!B:V,20,FALSE))),"")</f>
        <v/>
      </c>
      <c r="P470" s="9" t="str">
        <f>IFERROR((IF(VLOOKUP(A470,'ECN-ECO_DATA'!B:V,21,FALSE)=0/1/1900,"",VLOOKUP(A470,'ECN-ECO_DATA'!B:V,21,FALSE))),"")</f>
        <v/>
      </c>
      <c r="Q470" s="10" t="str">
        <f t="shared" ca="1" si="35"/>
        <v/>
      </c>
      <c r="R470" s="4" t="str">
        <f t="shared" si="36"/>
        <v/>
      </c>
      <c r="S470" s="4" t="str">
        <f t="shared" si="37"/>
        <v/>
      </c>
      <c r="T470" s="4" t="str">
        <f t="shared" si="38"/>
        <v/>
      </c>
      <c r="U470" s="10" t="str">
        <f t="shared" si="39"/>
        <v/>
      </c>
      <c r="V470" s="4"/>
    </row>
    <row r="471" spans="2:22" x14ac:dyDescent="0.25">
      <c r="B471" s="4" t="str">
        <f>IFERROR(VLOOKUP(A471,'ECN-ECO_DATA'!B:G,4,FALSE),"")</f>
        <v/>
      </c>
      <c r="C471" s="9" t="str">
        <f>IFERROR(VLOOKUP(A471,'ECN-ECO_DATA'!B:G,5,FALSE),"")</f>
        <v/>
      </c>
      <c r="D471" s="9" t="str">
        <f ca="1">IFERROR((IF(VLOOKUP(A471,'ECN-ECO_DATA'!B:G,6,FALSE)=0/1/1900,TODAY(),VLOOKUP(A471,'ECN-ECO_DATA'!B:G,6,FALSE))),"")</f>
        <v/>
      </c>
      <c r="E471" s="9" t="str">
        <f>IFERROR((IF(VLOOKUP(A471,'ECN-ECO_DATA'!B:G,6,FALSE)=0/1/1900,"",VLOOKUP(A471,'ECN-ECO_DATA'!B:G,6,FALSE))),"")</f>
        <v/>
      </c>
      <c r="F471" s="9" t="str">
        <f>IFERROR((IF(VLOOKUP(A471,'ECN-ECO_DATA'!B:J,7,FALSE)=0/1/1900,"",VLOOKUP(A471,'ECN-ECO_DATA'!B:J,7,FALSE))),"")</f>
        <v/>
      </c>
      <c r="G471" s="9" t="str">
        <f>IFERROR((IF(VLOOKUP(A471,'ECN-ECO_DATA'!B:J,8,FALSE)=0/1/1900,"",VLOOKUP(A471,'ECN-ECO_DATA'!B:J,8,FALSE))),"")</f>
        <v/>
      </c>
      <c r="H471" s="9" t="str">
        <f>IFERROR((IF(VLOOKUP(A471,'ECN-ECO_DATA'!B:J,9,FALSE)=0/1/1900,"",VLOOKUP(A471,'ECN-ECO_DATA'!B:J,9,FALSE))),"")</f>
        <v/>
      </c>
      <c r="I471" s="10" t="str">
        <f>IFERROR((IF(VLOOKUP(A471,'ECN-ECO_DATA'!B:Q,13,FALSE)="","",VLOOKUP(A471,'ECN-ECO_DATA'!B:Q,13,FALSE))),"")</f>
        <v/>
      </c>
      <c r="J471" s="10" t="str">
        <f>IFERROR((IF(VLOOKUP(A471,'ECN-ECO_DATA'!B:Q,14,FALSE)="","",VLOOKUP(A471,'ECN-ECO_DATA'!B:Q,14,FALSE))),"")</f>
        <v/>
      </c>
      <c r="K471" s="10" t="str">
        <f>IFERROR((IF(VLOOKUP(A471,'ECN-ECO_DATA'!B:Q,15,FALSE)="","",VLOOKUP(A471,'ECN-ECO_DATA'!B:Q,15,FALSE))),"")</f>
        <v/>
      </c>
      <c r="L471" s="10" t="str">
        <f>IFERROR((IF(VLOOKUP(A471,'ECN-ECO_DATA'!B:Q,16,FALSE)="","",VLOOKUP(A471,'ECN-ECO_DATA'!B:Q,16,FALSE))),"")</f>
        <v/>
      </c>
      <c r="M471" s="9" t="str">
        <f>IFERROR((IF(VLOOKUP(A471,'ECN-ECO_DATA'!B:V,18,FALSE)=0/1/1900,"",VLOOKUP(A471,'ECN-ECO_DATA'!B:V,18,FALSE))),"")</f>
        <v/>
      </c>
      <c r="N471" s="9" t="str">
        <f>IFERROR((IF(VLOOKUP(A471,'ECN-ECO_DATA'!B:V,19,FALSE)=0/1/1900,"",VLOOKUP(A471,'ECN-ECO_DATA'!B:V,19,FALSE))),"")</f>
        <v/>
      </c>
      <c r="O471" s="9" t="str">
        <f>IFERROR((IF(VLOOKUP(A471,'ECN-ECO_DATA'!B:V,20,FALSE)=0/1/1900,"",VLOOKUP(A471,'ECN-ECO_DATA'!B:V,20,FALSE))),"")</f>
        <v/>
      </c>
      <c r="P471" s="9" t="str">
        <f>IFERROR((IF(VLOOKUP(A471,'ECN-ECO_DATA'!B:V,21,FALSE)=0/1/1900,"",VLOOKUP(A471,'ECN-ECO_DATA'!B:V,21,FALSE))),"")</f>
        <v/>
      </c>
      <c r="Q471" s="10" t="str">
        <f t="shared" ca="1" si="35"/>
        <v/>
      </c>
      <c r="R471" s="4" t="str">
        <f t="shared" si="36"/>
        <v/>
      </c>
      <c r="S471" s="4" t="str">
        <f t="shared" si="37"/>
        <v/>
      </c>
      <c r="T471" s="4" t="str">
        <f t="shared" si="38"/>
        <v/>
      </c>
      <c r="U471" s="10" t="str">
        <f t="shared" si="39"/>
        <v/>
      </c>
      <c r="V471" s="4"/>
    </row>
    <row r="472" spans="2:22" x14ac:dyDescent="0.25">
      <c r="B472" s="4" t="str">
        <f>IFERROR(VLOOKUP(A472,'ECN-ECO_DATA'!B:G,4,FALSE),"")</f>
        <v/>
      </c>
      <c r="C472" s="9" t="str">
        <f>IFERROR(VLOOKUP(A472,'ECN-ECO_DATA'!B:G,5,FALSE),"")</f>
        <v/>
      </c>
      <c r="D472" s="9" t="str">
        <f ca="1">IFERROR((IF(VLOOKUP(A472,'ECN-ECO_DATA'!B:G,6,FALSE)=0/1/1900,TODAY(),VLOOKUP(A472,'ECN-ECO_DATA'!B:G,6,FALSE))),"")</f>
        <v/>
      </c>
      <c r="E472" s="9" t="str">
        <f>IFERROR((IF(VLOOKUP(A472,'ECN-ECO_DATA'!B:G,6,FALSE)=0/1/1900,"",VLOOKUP(A472,'ECN-ECO_DATA'!B:G,6,FALSE))),"")</f>
        <v/>
      </c>
      <c r="F472" s="9" t="str">
        <f>IFERROR((IF(VLOOKUP(A472,'ECN-ECO_DATA'!B:J,7,FALSE)=0/1/1900,"",VLOOKUP(A472,'ECN-ECO_DATA'!B:J,7,FALSE))),"")</f>
        <v/>
      </c>
      <c r="G472" s="9" t="str">
        <f>IFERROR((IF(VLOOKUP(A472,'ECN-ECO_DATA'!B:J,8,FALSE)=0/1/1900,"",VLOOKUP(A472,'ECN-ECO_DATA'!B:J,8,FALSE))),"")</f>
        <v/>
      </c>
      <c r="H472" s="9" t="str">
        <f>IFERROR((IF(VLOOKUP(A472,'ECN-ECO_DATA'!B:J,9,FALSE)=0/1/1900,"",VLOOKUP(A472,'ECN-ECO_DATA'!B:J,9,FALSE))),"")</f>
        <v/>
      </c>
      <c r="I472" s="10" t="str">
        <f>IFERROR((IF(VLOOKUP(A472,'ECN-ECO_DATA'!B:Q,13,FALSE)="","",VLOOKUP(A472,'ECN-ECO_DATA'!B:Q,13,FALSE))),"")</f>
        <v/>
      </c>
      <c r="J472" s="10" t="str">
        <f>IFERROR((IF(VLOOKUP(A472,'ECN-ECO_DATA'!B:Q,14,FALSE)="","",VLOOKUP(A472,'ECN-ECO_DATA'!B:Q,14,FALSE))),"")</f>
        <v/>
      </c>
      <c r="K472" s="10" t="str">
        <f>IFERROR((IF(VLOOKUP(A472,'ECN-ECO_DATA'!B:Q,15,FALSE)="","",VLOOKUP(A472,'ECN-ECO_DATA'!B:Q,15,FALSE))),"")</f>
        <v/>
      </c>
      <c r="L472" s="10" t="str">
        <f>IFERROR((IF(VLOOKUP(A472,'ECN-ECO_DATA'!B:Q,16,FALSE)="","",VLOOKUP(A472,'ECN-ECO_DATA'!B:Q,16,FALSE))),"")</f>
        <v/>
      </c>
      <c r="M472" s="9" t="str">
        <f>IFERROR((IF(VLOOKUP(A472,'ECN-ECO_DATA'!B:V,18,FALSE)=0/1/1900,"",VLOOKUP(A472,'ECN-ECO_DATA'!B:V,18,FALSE))),"")</f>
        <v/>
      </c>
      <c r="N472" s="9" t="str">
        <f>IFERROR((IF(VLOOKUP(A472,'ECN-ECO_DATA'!B:V,19,FALSE)=0/1/1900,"",VLOOKUP(A472,'ECN-ECO_DATA'!B:V,19,FALSE))),"")</f>
        <v/>
      </c>
      <c r="O472" s="9" t="str">
        <f>IFERROR((IF(VLOOKUP(A472,'ECN-ECO_DATA'!B:V,20,FALSE)=0/1/1900,"",VLOOKUP(A472,'ECN-ECO_DATA'!B:V,20,FALSE))),"")</f>
        <v/>
      </c>
      <c r="P472" s="9" t="str">
        <f>IFERROR((IF(VLOOKUP(A472,'ECN-ECO_DATA'!B:V,21,FALSE)=0/1/1900,"",VLOOKUP(A472,'ECN-ECO_DATA'!B:V,21,FALSE))),"")</f>
        <v/>
      </c>
      <c r="Q472" s="10" t="str">
        <f t="shared" ca="1" si="35"/>
        <v/>
      </c>
      <c r="R472" s="4" t="str">
        <f t="shared" si="36"/>
        <v/>
      </c>
      <c r="S472" s="4" t="str">
        <f t="shared" si="37"/>
        <v/>
      </c>
      <c r="T472" s="4" t="str">
        <f t="shared" si="38"/>
        <v/>
      </c>
      <c r="U472" s="10" t="str">
        <f t="shared" si="39"/>
        <v/>
      </c>
      <c r="V472" s="4"/>
    </row>
    <row r="473" spans="2:22" x14ac:dyDescent="0.25">
      <c r="B473" s="4" t="str">
        <f>IFERROR(VLOOKUP(A473,'ECN-ECO_DATA'!B:G,4,FALSE),"")</f>
        <v/>
      </c>
      <c r="C473" s="9" t="str">
        <f>IFERROR(VLOOKUP(A473,'ECN-ECO_DATA'!B:G,5,FALSE),"")</f>
        <v/>
      </c>
      <c r="D473" s="9" t="str">
        <f ca="1">IFERROR((IF(VLOOKUP(A473,'ECN-ECO_DATA'!B:G,6,FALSE)=0/1/1900,TODAY(),VLOOKUP(A473,'ECN-ECO_DATA'!B:G,6,FALSE))),"")</f>
        <v/>
      </c>
      <c r="E473" s="9" t="str">
        <f>IFERROR((IF(VLOOKUP(A473,'ECN-ECO_DATA'!B:G,6,FALSE)=0/1/1900,"",VLOOKUP(A473,'ECN-ECO_DATA'!B:G,6,FALSE))),"")</f>
        <v/>
      </c>
      <c r="F473" s="9" t="str">
        <f>IFERROR((IF(VLOOKUP(A473,'ECN-ECO_DATA'!B:J,7,FALSE)=0/1/1900,"",VLOOKUP(A473,'ECN-ECO_DATA'!B:J,7,FALSE))),"")</f>
        <v/>
      </c>
      <c r="G473" s="9" t="str">
        <f>IFERROR((IF(VLOOKUP(A473,'ECN-ECO_DATA'!B:J,8,FALSE)=0/1/1900,"",VLOOKUP(A473,'ECN-ECO_DATA'!B:J,8,FALSE))),"")</f>
        <v/>
      </c>
      <c r="H473" s="9" t="str">
        <f>IFERROR((IF(VLOOKUP(A473,'ECN-ECO_DATA'!B:J,9,FALSE)=0/1/1900,"",VLOOKUP(A473,'ECN-ECO_DATA'!B:J,9,FALSE))),"")</f>
        <v/>
      </c>
      <c r="I473" s="10" t="str">
        <f>IFERROR((IF(VLOOKUP(A473,'ECN-ECO_DATA'!B:Q,13,FALSE)="","",VLOOKUP(A473,'ECN-ECO_DATA'!B:Q,13,FALSE))),"")</f>
        <v/>
      </c>
      <c r="J473" s="10" t="str">
        <f>IFERROR((IF(VLOOKUP(A473,'ECN-ECO_DATA'!B:Q,14,FALSE)="","",VLOOKUP(A473,'ECN-ECO_DATA'!B:Q,14,FALSE))),"")</f>
        <v/>
      </c>
      <c r="K473" s="10" t="str">
        <f>IFERROR((IF(VLOOKUP(A473,'ECN-ECO_DATA'!B:Q,15,FALSE)="","",VLOOKUP(A473,'ECN-ECO_DATA'!B:Q,15,FALSE))),"")</f>
        <v/>
      </c>
      <c r="L473" s="10" t="str">
        <f>IFERROR((IF(VLOOKUP(A473,'ECN-ECO_DATA'!B:Q,16,FALSE)="","",VLOOKUP(A473,'ECN-ECO_DATA'!B:Q,16,FALSE))),"")</f>
        <v/>
      </c>
      <c r="M473" s="9" t="str">
        <f>IFERROR((IF(VLOOKUP(A473,'ECN-ECO_DATA'!B:V,18,FALSE)=0/1/1900,"",VLOOKUP(A473,'ECN-ECO_DATA'!B:V,18,FALSE))),"")</f>
        <v/>
      </c>
      <c r="N473" s="9" t="str">
        <f>IFERROR((IF(VLOOKUP(A473,'ECN-ECO_DATA'!B:V,19,FALSE)=0/1/1900,"",VLOOKUP(A473,'ECN-ECO_DATA'!B:V,19,FALSE))),"")</f>
        <v/>
      </c>
      <c r="O473" s="9" t="str">
        <f>IFERROR((IF(VLOOKUP(A473,'ECN-ECO_DATA'!B:V,20,FALSE)=0/1/1900,"",VLOOKUP(A473,'ECN-ECO_DATA'!B:V,20,FALSE))),"")</f>
        <v/>
      </c>
      <c r="P473" s="9" t="str">
        <f>IFERROR((IF(VLOOKUP(A473,'ECN-ECO_DATA'!B:V,21,FALSE)=0/1/1900,"",VLOOKUP(A473,'ECN-ECO_DATA'!B:V,21,FALSE))),"")</f>
        <v/>
      </c>
      <c r="Q473" s="10" t="str">
        <f t="shared" ca="1" si="35"/>
        <v/>
      </c>
      <c r="R473" s="4" t="str">
        <f t="shared" si="36"/>
        <v/>
      </c>
      <c r="S473" s="4" t="str">
        <f t="shared" si="37"/>
        <v/>
      </c>
      <c r="T473" s="4" t="str">
        <f t="shared" si="38"/>
        <v/>
      </c>
      <c r="U473" s="10" t="str">
        <f t="shared" si="39"/>
        <v/>
      </c>
      <c r="V473" s="4"/>
    </row>
    <row r="474" spans="2:22" x14ac:dyDescent="0.25">
      <c r="B474" s="4" t="str">
        <f>IFERROR(VLOOKUP(A474,'ECN-ECO_DATA'!B:G,4,FALSE),"")</f>
        <v/>
      </c>
      <c r="C474" s="9" t="str">
        <f>IFERROR(VLOOKUP(A474,'ECN-ECO_DATA'!B:G,5,FALSE),"")</f>
        <v/>
      </c>
      <c r="D474" s="9" t="str">
        <f ca="1">IFERROR((IF(VLOOKUP(A474,'ECN-ECO_DATA'!B:G,6,FALSE)=0/1/1900,TODAY(),VLOOKUP(A474,'ECN-ECO_DATA'!B:G,6,FALSE))),"")</f>
        <v/>
      </c>
      <c r="E474" s="9" t="str">
        <f>IFERROR((IF(VLOOKUP(A474,'ECN-ECO_DATA'!B:G,6,FALSE)=0/1/1900,"",VLOOKUP(A474,'ECN-ECO_DATA'!B:G,6,FALSE))),"")</f>
        <v/>
      </c>
      <c r="F474" s="9" t="str">
        <f>IFERROR((IF(VLOOKUP(A474,'ECN-ECO_DATA'!B:J,7,FALSE)=0/1/1900,"",VLOOKUP(A474,'ECN-ECO_DATA'!B:J,7,FALSE))),"")</f>
        <v/>
      </c>
      <c r="G474" s="9" t="str">
        <f>IFERROR((IF(VLOOKUP(A474,'ECN-ECO_DATA'!B:J,8,FALSE)=0/1/1900,"",VLOOKUP(A474,'ECN-ECO_DATA'!B:J,8,FALSE))),"")</f>
        <v/>
      </c>
      <c r="H474" s="9" t="str">
        <f>IFERROR((IF(VLOOKUP(A474,'ECN-ECO_DATA'!B:J,9,FALSE)=0/1/1900,"",VLOOKUP(A474,'ECN-ECO_DATA'!B:J,9,FALSE))),"")</f>
        <v/>
      </c>
      <c r="I474" s="10" t="str">
        <f>IFERROR((IF(VLOOKUP(A474,'ECN-ECO_DATA'!B:Q,13,FALSE)="","",VLOOKUP(A474,'ECN-ECO_DATA'!B:Q,13,FALSE))),"")</f>
        <v/>
      </c>
      <c r="J474" s="10" t="str">
        <f>IFERROR((IF(VLOOKUP(A474,'ECN-ECO_DATA'!B:Q,14,FALSE)="","",VLOOKUP(A474,'ECN-ECO_DATA'!B:Q,14,FALSE))),"")</f>
        <v/>
      </c>
      <c r="K474" s="10" t="str">
        <f>IFERROR((IF(VLOOKUP(A474,'ECN-ECO_DATA'!B:Q,15,FALSE)="","",VLOOKUP(A474,'ECN-ECO_DATA'!B:Q,15,FALSE))),"")</f>
        <v/>
      </c>
      <c r="L474" s="10" t="str">
        <f>IFERROR((IF(VLOOKUP(A474,'ECN-ECO_DATA'!B:Q,16,FALSE)="","",VLOOKUP(A474,'ECN-ECO_DATA'!B:Q,16,FALSE))),"")</f>
        <v/>
      </c>
      <c r="M474" s="9" t="str">
        <f>IFERROR((IF(VLOOKUP(A474,'ECN-ECO_DATA'!B:V,18,FALSE)=0/1/1900,"",VLOOKUP(A474,'ECN-ECO_DATA'!B:V,18,FALSE))),"")</f>
        <v/>
      </c>
      <c r="N474" s="9" t="str">
        <f>IFERROR((IF(VLOOKUP(A474,'ECN-ECO_DATA'!B:V,19,FALSE)=0/1/1900,"",VLOOKUP(A474,'ECN-ECO_DATA'!B:V,19,FALSE))),"")</f>
        <v/>
      </c>
      <c r="O474" s="9" t="str">
        <f>IFERROR((IF(VLOOKUP(A474,'ECN-ECO_DATA'!B:V,20,FALSE)=0/1/1900,"",VLOOKUP(A474,'ECN-ECO_DATA'!B:V,20,FALSE))),"")</f>
        <v/>
      </c>
      <c r="P474" s="9" t="str">
        <f>IFERROR((IF(VLOOKUP(A474,'ECN-ECO_DATA'!B:V,21,FALSE)=0/1/1900,"",VLOOKUP(A474,'ECN-ECO_DATA'!B:V,21,FALSE))),"")</f>
        <v/>
      </c>
      <c r="Q474" s="10" t="str">
        <f t="shared" ca="1" si="35"/>
        <v/>
      </c>
      <c r="R474" s="4" t="str">
        <f t="shared" si="36"/>
        <v/>
      </c>
      <c r="S474" s="4" t="str">
        <f t="shared" si="37"/>
        <v/>
      </c>
      <c r="T474" s="4" t="str">
        <f t="shared" si="38"/>
        <v/>
      </c>
      <c r="U474" s="10" t="str">
        <f t="shared" si="39"/>
        <v/>
      </c>
      <c r="V474" s="4"/>
    </row>
    <row r="475" spans="2:22" x14ac:dyDescent="0.25">
      <c r="B475" s="4" t="str">
        <f>IFERROR(VLOOKUP(A475,'ECN-ECO_DATA'!B:G,4,FALSE),"")</f>
        <v/>
      </c>
      <c r="C475" s="9" t="str">
        <f>IFERROR(VLOOKUP(A475,'ECN-ECO_DATA'!B:G,5,FALSE),"")</f>
        <v/>
      </c>
      <c r="D475" s="9" t="str">
        <f ca="1">IFERROR((IF(VLOOKUP(A475,'ECN-ECO_DATA'!B:G,6,FALSE)=0/1/1900,TODAY(),VLOOKUP(A475,'ECN-ECO_DATA'!B:G,6,FALSE))),"")</f>
        <v/>
      </c>
      <c r="E475" s="9" t="str">
        <f>IFERROR((IF(VLOOKUP(A475,'ECN-ECO_DATA'!B:G,6,FALSE)=0/1/1900,"",VLOOKUP(A475,'ECN-ECO_DATA'!B:G,6,FALSE))),"")</f>
        <v/>
      </c>
      <c r="F475" s="9" t="str">
        <f>IFERROR((IF(VLOOKUP(A475,'ECN-ECO_DATA'!B:J,7,FALSE)=0/1/1900,"",VLOOKUP(A475,'ECN-ECO_DATA'!B:J,7,FALSE))),"")</f>
        <v/>
      </c>
      <c r="G475" s="9" t="str">
        <f>IFERROR((IF(VLOOKUP(A475,'ECN-ECO_DATA'!B:J,8,FALSE)=0/1/1900,"",VLOOKUP(A475,'ECN-ECO_DATA'!B:J,8,FALSE))),"")</f>
        <v/>
      </c>
      <c r="H475" s="9" t="str">
        <f>IFERROR((IF(VLOOKUP(A475,'ECN-ECO_DATA'!B:J,9,FALSE)=0/1/1900,"",VLOOKUP(A475,'ECN-ECO_DATA'!B:J,9,FALSE))),"")</f>
        <v/>
      </c>
      <c r="I475" s="10" t="str">
        <f>IFERROR((IF(VLOOKUP(A475,'ECN-ECO_DATA'!B:Q,13,FALSE)="","",VLOOKUP(A475,'ECN-ECO_DATA'!B:Q,13,FALSE))),"")</f>
        <v/>
      </c>
      <c r="J475" s="10" t="str">
        <f>IFERROR((IF(VLOOKUP(A475,'ECN-ECO_DATA'!B:Q,14,FALSE)="","",VLOOKUP(A475,'ECN-ECO_DATA'!B:Q,14,FALSE))),"")</f>
        <v/>
      </c>
      <c r="K475" s="10" t="str">
        <f>IFERROR((IF(VLOOKUP(A475,'ECN-ECO_DATA'!B:Q,15,FALSE)="","",VLOOKUP(A475,'ECN-ECO_DATA'!B:Q,15,FALSE))),"")</f>
        <v/>
      </c>
      <c r="L475" s="10" t="str">
        <f>IFERROR((IF(VLOOKUP(A475,'ECN-ECO_DATA'!B:Q,16,FALSE)="","",VLOOKUP(A475,'ECN-ECO_DATA'!B:Q,16,FALSE))),"")</f>
        <v/>
      </c>
      <c r="M475" s="9" t="str">
        <f>IFERROR((IF(VLOOKUP(A475,'ECN-ECO_DATA'!B:V,18,FALSE)=0/1/1900,"",VLOOKUP(A475,'ECN-ECO_DATA'!B:V,18,FALSE))),"")</f>
        <v/>
      </c>
      <c r="N475" s="9" t="str">
        <f>IFERROR((IF(VLOOKUP(A475,'ECN-ECO_DATA'!B:V,19,FALSE)=0/1/1900,"",VLOOKUP(A475,'ECN-ECO_DATA'!B:V,19,FALSE))),"")</f>
        <v/>
      </c>
      <c r="O475" s="9" t="str">
        <f>IFERROR((IF(VLOOKUP(A475,'ECN-ECO_DATA'!B:V,20,FALSE)=0/1/1900,"",VLOOKUP(A475,'ECN-ECO_DATA'!B:V,20,FALSE))),"")</f>
        <v/>
      </c>
      <c r="P475" s="9" t="str">
        <f>IFERROR((IF(VLOOKUP(A475,'ECN-ECO_DATA'!B:V,21,FALSE)=0/1/1900,"",VLOOKUP(A475,'ECN-ECO_DATA'!B:V,21,FALSE))),"")</f>
        <v/>
      </c>
      <c r="Q475" s="10" t="str">
        <f t="shared" ca="1" si="35"/>
        <v/>
      </c>
      <c r="R475" s="4" t="str">
        <f t="shared" si="36"/>
        <v/>
      </c>
      <c r="S475" s="4" t="str">
        <f t="shared" si="37"/>
        <v/>
      </c>
      <c r="T475" s="4" t="str">
        <f t="shared" si="38"/>
        <v/>
      </c>
      <c r="U475" s="10" t="str">
        <f t="shared" si="39"/>
        <v/>
      </c>
      <c r="V475" s="4"/>
    </row>
    <row r="476" spans="2:22" x14ac:dyDescent="0.25">
      <c r="B476" s="4" t="str">
        <f>IFERROR(VLOOKUP(A476,'ECN-ECO_DATA'!B:G,4,FALSE),"")</f>
        <v/>
      </c>
      <c r="C476" s="9" t="str">
        <f>IFERROR(VLOOKUP(A476,'ECN-ECO_DATA'!B:G,5,FALSE),"")</f>
        <v/>
      </c>
      <c r="D476" s="9" t="str">
        <f ca="1">IFERROR((IF(VLOOKUP(A476,'ECN-ECO_DATA'!B:G,6,FALSE)=0/1/1900,TODAY(),VLOOKUP(A476,'ECN-ECO_DATA'!B:G,6,FALSE))),"")</f>
        <v/>
      </c>
      <c r="E476" s="9" t="str">
        <f>IFERROR((IF(VLOOKUP(A476,'ECN-ECO_DATA'!B:G,6,FALSE)=0/1/1900,"",VLOOKUP(A476,'ECN-ECO_DATA'!B:G,6,FALSE))),"")</f>
        <v/>
      </c>
      <c r="F476" s="9" t="str">
        <f>IFERROR((IF(VLOOKUP(A476,'ECN-ECO_DATA'!B:J,7,FALSE)=0/1/1900,"",VLOOKUP(A476,'ECN-ECO_DATA'!B:J,7,FALSE))),"")</f>
        <v/>
      </c>
      <c r="G476" s="9" t="str">
        <f>IFERROR((IF(VLOOKUP(A476,'ECN-ECO_DATA'!B:J,8,FALSE)=0/1/1900,"",VLOOKUP(A476,'ECN-ECO_DATA'!B:J,8,FALSE))),"")</f>
        <v/>
      </c>
      <c r="H476" s="9" t="str">
        <f>IFERROR((IF(VLOOKUP(A476,'ECN-ECO_DATA'!B:J,9,FALSE)=0/1/1900,"",VLOOKUP(A476,'ECN-ECO_DATA'!B:J,9,FALSE))),"")</f>
        <v/>
      </c>
      <c r="I476" s="10" t="str">
        <f>IFERROR((IF(VLOOKUP(A476,'ECN-ECO_DATA'!B:Q,13,FALSE)="","",VLOOKUP(A476,'ECN-ECO_DATA'!B:Q,13,FALSE))),"")</f>
        <v/>
      </c>
      <c r="J476" s="10" t="str">
        <f>IFERROR((IF(VLOOKUP(A476,'ECN-ECO_DATA'!B:Q,14,FALSE)="","",VLOOKUP(A476,'ECN-ECO_DATA'!B:Q,14,FALSE))),"")</f>
        <v/>
      </c>
      <c r="K476" s="10" t="str">
        <f>IFERROR((IF(VLOOKUP(A476,'ECN-ECO_DATA'!B:Q,15,FALSE)="","",VLOOKUP(A476,'ECN-ECO_DATA'!B:Q,15,FALSE))),"")</f>
        <v/>
      </c>
      <c r="L476" s="10" t="str">
        <f>IFERROR((IF(VLOOKUP(A476,'ECN-ECO_DATA'!B:Q,16,FALSE)="","",VLOOKUP(A476,'ECN-ECO_DATA'!B:Q,16,FALSE))),"")</f>
        <v/>
      </c>
      <c r="M476" s="9" t="str">
        <f>IFERROR((IF(VLOOKUP(A476,'ECN-ECO_DATA'!B:V,18,FALSE)=0/1/1900,"",VLOOKUP(A476,'ECN-ECO_DATA'!B:V,18,FALSE))),"")</f>
        <v/>
      </c>
      <c r="N476" s="9" t="str">
        <f>IFERROR((IF(VLOOKUP(A476,'ECN-ECO_DATA'!B:V,19,FALSE)=0/1/1900,"",VLOOKUP(A476,'ECN-ECO_DATA'!B:V,19,FALSE))),"")</f>
        <v/>
      </c>
      <c r="O476" s="9" t="str">
        <f>IFERROR((IF(VLOOKUP(A476,'ECN-ECO_DATA'!B:V,20,FALSE)=0/1/1900,"",VLOOKUP(A476,'ECN-ECO_DATA'!B:V,20,FALSE))),"")</f>
        <v/>
      </c>
      <c r="P476" s="9" t="str">
        <f>IFERROR((IF(VLOOKUP(A476,'ECN-ECO_DATA'!B:V,21,FALSE)=0/1/1900,"",VLOOKUP(A476,'ECN-ECO_DATA'!B:V,21,FALSE))),"")</f>
        <v/>
      </c>
      <c r="Q476" s="10" t="str">
        <f t="shared" ca="1" si="35"/>
        <v/>
      </c>
      <c r="R476" s="4" t="str">
        <f t="shared" si="36"/>
        <v/>
      </c>
      <c r="S476" s="4" t="str">
        <f t="shared" si="37"/>
        <v/>
      </c>
      <c r="T476" s="4" t="str">
        <f t="shared" si="38"/>
        <v/>
      </c>
      <c r="U476" s="10" t="str">
        <f t="shared" si="39"/>
        <v/>
      </c>
      <c r="V476" s="4"/>
    </row>
    <row r="477" spans="2:22" x14ac:dyDescent="0.25">
      <c r="B477" s="4" t="str">
        <f>IFERROR(VLOOKUP(A477,'ECN-ECO_DATA'!B:G,4,FALSE),"")</f>
        <v/>
      </c>
      <c r="C477" s="9" t="str">
        <f>IFERROR(VLOOKUP(A477,'ECN-ECO_DATA'!B:G,5,FALSE),"")</f>
        <v/>
      </c>
      <c r="D477" s="9" t="str">
        <f ca="1">IFERROR((IF(VLOOKUP(A477,'ECN-ECO_DATA'!B:G,6,FALSE)=0/1/1900,TODAY(),VLOOKUP(A477,'ECN-ECO_DATA'!B:G,6,FALSE))),"")</f>
        <v/>
      </c>
      <c r="E477" s="9" t="str">
        <f>IFERROR((IF(VLOOKUP(A477,'ECN-ECO_DATA'!B:G,6,FALSE)=0/1/1900,"",VLOOKUP(A477,'ECN-ECO_DATA'!B:G,6,FALSE))),"")</f>
        <v/>
      </c>
      <c r="F477" s="9" t="str">
        <f>IFERROR((IF(VLOOKUP(A477,'ECN-ECO_DATA'!B:J,7,FALSE)=0/1/1900,"",VLOOKUP(A477,'ECN-ECO_DATA'!B:J,7,FALSE))),"")</f>
        <v/>
      </c>
      <c r="G477" s="9" t="str">
        <f>IFERROR((IF(VLOOKUP(A477,'ECN-ECO_DATA'!B:J,8,FALSE)=0/1/1900,"",VLOOKUP(A477,'ECN-ECO_DATA'!B:J,8,FALSE))),"")</f>
        <v/>
      </c>
      <c r="H477" s="9" t="str">
        <f>IFERROR((IF(VLOOKUP(A477,'ECN-ECO_DATA'!B:J,9,FALSE)=0/1/1900,"",VLOOKUP(A477,'ECN-ECO_DATA'!B:J,9,FALSE))),"")</f>
        <v/>
      </c>
      <c r="I477" s="10" t="str">
        <f>IFERROR((IF(VLOOKUP(A477,'ECN-ECO_DATA'!B:Q,13,FALSE)="","",VLOOKUP(A477,'ECN-ECO_DATA'!B:Q,13,FALSE))),"")</f>
        <v/>
      </c>
      <c r="J477" s="10" t="str">
        <f>IFERROR((IF(VLOOKUP(A477,'ECN-ECO_DATA'!B:Q,14,FALSE)="","",VLOOKUP(A477,'ECN-ECO_DATA'!B:Q,14,FALSE))),"")</f>
        <v/>
      </c>
      <c r="K477" s="10" t="str">
        <f>IFERROR((IF(VLOOKUP(A477,'ECN-ECO_DATA'!B:Q,15,FALSE)="","",VLOOKUP(A477,'ECN-ECO_DATA'!B:Q,15,FALSE))),"")</f>
        <v/>
      </c>
      <c r="L477" s="10" t="str">
        <f>IFERROR((IF(VLOOKUP(A477,'ECN-ECO_DATA'!B:Q,16,FALSE)="","",VLOOKUP(A477,'ECN-ECO_DATA'!B:Q,16,FALSE))),"")</f>
        <v/>
      </c>
      <c r="M477" s="9" t="str">
        <f>IFERROR((IF(VLOOKUP(A477,'ECN-ECO_DATA'!B:V,18,FALSE)=0/1/1900,"",VLOOKUP(A477,'ECN-ECO_DATA'!B:V,18,FALSE))),"")</f>
        <v/>
      </c>
      <c r="N477" s="9" t="str">
        <f>IFERROR((IF(VLOOKUP(A477,'ECN-ECO_DATA'!B:V,19,FALSE)=0/1/1900,"",VLOOKUP(A477,'ECN-ECO_DATA'!B:V,19,FALSE))),"")</f>
        <v/>
      </c>
      <c r="O477" s="9" t="str">
        <f>IFERROR((IF(VLOOKUP(A477,'ECN-ECO_DATA'!B:V,20,FALSE)=0/1/1900,"",VLOOKUP(A477,'ECN-ECO_DATA'!B:V,20,FALSE))),"")</f>
        <v/>
      </c>
      <c r="P477" s="9" t="str">
        <f>IFERROR((IF(VLOOKUP(A477,'ECN-ECO_DATA'!B:V,21,FALSE)=0/1/1900,"",VLOOKUP(A477,'ECN-ECO_DATA'!B:V,21,FALSE))),"")</f>
        <v/>
      </c>
      <c r="Q477" s="10" t="str">
        <f t="shared" ca="1" si="35"/>
        <v/>
      </c>
      <c r="R477" s="4" t="str">
        <f t="shared" si="36"/>
        <v/>
      </c>
      <c r="S477" s="4" t="str">
        <f t="shared" si="37"/>
        <v/>
      </c>
      <c r="T477" s="4" t="str">
        <f t="shared" si="38"/>
        <v/>
      </c>
      <c r="U477" s="10" t="str">
        <f t="shared" si="39"/>
        <v/>
      </c>
      <c r="V477" s="4"/>
    </row>
    <row r="478" spans="2:22" x14ac:dyDescent="0.25">
      <c r="B478" s="4" t="str">
        <f>IFERROR(VLOOKUP(A478,'ECN-ECO_DATA'!B:G,4,FALSE),"")</f>
        <v/>
      </c>
      <c r="C478" s="9" t="str">
        <f>IFERROR(VLOOKUP(A478,'ECN-ECO_DATA'!B:G,5,FALSE),"")</f>
        <v/>
      </c>
      <c r="D478" s="9" t="str">
        <f ca="1">IFERROR((IF(VLOOKUP(A478,'ECN-ECO_DATA'!B:G,6,FALSE)=0/1/1900,TODAY(),VLOOKUP(A478,'ECN-ECO_DATA'!B:G,6,FALSE))),"")</f>
        <v/>
      </c>
      <c r="E478" s="9" t="str">
        <f>IFERROR((IF(VLOOKUP(A478,'ECN-ECO_DATA'!B:G,6,FALSE)=0/1/1900,"",VLOOKUP(A478,'ECN-ECO_DATA'!B:G,6,FALSE))),"")</f>
        <v/>
      </c>
      <c r="F478" s="9" t="str">
        <f>IFERROR((IF(VLOOKUP(A478,'ECN-ECO_DATA'!B:J,7,FALSE)=0/1/1900,"",VLOOKUP(A478,'ECN-ECO_DATA'!B:J,7,FALSE))),"")</f>
        <v/>
      </c>
      <c r="G478" s="9" t="str">
        <f>IFERROR((IF(VLOOKUP(A478,'ECN-ECO_DATA'!B:J,8,FALSE)=0/1/1900,"",VLOOKUP(A478,'ECN-ECO_DATA'!B:J,8,FALSE))),"")</f>
        <v/>
      </c>
      <c r="H478" s="9" t="str">
        <f>IFERROR((IF(VLOOKUP(A478,'ECN-ECO_DATA'!B:J,9,FALSE)=0/1/1900,"",VLOOKUP(A478,'ECN-ECO_DATA'!B:J,9,FALSE))),"")</f>
        <v/>
      </c>
      <c r="I478" s="10" t="str">
        <f>IFERROR((IF(VLOOKUP(A478,'ECN-ECO_DATA'!B:Q,13,FALSE)="","",VLOOKUP(A478,'ECN-ECO_DATA'!B:Q,13,FALSE))),"")</f>
        <v/>
      </c>
      <c r="J478" s="10" t="str">
        <f>IFERROR((IF(VLOOKUP(A478,'ECN-ECO_DATA'!B:Q,14,FALSE)="","",VLOOKUP(A478,'ECN-ECO_DATA'!B:Q,14,FALSE))),"")</f>
        <v/>
      </c>
      <c r="K478" s="10" t="str">
        <f>IFERROR((IF(VLOOKUP(A478,'ECN-ECO_DATA'!B:Q,15,FALSE)="","",VLOOKUP(A478,'ECN-ECO_DATA'!B:Q,15,FALSE))),"")</f>
        <v/>
      </c>
      <c r="L478" s="10" t="str">
        <f>IFERROR((IF(VLOOKUP(A478,'ECN-ECO_DATA'!B:Q,16,FALSE)="","",VLOOKUP(A478,'ECN-ECO_DATA'!B:Q,16,FALSE))),"")</f>
        <v/>
      </c>
      <c r="M478" s="9" t="str">
        <f>IFERROR((IF(VLOOKUP(A478,'ECN-ECO_DATA'!B:V,18,FALSE)=0/1/1900,"",VLOOKUP(A478,'ECN-ECO_DATA'!B:V,18,FALSE))),"")</f>
        <v/>
      </c>
      <c r="N478" s="9" t="str">
        <f>IFERROR((IF(VLOOKUP(A478,'ECN-ECO_DATA'!B:V,19,FALSE)=0/1/1900,"",VLOOKUP(A478,'ECN-ECO_DATA'!B:V,19,FALSE))),"")</f>
        <v/>
      </c>
      <c r="O478" s="9" t="str">
        <f>IFERROR((IF(VLOOKUP(A478,'ECN-ECO_DATA'!B:V,20,FALSE)=0/1/1900,"",VLOOKUP(A478,'ECN-ECO_DATA'!B:V,20,FALSE))),"")</f>
        <v/>
      </c>
      <c r="P478" s="9" t="str">
        <f>IFERROR((IF(VLOOKUP(A478,'ECN-ECO_DATA'!B:V,21,FALSE)=0/1/1900,"",VLOOKUP(A478,'ECN-ECO_DATA'!B:V,21,FALSE))),"")</f>
        <v/>
      </c>
      <c r="Q478" s="10" t="str">
        <f t="shared" ca="1" si="35"/>
        <v/>
      </c>
      <c r="R478" s="4" t="str">
        <f t="shared" si="36"/>
        <v/>
      </c>
      <c r="S478" s="4" t="str">
        <f t="shared" si="37"/>
        <v/>
      </c>
      <c r="T478" s="4" t="str">
        <f t="shared" si="38"/>
        <v/>
      </c>
      <c r="U478" s="10" t="str">
        <f t="shared" si="39"/>
        <v/>
      </c>
      <c r="V478" s="4"/>
    </row>
    <row r="479" spans="2:22" x14ac:dyDescent="0.25">
      <c r="B479" s="4" t="str">
        <f>IFERROR(VLOOKUP(A479,'ECN-ECO_DATA'!B:G,4,FALSE),"")</f>
        <v/>
      </c>
      <c r="C479" s="9" t="str">
        <f>IFERROR(VLOOKUP(A479,'ECN-ECO_DATA'!B:G,5,FALSE),"")</f>
        <v/>
      </c>
      <c r="D479" s="9" t="str">
        <f ca="1">IFERROR((IF(VLOOKUP(A479,'ECN-ECO_DATA'!B:G,6,FALSE)=0/1/1900,TODAY(),VLOOKUP(A479,'ECN-ECO_DATA'!B:G,6,FALSE))),"")</f>
        <v/>
      </c>
      <c r="E479" s="9" t="str">
        <f>IFERROR((IF(VLOOKUP(A479,'ECN-ECO_DATA'!B:G,6,FALSE)=0/1/1900,"",VLOOKUP(A479,'ECN-ECO_DATA'!B:G,6,FALSE))),"")</f>
        <v/>
      </c>
      <c r="F479" s="9" t="str">
        <f>IFERROR((IF(VLOOKUP(A479,'ECN-ECO_DATA'!B:J,7,FALSE)=0/1/1900,"",VLOOKUP(A479,'ECN-ECO_DATA'!B:J,7,FALSE))),"")</f>
        <v/>
      </c>
      <c r="G479" s="9" t="str">
        <f>IFERROR((IF(VLOOKUP(A479,'ECN-ECO_DATA'!B:J,8,FALSE)=0/1/1900,"",VLOOKUP(A479,'ECN-ECO_DATA'!B:J,8,FALSE))),"")</f>
        <v/>
      </c>
      <c r="H479" s="9" t="str">
        <f>IFERROR((IF(VLOOKUP(A479,'ECN-ECO_DATA'!B:J,9,FALSE)=0/1/1900,"",VLOOKUP(A479,'ECN-ECO_DATA'!B:J,9,FALSE))),"")</f>
        <v/>
      </c>
      <c r="I479" s="10" t="str">
        <f>IFERROR((IF(VLOOKUP(A479,'ECN-ECO_DATA'!B:Q,13,FALSE)="","",VLOOKUP(A479,'ECN-ECO_DATA'!B:Q,13,FALSE))),"")</f>
        <v/>
      </c>
      <c r="J479" s="10" t="str">
        <f>IFERROR((IF(VLOOKUP(A479,'ECN-ECO_DATA'!B:Q,14,FALSE)="","",VLOOKUP(A479,'ECN-ECO_DATA'!B:Q,14,FALSE))),"")</f>
        <v/>
      </c>
      <c r="K479" s="10" t="str">
        <f>IFERROR((IF(VLOOKUP(A479,'ECN-ECO_DATA'!B:Q,15,FALSE)="","",VLOOKUP(A479,'ECN-ECO_DATA'!B:Q,15,FALSE))),"")</f>
        <v/>
      </c>
      <c r="L479" s="10" t="str">
        <f>IFERROR((IF(VLOOKUP(A479,'ECN-ECO_DATA'!B:Q,16,FALSE)="","",VLOOKUP(A479,'ECN-ECO_DATA'!B:Q,16,FALSE))),"")</f>
        <v/>
      </c>
      <c r="M479" s="9" t="str">
        <f>IFERROR((IF(VLOOKUP(A479,'ECN-ECO_DATA'!B:V,18,FALSE)=0/1/1900,"",VLOOKUP(A479,'ECN-ECO_DATA'!B:V,18,FALSE))),"")</f>
        <v/>
      </c>
      <c r="N479" s="9" t="str">
        <f>IFERROR((IF(VLOOKUP(A479,'ECN-ECO_DATA'!B:V,19,FALSE)=0/1/1900,"",VLOOKUP(A479,'ECN-ECO_DATA'!B:V,19,FALSE))),"")</f>
        <v/>
      </c>
      <c r="O479" s="9" t="str">
        <f>IFERROR((IF(VLOOKUP(A479,'ECN-ECO_DATA'!B:V,20,FALSE)=0/1/1900,"",VLOOKUP(A479,'ECN-ECO_DATA'!B:V,20,FALSE))),"")</f>
        <v/>
      </c>
      <c r="P479" s="9" t="str">
        <f>IFERROR((IF(VLOOKUP(A479,'ECN-ECO_DATA'!B:V,21,FALSE)=0/1/1900,"",VLOOKUP(A479,'ECN-ECO_DATA'!B:V,21,FALSE))),"")</f>
        <v/>
      </c>
      <c r="Q479" s="10" t="str">
        <f t="shared" ca="1" si="35"/>
        <v/>
      </c>
      <c r="R479" s="4" t="str">
        <f t="shared" si="36"/>
        <v/>
      </c>
      <c r="S479" s="4" t="str">
        <f t="shared" si="37"/>
        <v/>
      </c>
      <c r="T479" s="4" t="str">
        <f t="shared" si="38"/>
        <v/>
      </c>
      <c r="U479" s="10" t="str">
        <f t="shared" si="39"/>
        <v/>
      </c>
      <c r="V479" s="4"/>
    </row>
    <row r="480" spans="2:22" x14ac:dyDescent="0.25">
      <c r="B480" s="4" t="str">
        <f>IFERROR(VLOOKUP(A480,'ECN-ECO_DATA'!B:G,4,FALSE),"")</f>
        <v/>
      </c>
      <c r="C480" s="9" t="str">
        <f>IFERROR(VLOOKUP(A480,'ECN-ECO_DATA'!B:G,5,FALSE),"")</f>
        <v/>
      </c>
      <c r="D480" s="9" t="str">
        <f ca="1">IFERROR((IF(VLOOKUP(A480,'ECN-ECO_DATA'!B:G,6,FALSE)=0/1/1900,TODAY(),VLOOKUP(A480,'ECN-ECO_DATA'!B:G,6,FALSE))),"")</f>
        <v/>
      </c>
      <c r="E480" s="9" t="str">
        <f>IFERROR((IF(VLOOKUP(A480,'ECN-ECO_DATA'!B:G,6,FALSE)=0/1/1900,"",VLOOKUP(A480,'ECN-ECO_DATA'!B:G,6,FALSE))),"")</f>
        <v/>
      </c>
      <c r="F480" s="9" t="str">
        <f>IFERROR((IF(VLOOKUP(A480,'ECN-ECO_DATA'!B:J,7,FALSE)=0/1/1900,"",VLOOKUP(A480,'ECN-ECO_DATA'!B:J,7,FALSE))),"")</f>
        <v/>
      </c>
      <c r="G480" s="9" t="str">
        <f>IFERROR((IF(VLOOKUP(A480,'ECN-ECO_DATA'!B:J,8,FALSE)=0/1/1900,"",VLOOKUP(A480,'ECN-ECO_DATA'!B:J,8,FALSE))),"")</f>
        <v/>
      </c>
      <c r="H480" s="9" t="str">
        <f>IFERROR((IF(VLOOKUP(A480,'ECN-ECO_DATA'!B:J,9,FALSE)=0/1/1900,"",VLOOKUP(A480,'ECN-ECO_DATA'!B:J,9,FALSE))),"")</f>
        <v/>
      </c>
      <c r="I480" s="10" t="str">
        <f>IFERROR((IF(VLOOKUP(A480,'ECN-ECO_DATA'!B:Q,13,FALSE)="","",VLOOKUP(A480,'ECN-ECO_DATA'!B:Q,13,FALSE))),"")</f>
        <v/>
      </c>
      <c r="J480" s="10" t="str">
        <f>IFERROR((IF(VLOOKUP(A480,'ECN-ECO_DATA'!B:Q,14,FALSE)="","",VLOOKUP(A480,'ECN-ECO_DATA'!B:Q,14,FALSE))),"")</f>
        <v/>
      </c>
      <c r="K480" s="10" t="str">
        <f>IFERROR((IF(VLOOKUP(A480,'ECN-ECO_DATA'!B:Q,15,FALSE)="","",VLOOKUP(A480,'ECN-ECO_DATA'!B:Q,15,FALSE))),"")</f>
        <v/>
      </c>
      <c r="L480" s="10" t="str">
        <f>IFERROR((IF(VLOOKUP(A480,'ECN-ECO_DATA'!B:Q,16,FALSE)="","",VLOOKUP(A480,'ECN-ECO_DATA'!B:Q,16,FALSE))),"")</f>
        <v/>
      </c>
      <c r="M480" s="9" t="str">
        <f>IFERROR((IF(VLOOKUP(A480,'ECN-ECO_DATA'!B:V,18,FALSE)=0/1/1900,"",VLOOKUP(A480,'ECN-ECO_DATA'!B:V,18,FALSE))),"")</f>
        <v/>
      </c>
      <c r="N480" s="9" t="str">
        <f>IFERROR((IF(VLOOKUP(A480,'ECN-ECO_DATA'!B:V,19,FALSE)=0/1/1900,"",VLOOKUP(A480,'ECN-ECO_DATA'!B:V,19,FALSE))),"")</f>
        <v/>
      </c>
      <c r="O480" s="9" t="str">
        <f>IFERROR((IF(VLOOKUP(A480,'ECN-ECO_DATA'!B:V,20,FALSE)=0/1/1900,"",VLOOKUP(A480,'ECN-ECO_DATA'!B:V,20,FALSE))),"")</f>
        <v/>
      </c>
      <c r="P480" s="9" t="str">
        <f>IFERROR((IF(VLOOKUP(A480,'ECN-ECO_DATA'!B:V,21,FALSE)=0/1/1900,"",VLOOKUP(A480,'ECN-ECO_DATA'!B:V,21,FALSE))),"")</f>
        <v/>
      </c>
      <c r="Q480" s="10" t="str">
        <f t="shared" ca="1" si="35"/>
        <v/>
      </c>
      <c r="R480" s="4" t="str">
        <f t="shared" si="36"/>
        <v/>
      </c>
      <c r="S480" s="4" t="str">
        <f t="shared" si="37"/>
        <v/>
      </c>
      <c r="T480" s="4" t="str">
        <f t="shared" si="38"/>
        <v/>
      </c>
      <c r="U480" s="10" t="str">
        <f t="shared" si="39"/>
        <v/>
      </c>
      <c r="V480" s="4"/>
    </row>
    <row r="481" spans="2:22" x14ac:dyDescent="0.25">
      <c r="B481" s="4" t="str">
        <f>IFERROR(VLOOKUP(A481,'ECN-ECO_DATA'!B:G,4,FALSE),"")</f>
        <v/>
      </c>
      <c r="C481" s="9" t="str">
        <f>IFERROR(VLOOKUP(A481,'ECN-ECO_DATA'!B:G,5,FALSE),"")</f>
        <v/>
      </c>
      <c r="D481" s="9" t="str">
        <f ca="1">IFERROR((IF(VLOOKUP(A481,'ECN-ECO_DATA'!B:G,6,FALSE)=0/1/1900,TODAY(),VLOOKUP(A481,'ECN-ECO_DATA'!B:G,6,FALSE))),"")</f>
        <v/>
      </c>
      <c r="E481" s="9" t="str">
        <f>IFERROR((IF(VLOOKUP(A481,'ECN-ECO_DATA'!B:G,6,FALSE)=0/1/1900,"",VLOOKUP(A481,'ECN-ECO_DATA'!B:G,6,FALSE))),"")</f>
        <v/>
      </c>
      <c r="F481" s="9" t="str">
        <f>IFERROR((IF(VLOOKUP(A481,'ECN-ECO_DATA'!B:J,7,FALSE)=0/1/1900,"",VLOOKUP(A481,'ECN-ECO_DATA'!B:J,7,FALSE))),"")</f>
        <v/>
      </c>
      <c r="G481" s="9" t="str">
        <f>IFERROR((IF(VLOOKUP(A481,'ECN-ECO_DATA'!B:J,8,FALSE)=0/1/1900,"",VLOOKUP(A481,'ECN-ECO_DATA'!B:J,8,FALSE))),"")</f>
        <v/>
      </c>
      <c r="H481" s="9" t="str">
        <f>IFERROR((IF(VLOOKUP(A481,'ECN-ECO_DATA'!B:J,9,FALSE)=0/1/1900,"",VLOOKUP(A481,'ECN-ECO_DATA'!B:J,9,FALSE))),"")</f>
        <v/>
      </c>
      <c r="I481" s="10" t="str">
        <f>IFERROR((IF(VLOOKUP(A481,'ECN-ECO_DATA'!B:Q,13,FALSE)="","",VLOOKUP(A481,'ECN-ECO_DATA'!B:Q,13,FALSE))),"")</f>
        <v/>
      </c>
      <c r="J481" s="10" t="str">
        <f>IFERROR((IF(VLOOKUP(A481,'ECN-ECO_DATA'!B:Q,14,FALSE)="","",VLOOKUP(A481,'ECN-ECO_DATA'!B:Q,14,FALSE))),"")</f>
        <v/>
      </c>
      <c r="K481" s="10" t="str">
        <f>IFERROR((IF(VLOOKUP(A481,'ECN-ECO_DATA'!B:Q,15,FALSE)="","",VLOOKUP(A481,'ECN-ECO_DATA'!B:Q,15,FALSE))),"")</f>
        <v/>
      </c>
      <c r="L481" s="10" t="str">
        <f>IFERROR((IF(VLOOKUP(A481,'ECN-ECO_DATA'!B:Q,16,FALSE)="","",VLOOKUP(A481,'ECN-ECO_DATA'!B:Q,16,FALSE))),"")</f>
        <v/>
      </c>
      <c r="M481" s="9" t="str">
        <f>IFERROR((IF(VLOOKUP(A481,'ECN-ECO_DATA'!B:V,18,FALSE)=0/1/1900,"",VLOOKUP(A481,'ECN-ECO_DATA'!B:V,18,FALSE))),"")</f>
        <v/>
      </c>
      <c r="N481" s="9" t="str">
        <f>IFERROR((IF(VLOOKUP(A481,'ECN-ECO_DATA'!B:V,19,FALSE)=0/1/1900,"",VLOOKUP(A481,'ECN-ECO_DATA'!B:V,19,FALSE))),"")</f>
        <v/>
      </c>
      <c r="O481" s="9" t="str">
        <f>IFERROR((IF(VLOOKUP(A481,'ECN-ECO_DATA'!B:V,20,FALSE)=0/1/1900,"",VLOOKUP(A481,'ECN-ECO_DATA'!B:V,20,FALSE))),"")</f>
        <v/>
      </c>
      <c r="P481" s="9" t="str">
        <f>IFERROR((IF(VLOOKUP(A481,'ECN-ECO_DATA'!B:V,21,FALSE)=0/1/1900,"",VLOOKUP(A481,'ECN-ECO_DATA'!B:V,21,FALSE))),"")</f>
        <v/>
      </c>
      <c r="Q481" s="10" t="str">
        <f t="shared" ca="1" si="35"/>
        <v/>
      </c>
      <c r="R481" s="4" t="str">
        <f t="shared" si="36"/>
        <v/>
      </c>
      <c r="S481" s="4" t="str">
        <f t="shared" si="37"/>
        <v/>
      </c>
      <c r="T481" s="4" t="str">
        <f t="shared" si="38"/>
        <v/>
      </c>
      <c r="U481" s="10" t="str">
        <f t="shared" si="39"/>
        <v/>
      </c>
      <c r="V481" s="4"/>
    </row>
    <row r="482" spans="2:22" x14ac:dyDescent="0.25">
      <c r="B482" s="4" t="str">
        <f>IFERROR(VLOOKUP(A482,'ECN-ECO_DATA'!B:G,4,FALSE),"")</f>
        <v/>
      </c>
      <c r="C482" s="9" t="str">
        <f>IFERROR(VLOOKUP(A482,'ECN-ECO_DATA'!B:G,5,FALSE),"")</f>
        <v/>
      </c>
      <c r="D482" s="9" t="str">
        <f ca="1">IFERROR((IF(VLOOKUP(A482,'ECN-ECO_DATA'!B:G,6,FALSE)=0/1/1900,TODAY(),VLOOKUP(A482,'ECN-ECO_DATA'!B:G,6,FALSE))),"")</f>
        <v/>
      </c>
      <c r="E482" s="9" t="str">
        <f>IFERROR((IF(VLOOKUP(A482,'ECN-ECO_DATA'!B:G,6,FALSE)=0/1/1900,"",VLOOKUP(A482,'ECN-ECO_DATA'!B:G,6,FALSE))),"")</f>
        <v/>
      </c>
      <c r="F482" s="9" t="str">
        <f>IFERROR((IF(VLOOKUP(A482,'ECN-ECO_DATA'!B:J,7,FALSE)=0/1/1900,"",VLOOKUP(A482,'ECN-ECO_DATA'!B:J,7,FALSE))),"")</f>
        <v/>
      </c>
      <c r="G482" s="9" t="str">
        <f>IFERROR((IF(VLOOKUP(A482,'ECN-ECO_DATA'!B:J,8,FALSE)=0/1/1900,"",VLOOKUP(A482,'ECN-ECO_DATA'!B:J,8,FALSE))),"")</f>
        <v/>
      </c>
      <c r="H482" s="9" t="str">
        <f>IFERROR((IF(VLOOKUP(A482,'ECN-ECO_DATA'!B:J,9,FALSE)=0/1/1900,"",VLOOKUP(A482,'ECN-ECO_DATA'!B:J,9,FALSE))),"")</f>
        <v/>
      </c>
      <c r="I482" s="10" t="str">
        <f>IFERROR((IF(VLOOKUP(A482,'ECN-ECO_DATA'!B:Q,13,FALSE)="","",VLOOKUP(A482,'ECN-ECO_DATA'!B:Q,13,FALSE))),"")</f>
        <v/>
      </c>
      <c r="J482" s="10" t="str">
        <f>IFERROR((IF(VLOOKUP(A482,'ECN-ECO_DATA'!B:Q,14,FALSE)="","",VLOOKUP(A482,'ECN-ECO_DATA'!B:Q,14,FALSE))),"")</f>
        <v/>
      </c>
      <c r="K482" s="10" t="str">
        <f>IFERROR((IF(VLOOKUP(A482,'ECN-ECO_DATA'!B:Q,15,FALSE)="","",VLOOKUP(A482,'ECN-ECO_DATA'!B:Q,15,FALSE))),"")</f>
        <v/>
      </c>
      <c r="L482" s="10" t="str">
        <f>IFERROR((IF(VLOOKUP(A482,'ECN-ECO_DATA'!B:Q,16,FALSE)="","",VLOOKUP(A482,'ECN-ECO_DATA'!B:Q,16,FALSE))),"")</f>
        <v/>
      </c>
      <c r="M482" s="9" t="str">
        <f>IFERROR((IF(VLOOKUP(A482,'ECN-ECO_DATA'!B:V,18,FALSE)=0/1/1900,"",VLOOKUP(A482,'ECN-ECO_DATA'!B:V,18,FALSE))),"")</f>
        <v/>
      </c>
      <c r="N482" s="9" t="str">
        <f>IFERROR((IF(VLOOKUP(A482,'ECN-ECO_DATA'!B:V,19,FALSE)=0/1/1900,"",VLOOKUP(A482,'ECN-ECO_DATA'!B:V,19,FALSE))),"")</f>
        <v/>
      </c>
      <c r="O482" s="9" t="str">
        <f>IFERROR((IF(VLOOKUP(A482,'ECN-ECO_DATA'!B:V,20,FALSE)=0/1/1900,"",VLOOKUP(A482,'ECN-ECO_DATA'!B:V,20,FALSE))),"")</f>
        <v/>
      </c>
      <c r="P482" s="9" t="str">
        <f>IFERROR((IF(VLOOKUP(A482,'ECN-ECO_DATA'!B:V,21,FALSE)=0/1/1900,"",VLOOKUP(A482,'ECN-ECO_DATA'!B:V,21,FALSE))),"")</f>
        <v/>
      </c>
      <c r="Q482" s="10" t="str">
        <f t="shared" ca="1" si="35"/>
        <v/>
      </c>
      <c r="R482" s="4" t="str">
        <f t="shared" si="36"/>
        <v/>
      </c>
      <c r="S482" s="4" t="str">
        <f t="shared" si="37"/>
        <v/>
      </c>
      <c r="T482" s="4" t="str">
        <f t="shared" si="38"/>
        <v/>
      </c>
      <c r="U482" s="10" t="str">
        <f t="shared" si="39"/>
        <v/>
      </c>
      <c r="V482" s="4"/>
    </row>
    <row r="483" spans="2:22" x14ac:dyDescent="0.25">
      <c r="B483" s="4" t="str">
        <f>IFERROR(VLOOKUP(A483,'ECN-ECO_DATA'!B:G,4,FALSE),"")</f>
        <v/>
      </c>
      <c r="C483" s="9" t="str">
        <f>IFERROR(VLOOKUP(A483,'ECN-ECO_DATA'!B:G,5,FALSE),"")</f>
        <v/>
      </c>
      <c r="D483" s="9" t="str">
        <f ca="1">IFERROR((IF(VLOOKUP(A483,'ECN-ECO_DATA'!B:G,6,FALSE)=0/1/1900,TODAY(),VLOOKUP(A483,'ECN-ECO_DATA'!B:G,6,FALSE))),"")</f>
        <v/>
      </c>
      <c r="E483" s="9" t="str">
        <f>IFERROR((IF(VLOOKUP(A483,'ECN-ECO_DATA'!B:G,6,FALSE)=0/1/1900,"",VLOOKUP(A483,'ECN-ECO_DATA'!B:G,6,FALSE))),"")</f>
        <v/>
      </c>
      <c r="F483" s="9" t="str">
        <f>IFERROR((IF(VLOOKUP(A483,'ECN-ECO_DATA'!B:J,7,FALSE)=0/1/1900,"",VLOOKUP(A483,'ECN-ECO_DATA'!B:J,7,FALSE))),"")</f>
        <v/>
      </c>
      <c r="G483" s="9" t="str">
        <f>IFERROR((IF(VLOOKUP(A483,'ECN-ECO_DATA'!B:J,8,FALSE)=0/1/1900,"",VLOOKUP(A483,'ECN-ECO_DATA'!B:J,8,FALSE))),"")</f>
        <v/>
      </c>
      <c r="H483" s="9" t="str">
        <f>IFERROR((IF(VLOOKUP(A483,'ECN-ECO_DATA'!B:J,9,FALSE)=0/1/1900,"",VLOOKUP(A483,'ECN-ECO_DATA'!B:J,9,FALSE))),"")</f>
        <v/>
      </c>
      <c r="I483" s="10" t="str">
        <f>IFERROR((IF(VLOOKUP(A483,'ECN-ECO_DATA'!B:Q,13,FALSE)="","",VLOOKUP(A483,'ECN-ECO_DATA'!B:Q,13,FALSE))),"")</f>
        <v/>
      </c>
      <c r="J483" s="10" t="str">
        <f>IFERROR((IF(VLOOKUP(A483,'ECN-ECO_DATA'!B:Q,14,FALSE)="","",VLOOKUP(A483,'ECN-ECO_DATA'!B:Q,14,FALSE))),"")</f>
        <v/>
      </c>
      <c r="K483" s="10" t="str">
        <f>IFERROR((IF(VLOOKUP(A483,'ECN-ECO_DATA'!B:Q,15,FALSE)="","",VLOOKUP(A483,'ECN-ECO_DATA'!B:Q,15,FALSE))),"")</f>
        <v/>
      </c>
      <c r="L483" s="10" t="str">
        <f>IFERROR((IF(VLOOKUP(A483,'ECN-ECO_DATA'!B:Q,16,FALSE)="","",VLOOKUP(A483,'ECN-ECO_DATA'!B:Q,16,FALSE))),"")</f>
        <v/>
      </c>
      <c r="M483" s="9" t="str">
        <f>IFERROR((IF(VLOOKUP(A483,'ECN-ECO_DATA'!B:V,18,FALSE)=0/1/1900,"",VLOOKUP(A483,'ECN-ECO_DATA'!B:V,18,FALSE))),"")</f>
        <v/>
      </c>
      <c r="N483" s="9" t="str">
        <f>IFERROR((IF(VLOOKUP(A483,'ECN-ECO_DATA'!B:V,19,FALSE)=0/1/1900,"",VLOOKUP(A483,'ECN-ECO_DATA'!B:V,19,FALSE))),"")</f>
        <v/>
      </c>
      <c r="O483" s="9" t="str">
        <f>IFERROR((IF(VLOOKUP(A483,'ECN-ECO_DATA'!B:V,20,FALSE)=0/1/1900,"",VLOOKUP(A483,'ECN-ECO_DATA'!B:V,20,FALSE))),"")</f>
        <v/>
      </c>
      <c r="P483" s="9" t="str">
        <f>IFERROR((IF(VLOOKUP(A483,'ECN-ECO_DATA'!B:V,21,FALSE)=0/1/1900,"",VLOOKUP(A483,'ECN-ECO_DATA'!B:V,21,FALSE))),"")</f>
        <v/>
      </c>
      <c r="Q483" s="10" t="str">
        <f t="shared" ca="1" si="35"/>
        <v/>
      </c>
      <c r="R483" s="4" t="str">
        <f t="shared" si="36"/>
        <v/>
      </c>
      <c r="S483" s="4" t="str">
        <f t="shared" si="37"/>
        <v/>
      </c>
      <c r="T483" s="4" t="str">
        <f t="shared" si="38"/>
        <v/>
      </c>
      <c r="U483" s="10" t="str">
        <f t="shared" si="39"/>
        <v/>
      </c>
      <c r="V483" s="4"/>
    </row>
    <row r="484" spans="2:22" x14ac:dyDescent="0.25">
      <c r="B484" s="4" t="str">
        <f>IFERROR(VLOOKUP(A484,'ECN-ECO_DATA'!B:G,4,FALSE),"")</f>
        <v/>
      </c>
      <c r="C484" s="9" t="str">
        <f>IFERROR(VLOOKUP(A484,'ECN-ECO_DATA'!B:G,5,FALSE),"")</f>
        <v/>
      </c>
      <c r="D484" s="9" t="str">
        <f ca="1">IFERROR((IF(VLOOKUP(A484,'ECN-ECO_DATA'!B:G,6,FALSE)=0/1/1900,TODAY(),VLOOKUP(A484,'ECN-ECO_DATA'!B:G,6,FALSE))),"")</f>
        <v/>
      </c>
      <c r="E484" s="9" t="str">
        <f>IFERROR((IF(VLOOKUP(A484,'ECN-ECO_DATA'!B:G,6,FALSE)=0/1/1900,"",VLOOKUP(A484,'ECN-ECO_DATA'!B:G,6,FALSE))),"")</f>
        <v/>
      </c>
      <c r="F484" s="9" t="str">
        <f>IFERROR((IF(VLOOKUP(A484,'ECN-ECO_DATA'!B:J,7,FALSE)=0/1/1900,"",VLOOKUP(A484,'ECN-ECO_DATA'!B:J,7,FALSE))),"")</f>
        <v/>
      </c>
      <c r="G484" s="9" t="str">
        <f>IFERROR((IF(VLOOKUP(A484,'ECN-ECO_DATA'!B:J,8,FALSE)=0/1/1900,"",VLOOKUP(A484,'ECN-ECO_DATA'!B:J,8,FALSE))),"")</f>
        <v/>
      </c>
      <c r="H484" s="9" t="str">
        <f>IFERROR((IF(VLOOKUP(A484,'ECN-ECO_DATA'!B:J,9,FALSE)=0/1/1900,"",VLOOKUP(A484,'ECN-ECO_DATA'!B:J,9,FALSE))),"")</f>
        <v/>
      </c>
      <c r="I484" s="10" t="str">
        <f>IFERROR((IF(VLOOKUP(A484,'ECN-ECO_DATA'!B:Q,13,FALSE)="","",VLOOKUP(A484,'ECN-ECO_DATA'!B:Q,13,FALSE))),"")</f>
        <v/>
      </c>
      <c r="J484" s="10" t="str">
        <f>IFERROR((IF(VLOOKUP(A484,'ECN-ECO_DATA'!B:Q,14,FALSE)="","",VLOOKUP(A484,'ECN-ECO_DATA'!B:Q,14,FALSE))),"")</f>
        <v/>
      </c>
      <c r="K484" s="10" t="str">
        <f>IFERROR((IF(VLOOKUP(A484,'ECN-ECO_DATA'!B:Q,15,FALSE)="","",VLOOKUP(A484,'ECN-ECO_DATA'!B:Q,15,FALSE))),"")</f>
        <v/>
      </c>
      <c r="L484" s="10" t="str">
        <f>IFERROR((IF(VLOOKUP(A484,'ECN-ECO_DATA'!B:Q,16,FALSE)="","",VLOOKUP(A484,'ECN-ECO_DATA'!B:Q,16,FALSE))),"")</f>
        <v/>
      </c>
      <c r="M484" s="9" t="str">
        <f>IFERROR((IF(VLOOKUP(A484,'ECN-ECO_DATA'!B:V,18,FALSE)=0/1/1900,"",VLOOKUP(A484,'ECN-ECO_DATA'!B:V,18,FALSE))),"")</f>
        <v/>
      </c>
      <c r="N484" s="9" t="str">
        <f>IFERROR((IF(VLOOKUP(A484,'ECN-ECO_DATA'!B:V,19,FALSE)=0/1/1900,"",VLOOKUP(A484,'ECN-ECO_DATA'!B:V,19,FALSE))),"")</f>
        <v/>
      </c>
      <c r="O484" s="9" t="str">
        <f>IFERROR((IF(VLOOKUP(A484,'ECN-ECO_DATA'!B:V,20,FALSE)=0/1/1900,"",VLOOKUP(A484,'ECN-ECO_DATA'!B:V,20,FALSE))),"")</f>
        <v/>
      </c>
      <c r="P484" s="9" t="str">
        <f>IFERROR((IF(VLOOKUP(A484,'ECN-ECO_DATA'!B:V,21,FALSE)=0/1/1900,"",VLOOKUP(A484,'ECN-ECO_DATA'!B:V,21,FALSE))),"")</f>
        <v/>
      </c>
      <c r="Q484" s="10" t="str">
        <f t="shared" ca="1" si="35"/>
        <v/>
      </c>
      <c r="R484" s="4" t="str">
        <f t="shared" si="36"/>
        <v/>
      </c>
      <c r="S484" s="4" t="str">
        <f t="shared" si="37"/>
        <v/>
      </c>
      <c r="T484" s="4" t="str">
        <f t="shared" si="38"/>
        <v/>
      </c>
      <c r="U484" s="10" t="str">
        <f t="shared" si="39"/>
        <v/>
      </c>
      <c r="V484" s="4"/>
    </row>
    <row r="485" spans="2:22" x14ac:dyDescent="0.25">
      <c r="B485" s="4" t="str">
        <f>IFERROR(VLOOKUP(A485,'ECN-ECO_DATA'!B:G,4,FALSE),"")</f>
        <v/>
      </c>
      <c r="C485" s="9" t="str">
        <f>IFERROR(VLOOKUP(A485,'ECN-ECO_DATA'!B:G,5,FALSE),"")</f>
        <v/>
      </c>
      <c r="D485" s="9" t="str">
        <f ca="1">IFERROR((IF(VLOOKUP(A485,'ECN-ECO_DATA'!B:G,6,FALSE)=0/1/1900,TODAY(),VLOOKUP(A485,'ECN-ECO_DATA'!B:G,6,FALSE))),"")</f>
        <v/>
      </c>
      <c r="E485" s="9" t="str">
        <f>IFERROR((IF(VLOOKUP(A485,'ECN-ECO_DATA'!B:G,6,FALSE)=0/1/1900,"",VLOOKUP(A485,'ECN-ECO_DATA'!B:G,6,FALSE))),"")</f>
        <v/>
      </c>
      <c r="F485" s="9" t="str">
        <f>IFERROR((IF(VLOOKUP(A485,'ECN-ECO_DATA'!B:J,7,FALSE)=0/1/1900,"",VLOOKUP(A485,'ECN-ECO_DATA'!B:J,7,FALSE))),"")</f>
        <v/>
      </c>
      <c r="G485" s="9" t="str">
        <f>IFERROR((IF(VLOOKUP(A485,'ECN-ECO_DATA'!B:J,8,FALSE)=0/1/1900,"",VLOOKUP(A485,'ECN-ECO_DATA'!B:J,8,FALSE))),"")</f>
        <v/>
      </c>
      <c r="H485" s="9" t="str">
        <f>IFERROR((IF(VLOOKUP(A485,'ECN-ECO_DATA'!B:J,9,FALSE)=0/1/1900,"",VLOOKUP(A485,'ECN-ECO_DATA'!B:J,9,FALSE))),"")</f>
        <v/>
      </c>
      <c r="I485" s="10" t="str">
        <f>IFERROR((IF(VLOOKUP(A485,'ECN-ECO_DATA'!B:Q,13,FALSE)="","",VLOOKUP(A485,'ECN-ECO_DATA'!B:Q,13,FALSE))),"")</f>
        <v/>
      </c>
      <c r="J485" s="10" t="str">
        <f>IFERROR((IF(VLOOKUP(A485,'ECN-ECO_DATA'!B:Q,14,FALSE)="","",VLOOKUP(A485,'ECN-ECO_DATA'!B:Q,14,FALSE))),"")</f>
        <v/>
      </c>
      <c r="K485" s="10" t="str">
        <f>IFERROR((IF(VLOOKUP(A485,'ECN-ECO_DATA'!B:Q,15,FALSE)="","",VLOOKUP(A485,'ECN-ECO_DATA'!B:Q,15,FALSE))),"")</f>
        <v/>
      </c>
      <c r="L485" s="10" t="str">
        <f>IFERROR((IF(VLOOKUP(A485,'ECN-ECO_DATA'!B:Q,16,FALSE)="","",VLOOKUP(A485,'ECN-ECO_DATA'!B:Q,16,FALSE))),"")</f>
        <v/>
      </c>
      <c r="M485" s="9" t="str">
        <f>IFERROR((IF(VLOOKUP(A485,'ECN-ECO_DATA'!B:V,18,FALSE)=0/1/1900,"",VLOOKUP(A485,'ECN-ECO_DATA'!B:V,18,FALSE))),"")</f>
        <v/>
      </c>
      <c r="N485" s="9" t="str">
        <f>IFERROR((IF(VLOOKUP(A485,'ECN-ECO_DATA'!B:V,19,FALSE)=0/1/1900,"",VLOOKUP(A485,'ECN-ECO_DATA'!B:V,19,FALSE))),"")</f>
        <v/>
      </c>
      <c r="O485" s="9" t="str">
        <f>IFERROR((IF(VLOOKUP(A485,'ECN-ECO_DATA'!B:V,20,FALSE)=0/1/1900,"",VLOOKUP(A485,'ECN-ECO_DATA'!B:V,20,FALSE))),"")</f>
        <v/>
      </c>
      <c r="P485" s="9" t="str">
        <f>IFERROR((IF(VLOOKUP(A485,'ECN-ECO_DATA'!B:V,21,FALSE)=0/1/1900,"",VLOOKUP(A485,'ECN-ECO_DATA'!B:V,21,FALSE))),"")</f>
        <v/>
      </c>
      <c r="Q485" s="10" t="str">
        <f t="shared" ca="1" si="35"/>
        <v/>
      </c>
      <c r="R485" s="4" t="str">
        <f t="shared" si="36"/>
        <v/>
      </c>
      <c r="S485" s="4" t="str">
        <f t="shared" si="37"/>
        <v/>
      </c>
      <c r="T485" s="4" t="str">
        <f t="shared" si="38"/>
        <v/>
      </c>
      <c r="U485" s="10" t="str">
        <f t="shared" si="39"/>
        <v/>
      </c>
      <c r="V485" s="4"/>
    </row>
    <row r="486" spans="2:22" x14ac:dyDescent="0.25">
      <c r="B486" s="4" t="str">
        <f>IFERROR(VLOOKUP(A486,'ECN-ECO_DATA'!B:G,4,FALSE),"")</f>
        <v/>
      </c>
      <c r="C486" s="9" t="str">
        <f>IFERROR(VLOOKUP(A486,'ECN-ECO_DATA'!B:G,5,FALSE),"")</f>
        <v/>
      </c>
      <c r="D486" s="9" t="str">
        <f ca="1">IFERROR((IF(VLOOKUP(A486,'ECN-ECO_DATA'!B:G,6,FALSE)=0/1/1900,TODAY(),VLOOKUP(A486,'ECN-ECO_DATA'!B:G,6,FALSE))),"")</f>
        <v/>
      </c>
      <c r="E486" s="9" t="str">
        <f>IFERROR((IF(VLOOKUP(A486,'ECN-ECO_DATA'!B:G,6,FALSE)=0/1/1900,"",VLOOKUP(A486,'ECN-ECO_DATA'!B:G,6,FALSE))),"")</f>
        <v/>
      </c>
      <c r="F486" s="9" t="str">
        <f>IFERROR((IF(VLOOKUP(A486,'ECN-ECO_DATA'!B:J,7,FALSE)=0/1/1900,"",VLOOKUP(A486,'ECN-ECO_DATA'!B:J,7,FALSE))),"")</f>
        <v/>
      </c>
      <c r="G486" s="9" t="str">
        <f>IFERROR((IF(VLOOKUP(A486,'ECN-ECO_DATA'!B:J,8,FALSE)=0/1/1900,"",VLOOKUP(A486,'ECN-ECO_DATA'!B:J,8,FALSE))),"")</f>
        <v/>
      </c>
      <c r="H486" s="9" t="str">
        <f>IFERROR((IF(VLOOKUP(A486,'ECN-ECO_DATA'!B:J,9,FALSE)=0/1/1900,"",VLOOKUP(A486,'ECN-ECO_DATA'!B:J,9,FALSE))),"")</f>
        <v/>
      </c>
      <c r="I486" s="10" t="str">
        <f>IFERROR((IF(VLOOKUP(A486,'ECN-ECO_DATA'!B:Q,13,FALSE)="","",VLOOKUP(A486,'ECN-ECO_DATA'!B:Q,13,FALSE))),"")</f>
        <v/>
      </c>
      <c r="J486" s="10" t="str">
        <f>IFERROR((IF(VLOOKUP(A486,'ECN-ECO_DATA'!B:Q,14,FALSE)="","",VLOOKUP(A486,'ECN-ECO_DATA'!B:Q,14,FALSE))),"")</f>
        <v/>
      </c>
      <c r="K486" s="10" t="str">
        <f>IFERROR((IF(VLOOKUP(A486,'ECN-ECO_DATA'!B:Q,15,FALSE)="","",VLOOKUP(A486,'ECN-ECO_DATA'!B:Q,15,FALSE))),"")</f>
        <v/>
      </c>
      <c r="L486" s="10" t="str">
        <f>IFERROR((IF(VLOOKUP(A486,'ECN-ECO_DATA'!B:Q,16,FALSE)="","",VLOOKUP(A486,'ECN-ECO_DATA'!B:Q,16,FALSE))),"")</f>
        <v/>
      </c>
      <c r="M486" s="9" t="str">
        <f>IFERROR((IF(VLOOKUP(A486,'ECN-ECO_DATA'!B:V,18,FALSE)=0/1/1900,"",VLOOKUP(A486,'ECN-ECO_DATA'!B:V,18,FALSE))),"")</f>
        <v/>
      </c>
      <c r="N486" s="9" t="str">
        <f>IFERROR((IF(VLOOKUP(A486,'ECN-ECO_DATA'!B:V,19,FALSE)=0/1/1900,"",VLOOKUP(A486,'ECN-ECO_DATA'!B:V,19,FALSE))),"")</f>
        <v/>
      </c>
      <c r="O486" s="9" t="str">
        <f>IFERROR((IF(VLOOKUP(A486,'ECN-ECO_DATA'!B:V,20,FALSE)=0/1/1900,"",VLOOKUP(A486,'ECN-ECO_DATA'!B:V,20,FALSE))),"")</f>
        <v/>
      </c>
      <c r="P486" s="9" t="str">
        <f>IFERROR((IF(VLOOKUP(A486,'ECN-ECO_DATA'!B:V,21,FALSE)=0/1/1900,"",VLOOKUP(A486,'ECN-ECO_DATA'!B:V,21,FALSE))),"")</f>
        <v/>
      </c>
      <c r="Q486" s="10" t="str">
        <f t="shared" ca="1" si="35"/>
        <v/>
      </c>
      <c r="R486" s="4" t="str">
        <f t="shared" si="36"/>
        <v/>
      </c>
      <c r="S486" s="4" t="str">
        <f t="shared" si="37"/>
        <v/>
      </c>
      <c r="T486" s="4" t="str">
        <f t="shared" si="38"/>
        <v/>
      </c>
      <c r="U486" s="10" t="str">
        <f t="shared" si="39"/>
        <v/>
      </c>
      <c r="V486" s="4"/>
    </row>
    <row r="487" spans="2:22" x14ac:dyDescent="0.25">
      <c r="B487" s="4" t="str">
        <f>IFERROR(VLOOKUP(A487,'ECN-ECO_DATA'!B:G,4,FALSE),"")</f>
        <v/>
      </c>
      <c r="C487" s="9" t="str">
        <f>IFERROR(VLOOKUP(A487,'ECN-ECO_DATA'!B:G,5,FALSE),"")</f>
        <v/>
      </c>
      <c r="D487" s="9" t="str">
        <f ca="1">IFERROR((IF(VLOOKUP(A487,'ECN-ECO_DATA'!B:G,6,FALSE)=0/1/1900,TODAY(),VLOOKUP(A487,'ECN-ECO_DATA'!B:G,6,FALSE))),"")</f>
        <v/>
      </c>
      <c r="E487" s="9" t="str">
        <f>IFERROR((IF(VLOOKUP(A487,'ECN-ECO_DATA'!B:G,6,FALSE)=0/1/1900,"",VLOOKUP(A487,'ECN-ECO_DATA'!B:G,6,FALSE))),"")</f>
        <v/>
      </c>
      <c r="F487" s="9" t="str">
        <f>IFERROR((IF(VLOOKUP(A487,'ECN-ECO_DATA'!B:J,7,FALSE)=0/1/1900,"",VLOOKUP(A487,'ECN-ECO_DATA'!B:J,7,FALSE))),"")</f>
        <v/>
      </c>
      <c r="G487" s="9" t="str">
        <f>IFERROR((IF(VLOOKUP(A487,'ECN-ECO_DATA'!B:J,8,FALSE)=0/1/1900,"",VLOOKUP(A487,'ECN-ECO_DATA'!B:J,8,FALSE))),"")</f>
        <v/>
      </c>
      <c r="H487" s="9" t="str">
        <f>IFERROR((IF(VLOOKUP(A487,'ECN-ECO_DATA'!B:J,9,FALSE)=0/1/1900,"",VLOOKUP(A487,'ECN-ECO_DATA'!B:J,9,FALSE))),"")</f>
        <v/>
      </c>
      <c r="I487" s="10" t="str">
        <f>IFERROR((IF(VLOOKUP(A487,'ECN-ECO_DATA'!B:Q,13,FALSE)="","",VLOOKUP(A487,'ECN-ECO_DATA'!B:Q,13,FALSE))),"")</f>
        <v/>
      </c>
      <c r="J487" s="10" t="str">
        <f>IFERROR((IF(VLOOKUP(A487,'ECN-ECO_DATA'!B:Q,14,FALSE)="","",VLOOKUP(A487,'ECN-ECO_DATA'!B:Q,14,FALSE))),"")</f>
        <v/>
      </c>
      <c r="K487" s="10" t="str">
        <f>IFERROR((IF(VLOOKUP(A487,'ECN-ECO_DATA'!B:Q,15,FALSE)="","",VLOOKUP(A487,'ECN-ECO_DATA'!B:Q,15,FALSE))),"")</f>
        <v/>
      </c>
      <c r="L487" s="10" t="str">
        <f>IFERROR((IF(VLOOKUP(A487,'ECN-ECO_DATA'!B:Q,16,FALSE)="","",VLOOKUP(A487,'ECN-ECO_DATA'!B:Q,16,FALSE))),"")</f>
        <v/>
      </c>
      <c r="M487" s="9" t="str">
        <f>IFERROR((IF(VLOOKUP(A487,'ECN-ECO_DATA'!B:V,18,FALSE)=0/1/1900,"",VLOOKUP(A487,'ECN-ECO_DATA'!B:V,18,FALSE))),"")</f>
        <v/>
      </c>
      <c r="N487" s="9" t="str">
        <f>IFERROR((IF(VLOOKUP(A487,'ECN-ECO_DATA'!B:V,19,FALSE)=0/1/1900,"",VLOOKUP(A487,'ECN-ECO_DATA'!B:V,19,FALSE))),"")</f>
        <v/>
      </c>
      <c r="O487" s="9" t="str">
        <f>IFERROR((IF(VLOOKUP(A487,'ECN-ECO_DATA'!B:V,20,FALSE)=0/1/1900,"",VLOOKUP(A487,'ECN-ECO_DATA'!B:V,20,FALSE))),"")</f>
        <v/>
      </c>
      <c r="P487" s="9" t="str">
        <f>IFERROR((IF(VLOOKUP(A487,'ECN-ECO_DATA'!B:V,21,FALSE)=0/1/1900,"",VLOOKUP(A487,'ECN-ECO_DATA'!B:V,21,FALSE))),"")</f>
        <v/>
      </c>
      <c r="Q487" s="10" t="str">
        <f t="shared" ca="1" si="35"/>
        <v/>
      </c>
      <c r="R487" s="4" t="str">
        <f t="shared" si="36"/>
        <v/>
      </c>
      <c r="S487" s="4" t="str">
        <f t="shared" si="37"/>
        <v/>
      </c>
      <c r="T487" s="4" t="str">
        <f t="shared" si="38"/>
        <v/>
      </c>
      <c r="U487" s="10" t="str">
        <f t="shared" si="39"/>
        <v/>
      </c>
      <c r="V487" s="4"/>
    </row>
    <row r="488" spans="2:22" x14ac:dyDescent="0.25">
      <c r="B488" s="4" t="str">
        <f>IFERROR(VLOOKUP(A488,'ECN-ECO_DATA'!B:G,4,FALSE),"")</f>
        <v/>
      </c>
      <c r="C488" s="9" t="str">
        <f>IFERROR(VLOOKUP(A488,'ECN-ECO_DATA'!B:G,5,FALSE),"")</f>
        <v/>
      </c>
      <c r="D488" s="9" t="str">
        <f ca="1">IFERROR((IF(VLOOKUP(A488,'ECN-ECO_DATA'!B:G,6,FALSE)=0/1/1900,TODAY(),VLOOKUP(A488,'ECN-ECO_DATA'!B:G,6,FALSE))),"")</f>
        <v/>
      </c>
      <c r="E488" s="9" t="str">
        <f>IFERROR((IF(VLOOKUP(A488,'ECN-ECO_DATA'!B:G,6,FALSE)=0/1/1900,"",VLOOKUP(A488,'ECN-ECO_DATA'!B:G,6,FALSE))),"")</f>
        <v/>
      </c>
      <c r="F488" s="9" t="str">
        <f>IFERROR((IF(VLOOKUP(A488,'ECN-ECO_DATA'!B:J,7,FALSE)=0/1/1900,"",VLOOKUP(A488,'ECN-ECO_DATA'!B:J,7,FALSE))),"")</f>
        <v/>
      </c>
      <c r="G488" s="9" t="str">
        <f>IFERROR((IF(VLOOKUP(A488,'ECN-ECO_DATA'!B:J,8,FALSE)=0/1/1900,"",VLOOKUP(A488,'ECN-ECO_DATA'!B:J,8,FALSE))),"")</f>
        <v/>
      </c>
      <c r="H488" s="9" t="str">
        <f>IFERROR((IF(VLOOKUP(A488,'ECN-ECO_DATA'!B:J,9,FALSE)=0/1/1900,"",VLOOKUP(A488,'ECN-ECO_DATA'!B:J,9,FALSE))),"")</f>
        <v/>
      </c>
      <c r="I488" s="10" t="str">
        <f>IFERROR((IF(VLOOKUP(A488,'ECN-ECO_DATA'!B:Q,13,FALSE)="","",VLOOKUP(A488,'ECN-ECO_DATA'!B:Q,13,FALSE))),"")</f>
        <v/>
      </c>
      <c r="J488" s="10" t="str">
        <f>IFERROR((IF(VLOOKUP(A488,'ECN-ECO_DATA'!B:Q,14,FALSE)="","",VLOOKUP(A488,'ECN-ECO_DATA'!B:Q,14,FALSE))),"")</f>
        <v/>
      </c>
      <c r="K488" s="10" t="str">
        <f>IFERROR((IF(VLOOKUP(A488,'ECN-ECO_DATA'!B:Q,15,FALSE)="","",VLOOKUP(A488,'ECN-ECO_DATA'!B:Q,15,FALSE))),"")</f>
        <v/>
      </c>
      <c r="L488" s="10" t="str">
        <f>IFERROR((IF(VLOOKUP(A488,'ECN-ECO_DATA'!B:Q,16,FALSE)="","",VLOOKUP(A488,'ECN-ECO_DATA'!B:Q,16,FALSE))),"")</f>
        <v/>
      </c>
      <c r="M488" s="9" t="str">
        <f>IFERROR((IF(VLOOKUP(A488,'ECN-ECO_DATA'!B:V,18,FALSE)=0/1/1900,"",VLOOKUP(A488,'ECN-ECO_DATA'!B:V,18,FALSE))),"")</f>
        <v/>
      </c>
      <c r="N488" s="9" t="str">
        <f>IFERROR((IF(VLOOKUP(A488,'ECN-ECO_DATA'!B:V,19,FALSE)=0/1/1900,"",VLOOKUP(A488,'ECN-ECO_DATA'!B:V,19,FALSE))),"")</f>
        <v/>
      </c>
      <c r="O488" s="9" t="str">
        <f>IFERROR((IF(VLOOKUP(A488,'ECN-ECO_DATA'!B:V,20,FALSE)=0/1/1900,"",VLOOKUP(A488,'ECN-ECO_DATA'!B:V,20,FALSE))),"")</f>
        <v/>
      </c>
      <c r="P488" s="9" t="str">
        <f>IFERROR((IF(VLOOKUP(A488,'ECN-ECO_DATA'!B:V,21,FALSE)=0/1/1900,"",VLOOKUP(A488,'ECN-ECO_DATA'!B:V,21,FALSE))),"")</f>
        <v/>
      </c>
      <c r="Q488" s="10" t="str">
        <f t="shared" ca="1" si="35"/>
        <v/>
      </c>
      <c r="R488" s="4" t="str">
        <f t="shared" si="36"/>
        <v/>
      </c>
      <c r="S488" s="4" t="str">
        <f t="shared" si="37"/>
        <v/>
      </c>
      <c r="T488" s="4" t="str">
        <f t="shared" si="38"/>
        <v/>
      </c>
      <c r="U488" s="10" t="str">
        <f t="shared" si="39"/>
        <v/>
      </c>
      <c r="V488" s="4"/>
    </row>
    <row r="489" spans="2:22" x14ac:dyDescent="0.25">
      <c r="B489" s="4" t="str">
        <f>IFERROR(VLOOKUP(A489,'ECN-ECO_DATA'!B:G,4,FALSE),"")</f>
        <v/>
      </c>
      <c r="C489" s="9" t="str">
        <f>IFERROR(VLOOKUP(A489,'ECN-ECO_DATA'!B:G,5,FALSE),"")</f>
        <v/>
      </c>
      <c r="D489" s="9" t="str">
        <f ca="1">IFERROR((IF(VLOOKUP(A489,'ECN-ECO_DATA'!B:G,6,FALSE)=0/1/1900,TODAY(),VLOOKUP(A489,'ECN-ECO_DATA'!B:G,6,FALSE))),"")</f>
        <v/>
      </c>
      <c r="E489" s="9" t="str">
        <f>IFERROR((IF(VLOOKUP(A489,'ECN-ECO_DATA'!B:G,6,FALSE)=0/1/1900,"",VLOOKUP(A489,'ECN-ECO_DATA'!B:G,6,FALSE))),"")</f>
        <v/>
      </c>
      <c r="F489" s="9" t="str">
        <f>IFERROR((IF(VLOOKUP(A489,'ECN-ECO_DATA'!B:J,7,FALSE)=0/1/1900,"",VLOOKUP(A489,'ECN-ECO_DATA'!B:J,7,FALSE))),"")</f>
        <v/>
      </c>
      <c r="G489" s="9" t="str">
        <f>IFERROR((IF(VLOOKUP(A489,'ECN-ECO_DATA'!B:J,8,FALSE)=0/1/1900,"",VLOOKUP(A489,'ECN-ECO_DATA'!B:J,8,FALSE))),"")</f>
        <v/>
      </c>
      <c r="H489" s="9" t="str">
        <f>IFERROR((IF(VLOOKUP(A489,'ECN-ECO_DATA'!B:J,9,FALSE)=0/1/1900,"",VLOOKUP(A489,'ECN-ECO_DATA'!B:J,9,FALSE))),"")</f>
        <v/>
      </c>
      <c r="I489" s="10" t="str">
        <f>IFERROR((IF(VLOOKUP(A489,'ECN-ECO_DATA'!B:Q,13,FALSE)="","",VLOOKUP(A489,'ECN-ECO_DATA'!B:Q,13,FALSE))),"")</f>
        <v/>
      </c>
      <c r="J489" s="10" t="str">
        <f>IFERROR((IF(VLOOKUP(A489,'ECN-ECO_DATA'!B:Q,14,FALSE)="","",VLOOKUP(A489,'ECN-ECO_DATA'!B:Q,14,FALSE))),"")</f>
        <v/>
      </c>
      <c r="K489" s="10" t="str">
        <f>IFERROR((IF(VLOOKUP(A489,'ECN-ECO_DATA'!B:Q,15,FALSE)="","",VLOOKUP(A489,'ECN-ECO_DATA'!B:Q,15,FALSE))),"")</f>
        <v/>
      </c>
      <c r="L489" s="10" t="str">
        <f>IFERROR((IF(VLOOKUP(A489,'ECN-ECO_DATA'!B:Q,16,FALSE)="","",VLOOKUP(A489,'ECN-ECO_DATA'!B:Q,16,FALSE))),"")</f>
        <v/>
      </c>
      <c r="M489" s="9" t="str">
        <f>IFERROR((IF(VLOOKUP(A489,'ECN-ECO_DATA'!B:V,18,FALSE)=0/1/1900,"",VLOOKUP(A489,'ECN-ECO_DATA'!B:V,18,FALSE))),"")</f>
        <v/>
      </c>
      <c r="N489" s="9" t="str">
        <f>IFERROR((IF(VLOOKUP(A489,'ECN-ECO_DATA'!B:V,19,FALSE)=0/1/1900,"",VLOOKUP(A489,'ECN-ECO_DATA'!B:V,19,FALSE))),"")</f>
        <v/>
      </c>
      <c r="O489" s="9" t="str">
        <f>IFERROR((IF(VLOOKUP(A489,'ECN-ECO_DATA'!B:V,20,FALSE)=0/1/1900,"",VLOOKUP(A489,'ECN-ECO_DATA'!B:V,20,FALSE))),"")</f>
        <v/>
      </c>
      <c r="P489" s="9" t="str">
        <f>IFERROR((IF(VLOOKUP(A489,'ECN-ECO_DATA'!B:V,21,FALSE)=0/1/1900,"",VLOOKUP(A489,'ECN-ECO_DATA'!B:V,21,FALSE))),"")</f>
        <v/>
      </c>
      <c r="Q489" s="10" t="str">
        <f t="shared" ca="1" si="35"/>
        <v/>
      </c>
      <c r="R489" s="4" t="str">
        <f t="shared" si="36"/>
        <v/>
      </c>
      <c r="S489" s="4" t="str">
        <f t="shared" si="37"/>
        <v/>
      </c>
      <c r="T489" s="4" t="str">
        <f t="shared" si="38"/>
        <v/>
      </c>
      <c r="U489" s="10" t="str">
        <f t="shared" si="39"/>
        <v/>
      </c>
      <c r="V489" s="4"/>
    </row>
    <row r="490" spans="2:22" x14ac:dyDescent="0.25">
      <c r="B490" s="4" t="str">
        <f>IFERROR(VLOOKUP(A490,'ECN-ECO_DATA'!B:G,4,FALSE),"")</f>
        <v/>
      </c>
      <c r="C490" s="9" t="str">
        <f>IFERROR(VLOOKUP(A490,'ECN-ECO_DATA'!B:G,5,FALSE),"")</f>
        <v/>
      </c>
      <c r="D490" s="9" t="str">
        <f ca="1">IFERROR((IF(VLOOKUP(A490,'ECN-ECO_DATA'!B:G,6,FALSE)=0/1/1900,TODAY(),VLOOKUP(A490,'ECN-ECO_DATA'!B:G,6,FALSE))),"")</f>
        <v/>
      </c>
      <c r="E490" s="9" t="str">
        <f>IFERROR((IF(VLOOKUP(A490,'ECN-ECO_DATA'!B:G,6,FALSE)=0/1/1900,"",VLOOKUP(A490,'ECN-ECO_DATA'!B:G,6,FALSE))),"")</f>
        <v/>
      </c>
      <c r="F490" s="9" t="str">
        <f>IFERROR((IF(VLOOKUP(A490,'ECN-ECO_DATA'!B:J,7,FALSE)=0/1/1900,"",VLOOKUP(A490,'ECN-ECO_DATA'!B:J,7,FALSE))),"")</f>
        <v/>
      </c>
      <c r="G490" s="9" t="str">
        <f>IFERROR((IF(VLOOKUP(A490,'ECN-ECO_DATA'!B:J,8,FALSE)=0/1/1900,"",VLOOKUP(A490,'ECN-ECO_DATA'!B:J,8,FALSE))),"")</f>
        <v/>
      </c>
      <c r="H490" s="9" t="str">
        <f>IFERROR((IF(VLOOKUP(A490,'ECN-ECO_DATA'!B:J,9,FALSE)=0/1/1900,"",VLOOKUP(A490,'ECN-ECO_DATA'!B:J,9,FALSE))),"")</f>
        <v/>
      </c>
      <c r="I490" s="10" t="str">
        <f>IFERROR((IF(VLOOKUP(A490,'ECN-ECO_DATA'!B:Q,13,FALSE)="","",VLOOKUP(A490,'ECN-ECO_DATA'!B:Q,13,FALSE))),"")</f>
        <v/>
      </c>
      <c r="J490" s="10" t="str">
        <f>IFERROR((IF(VLOOKUP(A490,'ECN-ECO_DATA'!B:Q,14,FALSE)="","",VLOOKUP(A490,'ECN-ECO_DATA'!B:Q,14,FALSE))),"")</f>
        <v/>
      </c>
      <c r="K490" s="10" t="str">
        <f>IFERROR((IF(VLOOKUP(A490,'ECN-ECO_DATA'!B:Q,15,FALSE)="","",VLOOKUP(A490,'ECN-ECO_DATA'!B:Q,15,FALSE))),"")</f>
        <v/>
      </c>
      <c r="L490" s="10" t="str">
        <f>IFERROR((IF(VLOOKUP(A490,'ECN-ECO_DATA'!B:Q,16,FALSE)="","",VLOOKUP(A490,'ECN-ECO_DATA'!B:Q,16,FALSE))),"")</f>
        <v/>
      </c>
      <c r="M490" s="9" t="str">
        <f>IFERROR((IF(VLOOKUP(A490,'ECN-ECO_DATA'!B:V,18,FALSE)=0/1/1900,"",VLOOKUP(A490,'ECN-ECO_DATA'!B:V,18,FALSE))),"")</f>
        <v/>
      </c>
      <c r="N490" s="9" t="str">
        <f>IFERROR((IF(VLOOKUP(A490,'ECN-ECO_DATA'!B:V,19,FALSE)=0/1/1900,"",VLOOKUP(A490,'ECN-ECO_DATA'!B:V,19,FALSE))),"")</f>
        <v/>
      </c>
      <c r="O490" s="9" t="str">
        <f>IFERROR((IF(VLOOKUP(A490,'ECN-ECO_DATA'!B:V,20,FALSE)=0/1/1900,"",VLOOKUP(A490,'ECN-ECO_DATA'!B:V,20,FALSE))),"")</f>
        <v/>
      </c>
      <c r="P490" s="9" t="str">
        <f>IFERROR((IF(VLOOKUP(A490,'ECN-ECO_DATA'!B:V,21,FALSE)=0/1/1900,"",VLOOKUP(A490,'ECN-ECO_DATA'!B:V,21,FALSE))),"")</f>
        <v/>
      </c>
      <c r="Q490" s="10" t="str">
        <f t="shared" ca="1" si="35"/>
        <v/>
      </c>
      <c r="R490" s="4" t="str">
        <f t="shared" si="36"/>
        <v/>
      </c>
      <c r="S490" s="4" t="str">
        <f t="shared" si="37"/>
        <v/>
      </c>
      <c r="T490" s="4" t="str">
        <f t="shared" si="38"/>
        <v/>
      </c>
      <c r="U490" s="10" t="str">
        <f t="shared" si="39"/>
        <v/>
      </c>
      <c r="V490" s="4"/>
    </row>
    <row r="491" spans="2:22" x14ac:dyDescent="0.25">
      <c r="B491" s="4" t="str">
        <f>IFERROR(VLOOKUP(A491,'ECN-ECO_DATA'!B:G,4,FALSE),"")</f>
        <v/>
      </c>
      <c r="C491" s="9" t="str">
        <f>IFERROR(VLOOKUP(A491,'ECN-ECO_DATA'!B:G,5,FALSE),"")</f>
        <v/>
      </c>
      <c r="D491" s="9" t="str">
        <f ca="1">IFERROR((IF(VLOOKUP(A491,'ECN-ECO_DATA'!B:G,6,FALSE)=0/1/1900,TODAY(),VLOOKUP(A491,'ECN-ECO_DATA'!B:G,6,FALSE))),"")</f>
        <v/>
      </c>
      <c r="E491" s="9" t="str">
        <f>IFERROR((IF(VLOOKUP(A491,'ECN-ECO_DATA'!B:G,6,FALSE)=0/1/1900,"",VLOOKUP(A491,'ECN-ECO_DATA'!B:G,6,FALSE))),"")</f>
        <v/>
      </c>
      <c r="F491" s="9" t="str">
        <f>IFERROR((IF(VLOOKUP(A491,'ECN-ECO_DATA'!B:J,7,FALSE)=0/1/1900,"",VLOOKUP(A491,'ECN-ECO_DATA'!B:J,7,FALSE))),"")</f>
        <v/>
      </c>
      <c r="G491" s="9" t="str">
        <f>IFERROR((IF(VLOOKUP(A491,'ECN-ECO_DATA'!B:J,8,FALSE)=0/1/1900,"",VLOOKUP(A491,'ECN-ECO_DATA'!B:J,8,FALSE))),"")</f>
        <v/>
      </c>
      <c r="H491" s="9" t="str">
        <f>IFERROR((IF(VLOOKUP(A491,'ECN-ECO_DATA'!B:J,9,FALSE)=0/1/1900,"",VLOOKUP(A491,'ECN-ECO_DATA'!B:J,9,FALSE))),"")</f>
        <v/>
      </c>
      <c r="I491" s="10" t="str">
        <f>IFERROR((IF(VLOOKUP(A491,'ECN-ECO_DATA'!B:Q,13,FALSE)="","",VLOOKUP(A491,'ECN-ECO_DATA'!B:Q,13,FALSE))),"")</f>
        <v/>
      </c>
      <c r="J491" s="10" t="str">
        <f>IFERROR((IF(VLOOKUP(A491,'ECN-ECO_DATA'!B:Q,14,FALSE)="","",VLOOKUP(A491,'ECN-ECO_DATA'!B:Q,14,FALSE))),"")</f>
        <v/>
      </c>
      <c r="K491" s="10" t="str">
        <f>IFERROR((IF(VLOOKUP(A491,'ECN-ECO_DATA'!B:Q,15,FALSE)="","",VLOOKUP(A491,'ECN-ECO_DATA'!B:Q,15,FALSE))),"")</f>
        <v/>
      </c>
      <c r="L491" s="10" t="str">
        <f>IFERROR((IF(VLOOKUP(A491,'ECN-ECO_DATA'!B:Q,16,FALSE)="","",VLOOKUP(A491,'ECN-ECO_DATA'!B:Q,16,FALSE))),"")</f>
        <v/>
      </c>
      <c r="M491" s="9" t="str">
        <f>IFERROR((IF(VLOOKUP(A491,'ECN-ECO_DATA'!B:V,18,FALSE)=0/1/1900,"",VLOOKUP(A491,'ECN-ECO_DATA'!B:V,18,FALSE))),"")</f>
        <v/>
      </c>
      <c r="N491" s="9" t="str">
        <f>IFERROR((IF(VLOOKUP(A491,'ECN-ECO_DATA'!B:V,19,FALSE)=0/1/1900,"",VLOOKUP(A491,'ECN-ECO_DATA'!B:V,19,FALSE))),"")</f>
        <v/>
      </c>
      <c r="O491" s="9" t="str">
        <f>IFERROR((IF(VLOOKUP(A491,'ECN-ECO_DATA'!B:V,20,FALSE)=0/1/1900,"",VLOOKUP(A491,'ECN-ECO_DATA'!B:V,20,FALSE))),"")</f>
        <v/>
      </c>
      <c r="P491" s="9" t="str">
        <f>IFERROR((IF(VLOOKUP(A491,'ECN-ECO_DATA'!B:V,21,FALSE)=0/1/1900,"",VLOOKUP(A491,'ECN-ECO_DATA'!B:V,21,FALSE))),"")</f>
        <v/>
      </c>
      <c r="Q491" s="10" t="str">
        <f t="shared" ca="1" si="35"/>
        <v/>
      </c>
      <c r="R491" s="4" t="str">
        <f t="shared" si="36"/>
        <v/>
      </c>
      <c r="S491" s="4" t="str">
        <f t="shared" si="37"/>
        <v/>
      </c>
      <c r="T491" s="4" t="str">
        <f t="shared" si="38"/>
        <v/>
      </c>
      <c r="U491" s="10" t="str">
        <f t="shared" si="39"/>
        <v/>
      </c>
      <c r="V491" s="4"/>
    </row>
    <row r="492" spans="2:22" x14ac:dyDescent="0.25">
      <c r="B492" s="4" t="str">
        <f>IFERROR(VLOOKUP(A492,'ECN-ECO_DATA'!B:G,4,FALSE),"")</f>
        <v/>
      </c>
      <c r="C492" s="9" t="str">
        <f>IFERROR(VLOOKUP(A492,'ECN-ECO_DATA'!B:G,5,FALSE),"")</f>
        <v/>
      </c>
      <c r="D492" s="9" t="str">
        <f ca="1">IFERROR((IF(VLOOKUP(A492,'ECN-ECO_DATA'!B:G,6,FALSE)=0/1/1900,TODAY(),VLOOKUP(A492,'ECN-ECO_DATA'!B:G,6,FALSE))),"")</f>
        <v/>
      </c>
      <c r="E492" s="9" t="str">
        <f>IFERROR((IF(VLOOKUP(A492,'ECN-ECO_DATA'!B:G,6,FALSE)=0/1/1900,"",VLOOKUP(A492,'ECN-ECO_DATA'!B:G,6,FALSE))),"")</f>
        <v/>
      </c>
      <c r="F492" s="9" t="str">
        <f>IFERROR((IF(VLOOKUP(A492,'ECN-ECO_DATA'!B:J,7,FALSE)=0/1/1900,"",VLOOKUP(A492,'ECN-ECO_DATA'!B:J,7,FALSE))),"")</f>
        <v/>
      </c>
      <c r="G492" s="9" t="str">
        <f>IFERROR((IF(VLOOKUP(A492,'ECN-ECO_DATA'!B:J,8,FALSE)=0/1/1900,"",VLOOKUP(A492,'ECN-ECO_DATA'!B:J,8,FALSE))),"")</f>
        <v/>
      </c>
      <c r="H492" s="9" t="str">
        <f>IFERROR((IF(VLOOKUP(A492,'ECN-ECO_DATA'!B:J,9,FALSE)=0/1/1900,"",VLOOKUP(A492,'ECN-ECO_DATA'!B:J,9,FALSE))),"")</f>
        <v/>
      </c>
      <c r="I492" s="10" t="str">
        <f>IFERROR((IF(VLOOKUP(A492,'ECN-ECO_DATA'!B:Q,13,FALSE)="","",VLOOKUP(A492,'ECN-ECO_DATA'!B:Q,13,FALSE))),"")</f>
        <v/>
      </c>
      <c r="J492" s="10" t="str">
        <f>IFERROR((IF(VLOOKUP(A492,'ECN-ECO_DATA'!B:Q,14,FALSE)="","",VLOOKUP(A492,'ECN-ECO_DATA'!B:Q,14,FALSE))),"")</f>
        <v/>
      </c>
      <c r="K492" s="10" t="str">
        <f>IFERROR((IF(VLOOKUP(A492,'ECN-ECO_DATA'!B:Q,15,FALSE)="","",VLOOKUP(A492,'ECN-ECO_DATA'!B:Q,15,FALSE))),"")</f>
        <v/>
      </c>
      <c r="L492" s="10" t="str">
        <f>IFERROR((IF(VLOOKUP(A492,'ECN-ECO_DATA'!B:Q,16,FALSE)="","",VLOOKUP(A492,'ECN-ECO_DATA'!B:Q,16,FALSE))),"")</f>
        <v/>
      </c>
      <c r="M492" s="9" t="str">
        <f>IFERROR((IF(VLOOKUP(A492,'ECN-ECO_DATA'!B:V,18,FALSE)=0/1/1900,"",VLOOKUP(A492,'ECN-ECO_DATA'!B:V,18,FALSE))),"")</f>
        <v/>
      </c>
      <c r="N492" s="9" t="str">
        <f>IFERROR((IF(VLOOKUP(A492,'ECN-ECO_DATA'!B:V,19,FALSE)=0/1/1900,"",VLOOKUP(A492,'ECN-ECO_DATA'!B:V,19,FALSE))),"")</f>
        <v/>
      </c>
      <c r="O492" s="9" t="str">
        <f>IFERROR((IF(VLOOKUP(A492,'ECN-ECO_DATA'!B:V,20,FALSE)=0/1/1900,"",VLOOKUP(A492,'ECN-ECO_DATA'!B:V,20,FALSE))),"")</f>
        <v/>
      </c>
      <c r="P492" s="9" t="str">
        <f>IFERROR((IF(VLOOKUP(A492,'ECN-ECO_DATA'!B:V,21,FALSE)=0/1/1900,"",VLOOKUP(A492,'ECN-ECO_DATA'!B:V,21,FALSE))),"")</f>
        <v/>
      </c>
      <c r="Q492" s="10" t="str">
        <f t="shared" ca="1" si="35"/>
        <v/>
      </c>
      <c r="R492" s="4" t="str">
        <f t="shared" si="36"/>
        <v/>
      </c>
      <c r="S492" s="4" t="str">
        <f t="shared" si="37"/>
        <v/>
      </c>
      <c r="T492" s="4" t="str">
        <f t="shared" si="38"/>
        <v/>
      </c>
      <c r="U492" s="10" t="str">
        <f t="shared" si="39"/>
        <v/>
      </c>
      <c r="V492" s="4"/>
    </row>
    <row r="493" spans="2:22" x14ac:dyDescent="0.25">
      <c r="B493" s="4" t="str">
        <f>IFERROR(VLOOKUP(A493,'ECN-ECO_DATA'!B:G,4,FALSE),"")</f>
        <v/>
      </c>
      <c r="C493" s="9" t="str">
        <f>IFERROR(VLOOKUP(A493,'ECN-ECO_DATA'!B:G,5,FALSE),"")</f>
        <v/>
      </c>
      <c r="D493" s="9" t="str">
        <f ca="1">IFERROR((IF(VLOOKUP(A493,'ECN-ECO_DATA'!B:G,6,FALSE)=0/1/1900,TODAY(),VLOOKUP(A493,'ECN-ECO_DATA'!B:G,6,FALSE))),"")</f>
        <v/>
      </c>
      <c r="E493" s="9" t="str">
        <f>IFERROR((IF(VLOOKUP(A493,'ECN-ECO_DATA'!B:G,6,FALSE)=0/1/1900,"",VLOOKUP(A493,'ECN-ECO_DATA'!B:G,6,FALSE))),"")</f>
        <v/>
      </c>
      <c r="F493" s="9" t="str">
        <f>IFERROR((IF(VLOOKUP(A493,'ECN-ECO_DATA'!B:J,7,FALSE)=0/1/1900,"",VLOOKUP(A493,'ECN-ECO_DATA'!B:J,7,FALSE))),"")</f>
        <v/>
      </c>
      <c r="G493" s="9" t="str">
        <f>IFERROR((IF(VLOOKUP(A493,'ECN-ECO_DATA'!B:J,8,FALSE)=0/1/1900,"",VLOOKUP(A493,'ECN-ECO_DATA'!B:J,8,FALSE))),"")</f>
        <v/>
      </c>
      <c r="H493" s="9" t="str">
        <f>IFERROR((IF(VLOOKUP(A493,'ECN-ECO_DATA'!B:J,9,FALSE)=0/1/1900,"",VLOOKUP(A493,'ECN-ECO_DATA'!B:J,9,FALSE))),"")</f>
        <v/>
      </c>
      <c r="I493" s="10" t="str">
        <f>IFERROR((IF(VLOOKUP(A493,'ECN-ECO_DATA'!B:Q,13,FALSE)="","",VLOOKUP(A493,'ECN-ECO_DATA'!B:Q,13,FALSE))),"")</f>
        <v/>
      </c>
      <c r="J493" s="10" t="str">
        <f>IFERROR((IF(VLOOKUP(A493,'ECN-ECO_DATA'!B:Q,14,FALSE)="","",VLOOKUP(A493,'ECN-ECO_DATA'!B:Q,14,FALSE))),"")</f>
        <v/>
      </c>
      <c r="K493" s="10" t="str">
        <f>IFERROR((IF(VLOOKUP(A493,'ECN-ECO_DATA'!B:Q,15,FALSE)="","",VLOOKUP(A493,'ECN-ECO_DATA'!B:Q,15,FALSE))),"")</f>
        <v/>
      </c>
      <c r="L493" s="10" t="str">
        <f>IFERROR((IF(VLOOKUP(A493,'ECN-ECO_DATA'!B:Q,16,FALSE)="","",VLOOKUP(A493,'ECN-ECO_DATA'!B:Q,16,FALSE))),"")</f>
        <v/>
      </c>
      <c r="M493" s="9" t="str">
        <f>IFERROR((IF(VLOOKUP(A493,'ECN-ECO_DATA'!B:V,18,FALSE)=0/1/1900,"",VLOOKUP(A493,'ECN-ECO_DATA'!B:V,18,FALSE))),"")</f>
        <v/>
      </c>
      <c r="N493" s="9" t="str">
        <f>IFERROR((IF(VLOOKUP(A493,'ECN-ECO_DATA'!B:V,19,FALSE)=0/1/1900,"",VLOOKUP(A493,'ECN-ECO_DATA'!B:V,19,FALSE))),"")</f>
        <v/>
      </c>
      <c r="O493" s="9" t="str">
        <f>IFERROR((IF(VLOOKUP(A493,'ECN-ECO_DATA'!B:V,20,FALSE)=0/1/1900,"",VLOOKUP(A493,'ECN-ECO_DATA'!B:V,20,FALSE))),"")</f>
        <v/>
      </c>
      <c r="P493" s="9" t="str">
        <f>IFERROR((IF(VLOOKUP(A493,'ECN-ECO_DATA'!B:V,21,FALSE)=0/1/1900,"",VLOOKUP(A493,'ECN-ECO_DATA'!B:V,21,FALSE))),"")</f>
        <v/>
      </c>
      <c r="Q493" s="10" t="str">
        <f t="shared" ca="1" si="35"/>
        <v/>
      </c>
      <c r="R493" s="4" t="str">
        <f t="shared" si="36"/>
        <v/>
      </c>
      <c r="S493" s="4" t="str">
        <f t="shared" si="37"/>
        <v/>
      </c>
      <c r="T493" s="4" t="str">
        <f t="shared" si="38"/>
        <v/>
      </c>
      <c r="U493" s="10" t="str">
        <f t="shared" si="39"/>
        <v/>
      </c>
      <c r="V493" s="4"/>
    </row>
    <row r="494" spans="2:22" x14ac:dyDescent="0.25">
      <c r="B494" s="4" t="str">
        <f>IFERROR(VLOOKUP(A494,'ECN-ECO_DATA'!B:G,4,FALSE),"")</f>
        <v/>
      </c>
      <c r="C494" s="9" t="str">
        <f>IFERROR(VLOOKUP(A494,'ECN-ECO_DATA'!B:G,5,FALSE),"")</f>
        <v/>
      </c>
      <c r="D494" s="9" t="str">
        <f ca="1">IFERROR((IF(VLOOKUP(A494,'ECN-ECO_DATA'!B:G,6,FALSE)=0/1/1900,TODAY(),VLOOKUP(A494,'ECN-ECO_DATA'!B:G,6,FALSE))),"")</f>
        <v/>
      </c>
      <c r="E494" s="9" t="str">
        <f>IFERROR((IF(VLOOKUP(A494,'ECN-ECO_DATA'!B:G,6,FALSE)=0/1/1900,"",VLOOKUP(A494,'ECN-ECO_DATA'!B:G,6,FALSE))),"")</f>
        <v/>
      </c>
      <c r="F494" s="9" t="str">
        <f>IFERROR((IF(VLOOKUP(A494,'ECN-ECO_DATA'!B:J,7,FALSE)=0/1/1900,"",VLOOKUP(A494,'ECN-ECO_DATA'!B:J,7,FALSE))),"")</f>
        <v/>
      </c>
      <c r="G494" s="9" t="str">
        <f>IFERROR((IF(VLOOKUP(A494,'ECN-ECO_DATA'!B:J,8,FALSE)=0/1/1900,"",VLOOKUP(A494,'ECN-ECO_DATA'!B:J,8,FALSE))),"")</f>
        <v/>
      </c>
      <c r="H494" s="9" t="str">
        <f>IFERROR((IF(VLOOKUP(A494,'ECN-ECO_DATA'!B:J,9,FALSE)=0/1/1900,"",VLOOKUP(A494,'ECN-ECO_DATA'!B:J,9,FALSE))),"")</f>
        <v/>
      </c>
      <c r="I494" s="10" t="str">
        <f>IFERROR((IF(VLOOKUP(A494,'ECN-ECO_DATA'!B:Q,13,FALSE)="","",VLOOKUP(A494,'ECN-ECO_DATA'!B:Q,13,FALSE))),"")</f>
        <v/>
      </c>
      <c r="J494" s="10" t="str">
        <f>IFERROR((IF(VLOOKUP(A494,'ECN-ECO_DATA'!B:Q,14,FALSE)="","",VLOOKUP(A494,'ECN-ECO_DATA'!B:Q,14,FALSE))),"")</f>
        <v/>
      </c>
      <c r="K494" s="10" t="str">
        <f>IFERROR((IF(VLOOKUP(A494,'ECN-ECO_DATA'!B:Q,15,FALSE)="","",VLOOKUP(A494,'ECN-ECO_DATA'!B:Q,15,FALSE))),"")</f>
        <v/>
      </c>
      <c r="L494" s="10" t="str">
        <f>IFERROR((IF(VLOOKUP(A494,'ECN-ECO_DATA'!B:Q,16,FALSE)="","",VLOOKUP(A494,'ECN-ECO_DATA'!B:Q,16,FALSE))),"")</f>
        <v/>
      </c>
      <c r="M494" s="9" t="str">
        <f>IFERROR((IF(VLOOKUP(A494,'ECN-ECO_DATA'!B:V,18,FALSE)=0/1/1900,"",VLOOKUP(A494,'ECN-ECO_DATA'!B:V,18,FALSE))),"")</f>
        <v/>
      </c>
      <c r="N494" s="9" t="str">
        <f>IFERROR((IF(VLOOKUP(A494,'ECN-ECO_DATA'!B:V,19,FALSE)=0/1/1900,"",VLOOKUP(A494,'ECN-ECO_DATA'!B:V,19,FALSE))),"")</f>
        <v/>
      </c>
      <c r="O494" s="9" t="str">
        <f>IFERROR((IF(VLOOKUP(A494,'ECN-ECO_DATA'!B:V,20,FALSE)=0/1/1900,"",VLOOKUP(A494,'ECN-ECO_DATA'!B:V,20,FALSE))),"")</f>
        <v/>
      </c>
      <c r="P494" s="9" t="str">
        <f>IFERROR((IF(VLOOKUP(A494,'ECN-ECO_DATA'!B:V,21,FALSE)=0/1/1900,"",VLOOKUP(A494,'ECN-ECO_DATA'!B:V,21,FALSE))),"")</f>
        <v/>
      </c>
      <c r="Q494" s="10" t="str">
        <f t="shared" ca="1" si="35"/>
        <v/>
      </c>
      <c r="R494" s="4" t="str">
        <f t="shared" si="36"/>
        <v/>
      </c>
      <c r="S494" s="4" t="str">
        <f t="shared" si="37"/>
        <v/>
      </c>
      <c r="T494" s="4" t="str">
        <f t="shared" si="38"/>
        <v/>
      </c>
      <c r="U494" s="10" t="str">
        <f t="shared" si="39"/>
        <v/>
      </c>
      <c r="V494" s="4"/>
    </row>
    <row r="495" spans="2:22" x14ac:dyDescent="0.25">
      <c r="B495" s="4" t="str">
        <f>IFERROR(VLOOKUP(A495,'ECN-ECO_DATA'!B:G,4,FALSE),"")</f>
        <v/>
      </c>
      <c r="C495" s="9" t="str">
        <f>IFERROR(VLOOKUP(A495,'ECN-ECO_DATA'!B:G,5,FALSE),"")</f>
        <v/>
      </c>
      <c r="D495" s="9" t="str">
        <f ca="1">IFERROR((IF(VLOOKUP(A495,'ECN-ECO_DATA'!B:G,6,FALSE)=0/1/1900,TODAY(),VLOOKUP(A495,'ECN-ECO_DATA'!B:G,6,FALSE))),"")</f>
        <v/>
      </c>
      <c r="E495" s="9" t="str">
        <f>IFERROR((IF(VLOOKUP(A495,'ECN-ECO_DATA'!B:G,6,FALSE)=0/1/1900,"",VLOOKUP(A495,'ECN-ECO_DATA'!B:G,6,FALSE))),"")</f>
        <v/>
      </c>
      <c r="F495" s="9" t="str">
        <f>IFERROR((IF(VLOOKUP(A495,'ECN-ECO_DATA'!B:J,7,FALSE)=0/1/1900,"",VLOOKUP(A495,'ECN-ECO_DATA'!B:J,7,FALSE))),"")</f>
        <v/>
      </c>
      <c r="G495" s="9" t="str">
        <f>IFERROR((IF(VLOOKUP(A495,'ECN-ECO_DATA'!B:J,8,FALSE)=0/1/1900,"",VLOOKUP(A495,'ECN-ECO_DATA'!B:J,8,FALSE))),"")</f>
        <v/>
      </c>
      <c r="H495" s="9" t="str">
        <f>IFERROR((IF(VLOOKUP(A495,'ECN-ECO_DATA'!B:J,9,FALSE)=0/1/1900,"",VLOOKUP(A495,'ECN-ECO_DATA'!B:J,9,FALSE))),"")</f>
        <v/>
      </c>
      <c r="I495" s="10" t="str">
        <f>IFERROR((IF(VLOOKUP(A495,'ECN-ECO_DATA'!B:Q,13,FALSE)="","",VLOOKUP(A495,'ECN-ECO_DATA'!B:Q,13,FALSE))),"")</f>
        <v/>
      </c>
      <c r="J495" s="10" t="str">
        <f>IFERROR((IF(VLOOKUP(A495,'ECN-ECO_DATA'!B:Q,14,FALSE)="","",VLOOKUP(A495,'ECN-ECO_DATA'!B:Q,14,FALSE))),"")</f>
        <v/>
      </c>
      <c r="K495" s="10" t="str">
        <f>IFERROR((IF(VLOOKUP(A495,'ECN-ECO_DATA'!B:Q,15,FALSE)="","",VLOOKUP(A495,'ECN-ECO_DATA'!B:Q,15,FALSE))),"")</f>
        <v/>
      </c>
      <c r="L495" s="10" t="str">
        <f>IFERROR((IF(VLOOKUP(A495,'ECN-ECO_DATA'!B:Q,16,FALSE)="","",VLOOKUP(A495,'ECN-ECO_DATA'!B:Q,16,FALSE))),"")</f>
        <v/>
      </c>
      <c r="M495" s="9" t="str">
        <f>IFERROR((IF(VLOOKUP(A495,'ECN-ECO_DATA'!B:V,18,FALSE)=0/1/1900,"",VLOOKUP(A495,'ECN-ECO_DATA'!B:V,18,FALSE))),"")</f>
        <v/>
      </c>
      <c r="N495" s="9" t="str">
        <f>IFERROR((IF(VLOOKUP(A495,'ECN-ECO_DATA'!B:V,19,FALSE)=0/1/1900,"",VLOOKUP(A495,'ECN-ECO_DATA'!B:V,19,FALSE))),"")</f>
        <v/>
      </c>
      <c r="O495" s="9" t="str">
        <f>IFERROR((IF(VLOOKUP(A495,'ECN-ECO_DATA'!B:V,20,FALSE)=0/1/1900,"",VLOOKUP(A495,'ECN-ECO_DATA'!B:V,20,FALSE))),"")</f>
        <v/>
      </c>
      <c r="P495" s="9" t="str">
        <f>IFERROR((IF(VLOOKUP(A495,'ECN-ECO_DATA'!B:V,21,FALSE)=0/1/1900,"",VLOOKUP(A495,'ECN-ECO_DATA'!B:V,21,FALSE))),"")</f>
        <v/>
      </c>
      <c r="Q495" s="10" t="str">
        <f t="shared" ca="1" si="35"/>
        <v/>
      </c>
      <c r="R495" s="4" t="str">
        <f t="shared" si="36"/>
        <v/>
      </c>
      <c r="S495" s="4" t="str">
        <f t="shared" si="37"/>
        <v/>
      </c>
      <c r="T495" s="4" t="str">
        <f t="shared" si="38"/>
        <v/>
      </c>
      <c r="U495" s="10" t="str">
        <f t="shared" si="39"/>
        <v/>
      </c>
      <c r="V495" s="4"/>
    </row>
    <row r="496" spans="2:22" x14ac:dyDescent="0.25">
      <c r="B496" s="4" t="str">
        <f>IFERROR(VLOOKUP(A496,'ECN-ECO_DATA'!B:G,4,FALSE),"")</f>
        <v/>
      </c>
      <c r="C496" s="9" t="str">
        <f>IFERROR(VLOOKUP(A496,'ECN-ECO_DATA'!B:G,5,FALSE),"")</f>
        <v/>
      </c>
      <c r="D496" s="9" t="str">
        <f ca="1">IFERROR((IF(VLOOKUP(A496,'ECN-ECO_DATA'!B:G,6,FALSE)=0/1/1900,TODAY(),VLOOKUP(A496,'ECN-ECO_DATA'!B:G,6,FALSE))),"")</f>
        <v/>
      </c>
      <c r="E496" s="9" t="str">
        <f>IFERROR((IF(VLOOKUP(A496,'ECN-ECO_DATA'!B:G,6,FALSE)=0/1/1900,"",VLOOKUP(A496,'ECN-ECO_DATA'!B:G,6,FALSE))),"")</f>
        <v/>
      </c>
      <c r="F496" s="9" t="str">
        <f>IFERROR((IF(VLOOKUP(A496,'ECN-ECO_DATA'!B:J,7,FALSE)=0/1/1900,"",VLOOKUP(A496,'ECN-ECO_DATA'!B:J,7,FALSE))),"")</f>
        <v/>
      </c>
      <c r="G496" s="9" t="str">
        <f>IFERROR((IF(VLOOKUP(A496,'ECN-ECO_DATA'!B:J,8,FALSE)=0/1/1900,"",VLOOKUP(A496,'ECN-ECO_DATA'!B:J,8,FALSE))),"")</f>
        <v/>
      </c>
      <c r="H496" s="9" t="str">
        <f>IFERROR((IF(VLOOKUP(A496,'ECN-ECO_DATA'!B:J,9,FALSE)=0/1/1900,"",VLOOKUP(A496,'ECN-ECO_DATA'!B:J,9,FALSE))),"")</f>
        <v/>
      </c>
      <c r="I496" s="10" t="str">
        <f>IFERROR((IF(VLOOKUP(A496,'ECN-ECO_DATA'!B:Q,13,FALSE)="","",VLOOKUP(A496,'ECN-ECO_DATA'!B:Q,13,FALSE))),"")</f>
        <v/>
      </c>
      <c r="J496" s="10" t="str">
        <f>IFERROR((IF(VLOOKUP(A496,'ECN-ECO_DATA'!B:Q,14,FALSE)="","",VLOOKUP(A496,'ECN-ECO_DATA'!B:Q,14,FALSE))),"")</f>
        <v/>
      </c>
      <c r="K496" s="10" t="str">
        <f>IFERROR((IF(VLOOKUP(A496,'ECN-ECO_DATA'!B:Q,15,FALSE)="","",VLOOKUP(A496,'ECN-ECO_DATA'!B:Q,15,FALSE))),"")</f>
        <v/>
      </c>
      <c r="L496" s="10" t="str">
        <f>IFERROR((IF(VLOOKUP(A496,'ECN-ECO_DATA'!B:Q,16,FALSE)="","",VLOOKUP(A496,'ECN-ECO_DATA'!B:Q,16,FALSE))),"")</f>
        <v/>
      </c>
      <c r="M496" s="9" t="str">
        <f>IFERROR((IF(VLOOKUP(A496,'ECN-ECO_DATA'!B:V,18,FALSE)=0/1/1900,"",VLOOKUP(A496,'ECN-ECO_DATA'!B:V,18,FALSE))),"")</f>
        <v/>
      </c>
      <c r="N496" s="9" t="str">
        <f>IFERROR((IF(VLOOKUP(A496,'ECN-ECO_DATA'!B:V,19,FALSE)=0/1/1900,"",VLOOKUP(A496,'ECN-ECO_DATA'!B:V,19,FALSE))),"")</f>
        <v/>
      </c>
      <c r="O496" s="9" t="str">
        <f>IFERROR((IF(VLOOKUP(A496,'ECN-ECO_DATA'!B:V,20,FALSE)=0/1/1900,"",VLOOKUP(A496,'ECN-ECO_DATA'!B:V,20,FALSE))),"")</f>
        <v/>
      </c>
      <c r="P496" s="9" t="str">
        <f>IFERROR((IF(VLOOKUP(A496,'ECN-ECO_DATA'!B:V,21,FALSE)=0/1/1900,"",VLOOKUP(A496,'ECN-ECO_DATA'!B:V,21,FALSE))),"")</f>
        <v/>
      </c>
      <c r="Q496" s="10" t="str">
        <f t="shared" ca="1" si="35"/>
        <v/>
      </c>
      <c r="R496" s="4" t="str">
        <f t="shared" si="36"/>
        <v/>
      </c>
      <c r="S496" s="4" t="str">
        <f t="shared" si="37"/>
        <v/>
      </c>
      <c r="T496" s="4" t="str">
        <f t="shared" si="38"/>
        <v/>
      </c>
      <c r="U496" s="10" t="str">
        <f t="shared" si="39"/>
        <v/>
      </c>
      <c r="V496" s="4"/>
    </row>
    <row r="497" spans="2:22" x14ac:dyDescent="0.25">
      <c r="B497" s="4" t="str">
        <f>IFERROR(VLOOKUP(A497,'ECN-ECO_DATA'!B:G,4,FALSE),"")</f>
        <v/>
      </c>
      <c r="C497" s="9" t="str">
        <f>IFERROR(VLOOKUP(A497,'ECN-ECO_DATA'!B:G,5,FALSE),"")</f>
        <v/>
      </c>
      <c r="D497" s="9" t="str">
        <f ca="1">IFERROR((IF(VLOOKUP(A497,'ECN-ECO_DATA'!B:G,6,FALSE)=0/1/1900,TODAY(),VLOOKUP(A497,'ECN-ECO_DATA'!B:G,6,FALSE))),"")</f>
        <v/>
      </c>
      <c r="E497" s="9" t="str">
        <f>IFERROR((IF(VLOOKUP(A497,'ECN-ECO_DATA'!B:G,6,FALSE)=0/1/1900,"",VLOOKUP(A497,'ECN-ECO_DATA'!B:G,6,FALSE))),"")</f>
        <v/>
      </c>
      <c r="F497" s="9" t="str">
        <f>IFERROR((IF(VLOOKUP(A497,'ECN-ECO_DATA'!B:J,7,FALSE)=0/1/1900,"",VLOOKUP(A497,'ECN-ECO_DATA'!B:J,7,FALSE))),"")</f>
        <v/>
      </c>
      <c r="G497" s="9" t="str">
        <f>IFERROR((IF(VLOOKUP(A497,'ECN-ECO_DATA'!B:J,8,FALSE)=0/1/1900,"",VLOOKUP(A497,'ECN-ECO_DATA'!B:J,8,FALSE))),"")</f>
        <v/>
      </c>
      <c r="H497" s="9" t="str">
        <f>IFERROR((IF(VLOOKUP(A497,'ECN-ECO_DATA'!B:J,9,FALSE)=0/1/1900,"",VLOOKUP(A497,'ECN-ECO_DATA'!B:J,9,FALSE))),"")</f>
        <v/>
      </c>
      <c r="I497" s="10" t="str">
        <f>IFERROR((IF(VLOOKUP(A497,'ECN-ECO_DATA'!B:Q,13,FALSE)="","",VLOOKUP(A497,'ECN-ECO_DATA'!B:Q,13,FALSE))),"")</f>
        <v/>
      </c>
      <c r="J497" s="10" t="str">
        <f>IFERROR((IF(VLOOKUP(A497,'ECN-ECO_DATA'!B:Q,14,FALSE)="","",VLOOKUP(A497,'ECN-ECO_DATA'!B:Q,14,FALSE))),"")</f>
        <v/>
      </c>
      <c r="K497" s="10" t="str">
        <f>IFERROR((IF(VLOOKUP(A497,'ECN-ECO_DATA'!B:Q,15,FALSE)="","",VLOOKUP(A497,'ECN-ECO_DATA'!B:Q,15,FALSE))),"")</f>
        <v/>
      </c>
      <c r="L497" s="10" t="str">
        <f>IFERROR((IF(VLOOKUP(A497,'ECN-ECO_DATA'!B:Q,16,FALSE)="","",VLOOKUP(A497,'ECN-ECO_DATA'!B:Q,16,FALSE))),"")</f>
        <v/>
      </c>
      <c r="M497" s="9" t="str">
        <f>IFERROR((IF(VLOOKUP(A497,'ECN-ECO_DATA'!B:V,18,FALSE)=0/1/1900,"",VLOOKUP(A497,'ECN-ECO_DATA'!B:V,18,FALSE))),"")</f>
        <v/>
      </c>
      <c r="N497" s="9" t="str">
        <f>IFERROR((IF(VLOOKUP(A497,'ECN-ECO_DATA'!B:V,19,FALSE)=0/1/1900,"",VLOOKUP(A497,'ECN-ECO_DATA'!B:V,19,FALSE))),"")</f>
        <v/>
      </c>
      <c r="O497" s="9" t="str">
        <f>IFERROR((IF(VLOOKUP(A497,'ECN-ECO_DATA'!B:V,20,FALSE)=0/1/1900,"",VLOOKUP(A497,'ECN-ECO_DATA'!B:V,20,FALSE))),"")</f>
        <v/>
      </c>
      <c r="P497" s="9" t="str">
        <f>IFERROR((IF(VLOOKUP(A497,'ECN-ECO_DATA'!B:V,21,FALSE)=0/1/1900,"",VLOOKUP(A497,'ECN-ECO_DATA'!B:V,21,FALSE))),"")</f>
        <v/>
      </c>
      <c r="Q497" s="10" t="str">
        <f t="shared" ca="1" si="35"/>
        <v/>
      </c>
      <c r="R497" s="4" t="str">
        <f t="shared" si="36"/>
        <v/>
      </c>
      <c r="S497" s="4" t="str">
        <f t="shared" si="37"/>
        <v/>
      </c>
      <c r="T497" s="4" t="str">
        <f t="shared" si="38"/>
        <v/>
      </c>
      <c r="U497" s="10" t="str">
        <f t="shared" si="39"/>
        <v/>
      </c>
      <c r="V497" s="4"/>
    </row>
    <row r="498" spans="2:22" x14ac:dyDescent="0.25">
      <c r="B498" s="4" t="str">
        <f>IFERROR(VLOOKUP(A498,'ECN-ECO_DATA'!B:G,4,FALSE),"")</f>
        <v/>
      </c>
      <c r="C498" s="9" t="str">
        <f>IFERROR(VLOOKUP(A498,'ECN-ECO_DATA'!B:G,5,FALSE),"")</f>
        <v/>
      </c>
      <c r="D498" s="9" t="str">
        <f ca="1">IFERROR((IF(VLOOKUP(A498,'ECN-ECO_DATA'!B:G,6,FALSE)=0/1/1900,TODAY(),VLOOKUP(A498,'ECN-ECO_DATA'!B:G,6,FALSE))),"")</f>
        <v/>
      </c>
      <c r="E498" s="9" t="str">
        <f>IFERROR((IF(VLOOKUP(A498,'ECN-ECO_DATA'!B:G,6,FALSE)=0/1/1900,"",VLOOKUP(A498,'ECN-ECO_DATA'!B:G,6,FALSE))),"")</f>
        <v/>
      </c>
      <c r="F498" s="9" t="str">
        <f>IFERROR((IF(VLOOKUP(A498,'ECN-ECO_DATA'!B:J,7,FALSE)=0/1/1900,"",VLOOKUP(A498,'ECN-ECO_DATA'!B:J,7,FALSE))),"")</f>
        <v/>
      </c>
      <c r="G498" s="9" t="str">
        <f>IFERROR((IF(VLOOKUP(A498,'ECN-ECO_DATA'!B:J,8,FALSE)=0/1/1900,"",VLOOKUP(A498,'ECN-ECO_DATA'!B:J,8,FALSE))),"")</f>
        <v/>
      </c>
      <c r="H498" s="9" t="str">
        <f>IFERROR((IF(VLOOKUP(A498,'ECN-ECO_DATA'!B:J,9,FALSE)=0/1/1900,"",VLOOKUP(A498,'ECN-ECO_DATA'!B:J,9,FALSE))),"")</f>
        <v/>
      </c>
      <c r="I498" s="10" t="str">
        <f>IFERROR((IF(VLOOKUP(A498,'ECN-ECO_DATA'!B:Q,13,FALSE)="","",VLOOKUP(A498,'ECN-ECO_DATA'!B:Q,13,FALSE))),"")</f>
        <v/>
      </c>
      <c r="J498" s="10" t="str">
        <f>IFERROR((IF(VLOOKUP(A498,'ECN-ECO_DATA'!B:Q,14,FALSE)="","",VLOOKUP(A498,'ECN-ECO_DATA'!B:Q,14,FALSE))),"")</f>
        <v/>
      </c>
      <c r="K498" s="10" t="str">
        <f>IFERROR((IF(VLOOKUP(A498,'ECN-ECO_DATA'!B:Q,15,FALSE)="","",VLOOKUP(A498,'ECN-ECO_DATA'!B:Q,15,FALSE))),"")</f>
        <v/>
      </c>
      <c r="L498" s="10" t="str">
        <f>IFERROR((IF(VLOOKUP(A498,'ECN-ECO_DATA'!B:Q,16,FALSE)="","",VLOOKUP(A498,'ECN-ECO_DATA'!B:Q,16,FALSE))),"")</f>
        <v/>
      </c>
      <c r="M498" s="9" t="str">
        <f>IFERROR((IF(VLOOKUP(A498,'ECN-ECO_DATA'!B:V,18,FALSE)=0/1/1900,"",VLOOKUP(A498,'ECN-ECO_DATA'!B:V,18,FALSE))),"")</f>
        <v/>
      </c>
      <c r="N498" s="9" t="str">
        <f>IFERROR((IF(VLOOKUP(A498,'ECN-ECO_DATA'!B:V,19,FALSE)=0/1/1900,"",VLOOKUP(A498,'ECN-ECO_DATA'!B:V,19,FALSE))),"")</f>
        <v/>
      </c>
      <c r="O498" s="9" t="str">
        <f>IFERROR((IF(VLOOKUP(A498,'ECN-ECO_DATA'!B:V,20,FALSE)=0/1/1900,"",VLOOKUP(A498,'ECN-ECO_DATA'!B:V,20,FALSE))),"")</f>
        <v/>
      </c>
      <c r="P498" s="9" t="str">
        <f>IFERROR((IF(VLOOKUP(A498,'ECN-ECO_DATA'!B:V,21,FALSE)=0/1/1900,"",VLOOKUP(A498,'ECN-ECO_DATA'!B:V,21,FALSE))),"")</f>
        <v/>
      </c>
      <c r="Q498" s="10" t="str">
        <f t="shared" ca="1" si="35"/>
        <v/>
      </c>
      <c r="R498" s="4" t="str">
        <f t="shared" si="36"/>
        <v/>
      </c>
      <c r="S498" s="4" t="str">
        <f t="shared" si="37"/>
        <v/>
      </c>
      <c r="T498" s="4" t="str">
        <f t="shared" si="38"/>
        <v/>
      </c>
      <c r="U498" s="10" t="str">
        <f t="shared" si="39"/>
        <v/>
      </c>
      <c r="V498" s="4"/>
    </row>
    <row r="499" spans="2:22" x14ac:dyDescent="0.25">
      <c r="B499" s="4" t="str">
        <f>IFERROR(VLOOKUP(A499,'ECN-ECO_DATA'!B:G,4,FALSE),"")</f>
        <v/>
      </c>
      <c r="C499" s="9" t="str">
        <f>IFERROR(VLOOKUP(A499,'ECN-ECO_DATA'!B:G,5,FALSE),"")</f>
        <v/>
      </c>
      <c r="D499" s="9" t="str">
        <f ca="1">IFERROR((IF(VLOOKUP(A499,'ECN-ECO_DATA'!B:G,6,FALSE)=0/1/1900,TODAY(),VLOOKUP(A499,'ECN-ECO_DATA'!B:G,6,FALSE))),"")</f>
        <v/>
      </c>
      <c r="E499" s="9" t="str">
        <f>IFERROR((IF(VLOOKUP(A499,'ECN-ECO_DATA'!B:G,6,FALSE)=0/1/1900,"",VLOOKUP(A499,'ECN-ECO_DATA'!B:G,6,FALSE))),"")</f>
        <v/>
      </c>
      <c r="F499" s="9" t="str">
        <f>IFERROR((IF(VLOOKUP(A499,'ECN-ECO_DATA'!B:J,7,FALSE)=0/1/1900,"",VLOOKUP(A499,'ECN-ECO_DATA'!B:J,7,FALSE))),"")</f>
        <v/>
      </c>
      <c r="G499" s="9" t="str">
        <f>IFERROR((IF(VLOOKUP(A499,'ECN-ECO_DATA'!B:J,8,FALSE)=0/1/1900,"",VLOOKUP(A499,'ECN-ECO_DATA'!B:J,8,FALSE))),"")</f>
        <v/>
      </c>
      <c r="H499" s="9" t="str">
        <f>IFERROR((IF(VLOOKUP(A499,'ECN-ECO_DATA'!B:J,9,FALSE)=0/1/1900,"",VLOOKUP(A499,'ECN-ECO_DATA'!B:J,9,FALSE))),"")</f>
        <v/>
      </c>
      <c r="I499" s="10" t="str">
        <f>IFERROR((IF(VLOOKUP(A499,'ECN-ECO_DATA'!B:Q,13,FALSE)="","",VLOOKUP(A499,'ECN-ECO_DATA'!B:Q,13,FALSE))),"")</f>
        <v/>
      </c>
      <c r="J499" s="10" t="str">
        <f>IFERROR((IF(VLOOKUP(A499,'ECN-ECO_DATA'!B:Q,14,FALSE)="","",VLOOKUP(A499,'ECN-ECO_DATA'!B:Q,14,FALSE))),"")</f>
        <v/>
      </c>
      <c r="K499" s="10" t="str">
        <f>IFERROR((IF(VLOOKUP(A499,'ECN-ECO_DATA'!B:Q,15,FALSE)="","",VLOOKUP(A499,'ECN-ECO_DATA'!B:Q,15,FALSE))),"")</f>
        <v/>
      </c>
      <c r="L499" s="10" t="str">
        <f>IFERROR((IF(VLOOKUP(A499,'ECN-ECO_DATA'!B:Q,16,FALSE)="","",VLOOKUP(A499,'ECN-ECO_DATA'!B:Q,16,FALSE))),"")</f>
        <v/>
      </c>
      <c r="M499" s="9" t="str">
        <f>IFERROR((IF(VLOOKUP(A499,'ECN-ECO_DATA'!B:V,18,FALSE)=0/1/1900,"",VLOOKUP(A499,'ECN-ECO_DATA'!B:V,18,FALSE))),"")</f>
        <v/>
      </c>
      <c r="N499" s="9" t="str">
        <f>IFERROR((IF(VLOOKUP(A499,'ECN-ECO_DATA'!B:V,19,FALSE)=0/1/1900,"",VLOOKUP(A499,'ECN-ECO_DATA'!B:V,19,FALSE))),"")</f>
        <v/>
      </c>
      <c r="O499" s="9" t="str">
        <f>IFERROR((IF(VLOOKUP(A499,'ECN-ECO_DATA'!B:V,20,FALSE)=0/1/1900,"",VLOOKUP(A499,'ECN-ECO_DATA'!B:V,20,FALSE))),"")</f>
        <v/>
      </c>
      <c r="P499" s="9" t="str">
        <f>IFERROR((IF(VLOOKUP(A499,'ECN-ECO_DATA'!B:V,21,FALSE)=0/1/1900,"",VLOOKUP(A499,'ECN-ECO_DATA'!B:V,21,FALSE))),"")</f>
        <v/>
      </c>
      <c r="Q499" s="10" t="str">
        <f t="shared" ca="1" si="35"/>
        <v/>
      </c>
      <c r="R499" s="4" t="str">
        <f t="shared" si="36"/>
        <v/>
      </c>
      <c r="S499" s="4" t="str">
        <f t="shared" si="37"/>
        <v/>
      </c>
      <c r="T499" s="4" t="str">
        <f t="shared" si="38"/>
        <v/>
      </c>
      <c r="U499" s="10" t="str">
        <f t="shared" si="39"/>
        <v/>
      </c>
      <c r="V499" s="4"/>
    </row>
    <row r="500" spans="2:22" x14ac:dyDescent="0.25">
      <c r="B500" s="4" t="str">
        <f>IFERROR(VLOOKUP(A500,'ECN-ECO_DATA'!B:G,4,FALSE),"")</f>
        <v/>
      </c>
      <c r="C500" s="9" t="str">
        <f>IFERROR(VLOOKUP(A500,'ECN-ECO_DATA'!B:G,5,FALSE),"")</f>
        <v/>
      </c>
      <c r="D500" s="9" t="str">
        <f ca="1">IFERROR((IF(VLOOKUP(A500,'ECN-ECO_DATA'!B:G,6,FALSE)=0/1/1900,TODAY(),VLOOKUP(A500,'ECN-ECO_DATA'!B:G,6,FALSE))),"")</f>
        <v/>
      </c>
      <c r="E500" s="9" t="str">
        <f>IFERROR((IF(VLOOKUP(A500,'ECN-ECO_DATA'!B:G,6,FALSE)=0/1/1900,"",VLOOKUP(A500,'ECN-ECO_DATA'!B:G,6,FALSE))),"")</f>
        <v/>
      </c>
      <c r="F500" s="9" t="str">
        <f>IFERROR((IF(VLOOKUP(A500,'ECN-ECO_DATA'!B:J,7,FALSE)=0/1/1900,"",VLOOKUP(A500,'ECN-ECO_DATA'!B:J,7,FALSE))),"")</f>
        <v/>
      </c>
      <c r="G500" s="9" t="str">
        <f>IFERROR((IF(VLOOKUP(A500,'ECN-ECO_DATA'!B:J,8,FALSE)=0/1/1900,"",VLOOKUP(A500,'ECN-ECO_DATA'!B:J,8,FALSE))),"")</f>
        <v/>
      </c>
      <c r="H500" s="9" t="str">
        <f>IFERROR((IF(VLOOKUP(A500,'ECN-ECO_DATA'!B:J,9,FALSE)=0/1/1900,"",VLOOKUP(A500,'ECN-ECO_DATA'!B:J,9,FALSE))),"")</f>
        <v/>
      </c>
      <c r="I500" s="10" t="str">
        <f>IFERROR((IF(VLOOKUP(A500,'ECN-ECO_DATA'!B:Q,13,FALSE)="","",VLOOKUP(A500,'ECN-ECO_DATA'!B:Q,13,FALSE))),"")</f>
        <v/>
      </c>
      <c r="J500" s="10" t="str">
        <f>IFERROR((IF(VLOOKUP(A500,'ECN-ECO_DATA'!B:Q,14,FALSE)="","",VLOOKUP(A500,'ECN-ECO_DATA'!B:Q,14,FALSE))),"")</f>
        <v/>
      </c>
      <c r="K500" s="10" t="str">
        <f>IFERROR((IF(VLOOKUP(A500,'ECN-ECO_DATA'!B:Q,15,FALSE)="","",VLOOKUP(A500,'ECN-ECO_DATA'!B:Q,15,FALSE))),"")</f>
        <v/>
      </c>
      <c r="L500" s="10" t="str">
        <f>IFERROR((IF(VLOOKUP(A500,'ECN-ECO_DATA'!B:Q,16,FALSE)="","",VLOOKUP(A500,'ECN-ECO_DATA'!B:Q,16,FALSE))),"")</f>
        <v/>
      </c>
      <c r="M500" s="9" t="str">
        <f>IFERROR((IF(VLOOKUP(A500,'ECN-ECO_DATA'!B:V,18,FALSE)=0/1/1900,"",VLOOKUP(A500,'ECN-ECO_DATA'!B:V,18,FALSE))),"")</f>
        <v/>
      </c>
      <c r="N500" s="9" t="str">
        <f>IFERROR((IF(VLOOKUP(A500,'ECN-ECO_DATA'!B:V,19,FALSE)=0/1/1900,"",VLOOKUP(A500,'ECN-ECO_DATA'!B:V,19,FALSE))),"")</f>
        <v/>
      </c>
      <c r="O500" s="9" t="str">
        <f>IFERROR((IF(VLOOKUP(A500,'ECN-ECO_DATA'!B:V,20,FALSE)=0/1/1900,"",VLOOKUP(A500,'ECN-ECO_DATA'!B:V,20,FALSE))),"")</f>
        <v/>
      </c>
      <c r="P500" s="9" t="str">
        <f>IFERROR((IF(VLOOKUP(A500,'ECN-ECO_DATA'!B:V,21,FALSE)=0/1/1900,"",VLOOKUP(A500,'ECN-ECO_DATA'!B:V,21,FALSE))),"")</f>
        <v/>
      </c>
      <c r="Q500" s="10" t="str">
        <f t="shared" ca="1" si="35"/>
        <v/>
      </c>
      <c r="R500" s="4" t="str">
        <f t="shared" si="36"/>
        <v/>
      </c>
      <c r="S500" s="4" t="str">
        <f t="shared" si="37"/>
        <v/>
      </c>
      <c r="T500" s="4" t="str">
        <f t="shared" si="38"/>
        <v/>
      </c>
      <c r="U500" s="10" t="str">
        <f t="shared" si="39"/>
        <v/>
      </c>
      <c r="V500" s="4"/>
    </row>
    <row r="501" spans="2:22" x14ac:dyDescent="0.25">
      <c r="B501" s="4" t="str">
        <f>IFERROR(VLOOKUP(A501,'ECN-ECO_DATA'!B:G,4,FALSE),"")</f>
        <v/>
      </c>
      <c r="C501" s="9" t="str">
        <f>IFERROR(VLOOKUP(A501,'ECN-ECO_DATA'!B:G,5,FALSE),"")</f>
        <v/>
      </c>
      <c r="D501" s="9" t="str">
        <f ca="1">IFERROR((IF(VLOOKUP(A501,'ECN-ECO_DATA'!B:G,6,FALSE)=0/1/1900,TODAY(),VLOOKUP(A501,'ECN-ECO_DATA'!B:G,6,FALSE))),"")</f>
        <v/>
      </c>
      <c r="E501" s="9" t="str">
        <f>IFERROR((IF(VLOOKUP(A501,'ECN-ECO_DATA'!B:G,6,FALSE)=0/1/1900,"",VLOOKUP(A501,'ECN-ECO_DATA'!B:G,6,FALSE))),"")</f>
        <v/>
      </c>
      <c r="F501" s="9" t="str">
        <f>IFERROR((IF(VLOOKUP(A501,'ECN-ECO_DATA'!B:J,7,FALSE)=0/1/1900,"",VLOOKUP(A501,'ECN-ECO_DATA'!B:J,7,FALSE))),"")</f>
        <v/>
      </c>
      <c r="G501" s="9" t="str">
        <f>IFERROR((IF(VLOOKUP(A501,'ECN-ECO_DATA'!B:J,8,FALSE)=0/1/1900,"",VLOOKUP(A501,'ECN-ECO_DATA'!B:J,8,FALSE))),"")</f>
        <v/>
      </c>
      <c r="H501" s="9" t="str">
        <f>IFERROR((IF(VLOOKUP(A501,'ECN-ECO_DATA'!B:J,9,FALSE)=0/1/1900,"",VLOOKUP(A501,'ECN-ECO_DATA'!B:J,9,FALSE))),"")</f>
        <v/>
      </c>
      <c r="I501" s="10" t="str">
        <f>IFERROR((IF(VLOOKUP(A501,'ECN-ECO_DATA'!B:Q,13,FALSE)="","",VLOOKUP(A501,'ECN-ECO_DATA'!B:Q,13,FALSE))),"")</f>
        <v/>
      </c>
      <c r="J501" s="10" t="str">
        <f>IFERROR((IF(VLOOKUP(A501,'ECN-ECO_DATA'!B:Q,14,FALSE)="","",VLOOKUP(A501,'ECN-ECO_DATA'!B:Q,14,FALSE))),"")</f>
        <v/>
      </c>
      <c r="K501" s="10" t="str">
        <f>IFERROR((IF(VLOOKUP(A501,'ECN-ECO_DATA'!B:Q,15,FALSE)="","",VLOOKUP(A501,'ECN-ECO_DATA'!B:Q,15,FALSE))),"")</f>
        <v/>
      </c>
      <c r="L501" s="10" t="str">
        <f>IFERROR((IF(VLOOKUP(A501,'ECN-ECO_DATA'!B:Q,16,FALSE)="","",VLOOKUP(A501,'ECN-ECO_DATA'!B:Q,16,FALSE))),"")</f>
        <v/>
      </c>
      <c r="M501" s="9" t="str">
        <f>IFERROR((IF(VLOOKUP(A501,'ECN-ECO_DATA'!B:V,18,FALSE)=0/1/1900,"",VLOOKUP(A501,'ECN-ECO_DATA'!B:V,18,FALSE))),"")</f>
        <v/>
      </c>
      <c r="N501" s="9" t="str">
        <f>IFERROR((IF(VLOOKUP(A501,'ECN-ECO_DATA'!B:V,19,FALSE)=0/1/1900,"",VLOOKUP(A501,'ECN-ECO_DATA'!B:V,19,FALSE))),"")</f>
        <v/>
      </c>
      <c r="O501" s="9" t="str">
        <f>IFERROR((IF(VLOOKUP(A501,'ECN-ECO_DATA'!B:V,20,FALSE)=0/1/1900,"",VLOOKUP(A501,'ECN-ECO_DATA'!B:V,20,FALSE))),"")</f>
        <v/>
      </c>
      <c r="P501" s="9" t="str">
        <f>IFERROR((IF(VLOOKUP(A501,'ECN-ECO_DATA'!B:V,21,FALSE)=0/1/1900,"",VLOOKUP(A501,'ECN-ECO_DATA'!B:V,21,FALSE))),"")</f>
        <v/>
      </c>
      <c r="Q501" s="10" t="str">
        <f t="shared" ca="1" si="35"/>
        <v/>
      </c>
      <c r="R501" s="4" t="str">
        <f t="shared" si="36"/>
        <v/>
      </c>
      <c r="S501" s="4" t="str">
        <f t="shared" si="37"/>
        <v/>
      </c>
      <c r="T501" s="4" t="str">
        <f t="shared" si="38"/>
        <v/>
      </c>
      <c r="U501" s="10" t="str">
        <f t="shared" si="39"/>
        <v/>
      </c>
      <c r="V501" s="4"/>
    </row>
    <row r="502" spans="2:22" x14ac:dyDescent="0.25">
      <c r="B502" s="4" t="str">
        <f>IFERROR(VLOOKUP(A502,'ECN-ECO_DATA'!B:G,4,FALSE),"")</f>
        <v/>
      </c>
      <c r="C502" s="9" t="str">
        <f>IFERROR(VLOOKUP(A502,'ECN-ECO_DATA'!B:G,5,FALSE),"")</f>
        <v/>
      </c>
      <c r="D502" s="9" t="str">
        <f ca="1">IFERROR((IF(VLOOKUP(A502,'ECN-ECO_DATA'!B:G,6,FALSE)=0/1/1900,TODAY(),VLOOKUP(A502,'ECN-ECO_DATA'!B:G,6,FALSE))),"")</f>
        <v/>
      </c>
      <c r="E502" s="9" t="str">
        <f>IFERROR((IF(VLOOKUP(A502,'ECN-ECO_DATA'!B:G,6,FALSE)=0/1/1900,"",VLOOKUP(A502,'ECN-ECO_DATA'!B:G,6,FALSE))),"")</f>
        <v/>
      </c>
      <c r="F502" s="9" t="str">
        <f>IFERROR((IF(VLOOKUP(A502,'ECN-ECO_DATA'!B:J,7,FALSE)=0/1/1900,"",VLOOKUP(A502,'ECN-ECO_DATA'!B:J,7,FALSE))),"")</f>
        <v/>
      </c>
      <c r="G502" s="9" t="str">
        <f>IFERROR((IF(VLOOKUP(A502,'ECN-ECO_DATA'!B:J,8,FALSE)=0/1/1900,"",VLOOKUP(A502,'ECN-ECO_DATA'!B:J,8,FALSE))),"")</f>
        <v/>
      </c>
      <c r="H502" s="9" t="str">
        <f>IFERROR((IF(VLOOKUP(A502,'ECN-ECO_DATA'!B:J,9,FALSE)=0/1/1900,"",VLOOKUP(A502,'ECN-ECO_DATA'!B:J,9,FALSE))),"")</f>
        <v/>
      </c>
      <c r="I502" s="10" t="str">
        <f>IFERROR((IF(VLOOKUP(A502,'ECN-ECO_DATA'!B:Q,13,FALSE)="","",VLOOKUP(A502,'ECN-ECO_DATA'!B:Q,13,FALSE))),"")</f>
        <v/>
      </c>
      <c r="J502" s="10" t="str">
        <f>IFERROR((IF(VLOOKUP(A502,'ECN-ECO_DATA'!B:Q,14,FALSE)="","",VLOOKUP(A502,'ECN-ECO_DATA'!B:Q,14,FALSE))),"")</f>
        <v/>
      </c>
      <c r="K502" s="10" t="str">
        <f>IFERROR((IF(VLOOKUP(A502,'ECN-ECO_DATA'!B:Q,15,FALSE)="","",VLOOKUP(A502,'ECN-ECO_DATA'!B:Q,15,FALSE))),"")</f>
        <v/>
      </c>
      <c r="L502" s="10" t="str">
        <f>IFERROR((IF(VLOOKUP(A502,'ECN-ECO_DATA'!B:Q,16,FALSE)="","",VLOOKUP(A502,'ECN-ECO_DATA'!B:Q,16,FALSE))),"")</f>
        <v/>
      </c>
      <c r="M502" s="9" t="str">
        <f>IFERROR((IF(VLOOKUP(A502,'ECN-ECO_DATA'!B:V,18,FALSE)=0/1/1900,"",VLOOKUP(A502,'ECN-ECO_DATA'!B:V,18,FALSE))),"")</f>
        <v/>
      </c>
      <c r="N502" s="9" t="str">
        <f>IFERROR((IF(VLOOKUP(A502,'ECN-ECO_DATA'!B:V,19,FALSE)=0/1/1900,"",VLOOKUP(A502,'ECN-ECO_DATA'!B:V,19,FALSE))),"")</f>
        <v/>
      </c>
      <c r="O502" s="9" t="str">
        <f>IFERROR((IF(VLOOKUP(A502,'ECN-ECO_DATA'!B:V,20,FALSE)=0/1/1900,"",VLOOKUP(A502,'ECN-ECO_DATA'!B:V,20,FALSE))),"")</f>
        <v/>
      </c>
      <c r="P502" s="9" t="str">
        <f>IFERROR((IF(VLOOKUP(A502,'ECN-ECO_DATA'!B:V,21,FALSE)=0/1/1900,"",VLOOKUP(A502,'ECN-ECO_DATA'!B:V,21,FALSE))),"")</f>
        <v/>
      </c>
      <c r="Q502" s="10" t="str">
        <f t="shared" ca="1" si="35"/>
        <v/>
      </c>
      <c r="R502" s="4" t="str">
        <f t="shared" si="36"/>
        <v/>
      </c>
      <c r="S502" s="4" t="str">
        <f t="shared" si="37"/>
        <v/>
      </c>
      <c r="T502" s="4" t="str">
        <f t="shared" si="38"/>
        <v/>
      </c>
      <c r="U502" s="10" t="str">
        <f t="shared" si="39"/>
        <v/>
      </c>
      <c r="V502" s="4"/>
    </row>
    <row r="503" spans="2:22" x14ac:dyDescent="0.25">
      <c r="B503" s="4" t="str">
        <f>IFERROR(VLOOKUP(A503,'ECN-ECO_DATA'!B:G,4,FALSE),"")</f>
        <v/>
      </c>
      <c r="C503" s="9" t="str">
        <f>IFERROR(VLOOKUP(A503,'ECN-ECO_DATA'!B:G,5,FALSE),"")</f>
        <v/>
      </c>
      <c r="D503" s="9" t="str">
        <f ca="1">IFERROR((IF(VLOOKUP(A503,'ECN-ECO_DATA'!B:G,6,FALSE)=0/1/1900,TODAY(),VLOOKUP(A503,'ECN-ECO_DATA'!B:G,6,FALSE))),"")</f>
        <v/>
      </c>
      <c r="E503" s="9" t="str">
        <f>IFERROR((IF(VLOOKUP(A503,'ECN-ECO_DATA'!B:G,6,FALSE)=0/1/1900,"",VLOOKUP(A503,'ECN-ECO_DATA'!B:G,6,FALSE))),"")</f>
        <v/>
      </c>
      <c r="F503" s="9" t="str">
        <f>IFERROR((IF(VLOOKUP(A503,'ECN-ECO_DATA'!B:J,7,FALSE)=0/1/1900,"",VLOOKUP(A503,'ECN-ECO_DATA'!B:J,7,FALSE))),"")</f>
        <v/>
      </c>
      <c r="G503" s="9" t="str">
        <f>IFERROR((IF(VLOOKUP(A503,'ECN-ECO_DATA'!B:J,8,FALSE)=0/1/1900,"",VLOOKUP(A503,'ECN-ECO_DATA'!B:J,8,FALSE))),"")</f>
        <v/>
      </c>
      <c r="H503" s="9" t="str">
        <f>IFERROR((IF(VLOOKUP(A503,'ECN-ECO_DATA'!B:J,9,FALSE)=0/1/1900,"",VLOOKUP(A503,'ECN-ECO_DATA'!B:J,9,FALSE))),"")</f>
        <v/>
      </c>
      <c r="I503" s="10" t="str">
        <f>IFERROR((IF(VLOOKUP(A503,'ECN-ECO_DATA'!B:Q,13,FALSE)="","",VLOOKUP(A503,'ECN-ECO_DATA'!B:Q,13,FALSE))),"")</f>
        <v/>
      </c>
      <c r="J503" s="10" t="str">
        <f>IFERROR((IF(VLOOKUP(A503,'ECN-ECO_DATA'!B:Q,14,FALSE)="","",VLOOKUP(A503,'ECN-ECO_DATA'!B:Q,14,FALSE))),"")</f>
        <v/>
      </c>
      <c r="K503" s="10" t="str">
        <f>IFERROR((IF(VLOOKUP(A503,'ECN-ECO_DATA'!B:Q,15,FALSE)="","",VLOOKUP(A503,'ECN-ECO_DATA'!B:Q,15,FALSE))),"")</f>
        <v/>
      </c>
      <c r="L503" s="10" t="str">
        <f>IFERROR((IF(VLOOKUP(A503,'ECN-ECO_DATA'!B:Q,16,FALSE)="","",VLOOKUP(A503,'ECN-ECO_DATA'!B:Q,16,FALSE))),"")</f>
        <v/>
      </c>
      <c r="M503" s="9" t="str">
        <f>IFERROR((IF(VLOOKUP(A503,'ECN-ECO_DATA'!B:V,18,FALSE)=0/1/1900,"",VLOOKUP(A503,'ECN-ECO_DATA'!B:V,18,FALSE))),"")</f>
        <v/>
      </c>
      <c r="N503" s="9" t="str">
        <f>IFERROR((IF(VLOOKUP(A503,'ECN-ECO_DATA'!B:V,19,FALSE)=0/1/1900,"",VLOOKUP(A503,'ECN-ECO_DATA'!B:V,19,FALSE))),"")</f>
        <v/>
      </c>
      <c r="O503" s="9" t="str">
        <f>IFERROR((IF(VLOOKUP(A503,'ECN-ECO_DATA'!B:V,20,FALSE)=0/1/1900,"",VLOOKUP(A503,'ECN-ECO_DATA'!B:V,20,FALSE))),"")</f>
        <v/>
      </c>
      <c r="P503" s="9" t="str">
        <f>IFERROR((IF(VLOOKUP(A503,'ECN-ECO_DATA'!B:V,21,FALSE)=0/1/1900,"",VLOOKUP(A503,'ECN-ECO_DATA'!B:V,21,FALSE))),"")</f>
        <v/>
      </c>
      <c r="Q503" s="10" t="str">
        <f t="shared" ca="1" si="35"/>
        <v/>
      </c>
      <c r="R503" s="4" t="str">
        <f t="shared" si="36"/>
        <v/>
      </c>
      <c r="S503" s="4" t="str">
        <f t="shared" si="37"/>
        <v/>
      </c>
      <c r="T503" s="4" t="str">
        <f t="shared" si="38"/>
        <v/>
      </c>
      <c r="U503" s="10" t="str">
        <f t="shared" si="39"/>
        <v/>
      </c>
      <c r="V503" s="4"/>
    </row>
    <row r="504" spans="2:22" x14ac:dyDescent="0.25">
      <c r="B504" s="4" t="str">
        <f>IFERROR(VLOOKUP(A504,'ECN-ECO_DATA'!B:G,4,FALSE),"")</f>
        <v/>
      </c>
      <c r="C504" s="9" t="str">
        <f>IFERROR(VLOOKUP(A504,'ECN-ECO_DATA'!B:G,5,FALSE),"")</f>
        <v/>
      </c>
      <c r="D504" s="9" t="str">
        <f ca="1">IFERROR((IF(VLOOKUP(A504,'ECN-ECO_DATA'!B:G,6,FALSE)=0/1/1900,TODAY(),VLOOKUP(A504,'ECN-ECO_DATA'!B:G,6,FALSE))),"")</f>
        <v/>
      </c>
      <c r="E504" s="9" t="str">
        <f>IFERROR((IF(VLOOKUP(A504,'ECN-ECO_DATA'!B:G,6,FALSE)=0/1/1900,"",VLOOKUP(A504,'ECN-ECO_DATA'!B:G,6,FALSE))),"")</f>
        <v/>
      </c>
      <c r="F504" s="9" t="str">
        <f>IFERROR((IF(VLOOKUP(A504,'ECN-ECO_DATA'!B:J,7,FALSE)=0/1/1900,"",VLOOKUP(A504,'ECN-ECO_DATA'!B:J,7,FALSE))),"")</f>
        <v/>
      </c>
      <c r="G504" s="9" t="str">
        <f>IFERROR((IF(VLOOKUP(A504,'ECN-ECO_DATA'!B:J,8,FALSE)=0/1/1900,"",VLOOKUP(A504,'ECN-ECO_DATA'!B:J,8,FALSE))),"")</f>
        <v/>
      </c>
      <c r="H504" s="9" t="str">
        <f>IFERROR((IF(VLOOKUP(A504,'ECN-ECO_DATA'!B:J,9,FALSE)=0/1/1900,"",VLOOKUP(A504,'ECN-ECO_DATA'!B:J,9,FALSE))),"")</f>
        <v/>
      </c>
      <c r="I504" s="10" t="str">
        <f>IFERROR((IF(VLOOKUP(A504,'ECN-ECO_DATA'!B:Q,13,FALSE)="","",VLOOKUP(A504,'ECN-ECO_DATA'!B:Q,13,FALSE))),"")</f>
        <v/>
      </c>
      <c r="J504" s="10" t="str">
        <f>IFERROR((IF(VLOOKUP(A504,'ECN-ECO_DATA'!B:Q,14,FALSE)="","",VLOOKUP(A504,'ECN-ECO_DATA'!B:Q,14,FALSE))),"")</f>
        <v/>
      </c>
      <c r="K504" s="10" t="str">
        <f>IFERROR((IF(VLOOKUP(A504,'ECN-ECO_DATA'!B:Q,15,FALSE)="","",VLOOKUP(A504,'ECN-ECO_DATA'!B:Q,15,FALSE))),"")</f>
        <v/>
      </c>
      <c r="L504" s="10" t="str">
        <f>IFERROR((IF(VLOOKUP(A504,'ECN-ECO_DATA'!B:Q,16,FALSE)="","",VLOOKUP(A504,'ECN-ECO_DATA'!B:Q,16,FALSE))),"")</f>
        <v/>
      </c>
      <c r="M504" s="9" t="str">
        <f>IFERROR((IF(VLOOKUP(A504,'ECN-ECO_DATA'!B:V,18,FALSE)=0/1/1900,"",VLOOKUP(A504,'ECN-ECO_DATA'!B:V,18,FALSE))),"")</f>
        <v/>
      </c>
      <c r="N504" s="9" t="str">
        <f>IFERROR((IF(VLOOKUP(A504,'ECN-ECO_DATA'!B:V,19,FALSE)=0/1/1900,"",VLOOKUP(A504,'ECN-ECO_DATA'!B:V,19,FALSE))),"")</f>
        <v/>
      </c>
      <c r="O504" s="9" t="str">
        <f>IFERROR((IF(VLOOKUP(A504,'ECN-ECO_DATA'!B:V,20,FALSE)=0/1/1900,"",VLOOKUP(A504,'ECN-ECO_DATA'!B:V,20,FALSE))),"")</f>
        <v/>
      </c>
      <c r="P504" s="9" t="str">
        <f>IFERROR((IF(VLOOKUP(A504,'ECN-ECO_DATA'!B:V,21,FALSE)=0/1/1900,"",VLOOKUP(A504,'ECN-ECO_DATA'!B:V,21,FALSE))),"")</f>
        <v/>
      </c>
      <c r="Q504" s="10" t="str">
        <f t="shared" ca="1" si="35"/>
        <v/>
      </c>
      <c r="R504" s="4" t="str">
        <f t="shared" si="36"/>
        <v/>
      </c>
      <c r="S504" s="4" t="str">
        <f t="shared" si="37"/>
        <v/>
      </c>
      <c r="T504" s="4" t="str">
        <f t="shared" si="38"/>
        <v/>
      </c>
      <c r="U504" s="10" t="str">
        <f t="shared" si="39"/>
        <v/>
      </c>
      <c r="V504" s="4"/>
    </row>
    <row r="505" spans="2:22" x14ac:dyDescent="0.25">
      <c r="B505" s="4" t="str">
        <f>IFERROR(VLOOKUP(A505,'ECN-ECO_DATA'!B:G,4,FALSE),"")</f>
        <v/>
      </c>
      <c r="C505" s="9" t="str">
        <f>IFERROR(VLOOKUP(A505,'ECN-ECO_DATA'!B:G,5,FALSE),"")</f>
        <v/>
      </c>
      <c r="D505" s="9" t="str">
        <f ca="1">IFERROR((IF(VLOOKUP(A505,'ECN-ECO_DATA'!B:G,6,FALSE)=0/1/1900,TODAY(),VLOOKUP(A505,'ECN-ECO_DATA'!B:G,6,FALSE))),"")</f>
        <v/>
      </c>
      <c r="E505" s="9" t="str">
        <f>IFERROR((IF(VLOOKUP(A505,'ECN-ECO_DATA'!B:G,6,FALSE)=0/1/1900,"",VLOOKUP(A505,'ECN-ECO_DATA'!B:G,6,FALSE))),"")</f>
        <v/>
      </c>
      <c r="F505" s="9" t="str">
        <f>IFERROR((IF(VLOOKUP(A505,'ECN-ECO_DATA'!B:J,7,FALSE)=0/1/1900,"",VLOOKUP(A505,'ECN-ECO_DATA'!B:J,7,FALSE))),"")</f>
        <v/>
      </c>
      <c r="G505" s="9" t="str">
        <f>IFERROR((IF(VLOOKUP(A505,'ECN-ECO_DATA'!B:J,8,FALSE)=0/1/1900,"",VLOOKUP(A505,'ECN-ECO_DATA'!B:J,8,FALSE))),"")</f>
        <v/>
      </c>
      <c r="H505" s="9" t="str">
        <f>IFERROR((IF(VLOOKUP(A505,'ECN-ECO_DATA'!B:J,9,FALSE)=0/1/1900,"",VLOOKUP(A505,'ECN-ECO_DATA'!B:J,9,FALSE))),"")</f>
        <v/>
      </c>
      <c r="I505" s="10" t="str">
        <f>IFERROR((IF(VLOOKUP(A505,'ECN-ECO_DATA'!B:Q,13,FALSE)="","",VLOOKUP(A505,'ECN-ECO_DATA'!B:Q,13,FALSE))),"")</f>
        <v/>
      </c>
      <c r="J505" s="10" t="str">
        <f>IFERROR((IF(VLOOKUP(A505,'ECN-ECO_DATA'!B:Q,14,FALSE)="","",VLOOKUP(A505,'ECN-ECO_DATA'!B:Q,14,FALSE))),"")</f>
        <v/>
      </c>
      <c r="K505" s="10" t="str">
        <f>IFERROR((IF(VLOOKUP(A505,'ECN-ECO_DATA'!B:Q,15,FALSE)="","",VLOOKUP(A505,'ECN-ECO_DATA'!B:Q,15,FALSE))),"")</f>
        <v/>
      </c>
      <c r="L505" s="10" t="str">
        <f>IFERROR((IF(VLOOKUP(A505,'ECN-ECO_DATA'!B:Q,16,FALSE)="","",VLOOKUP(A505,'ECN-ECO_DATA'!B:Q,16,FALSE))),"")</f>
        <v/>
      </c>
      <c r="M505" s="9" t="str">
        <f>IFERROR((IF(VLOOKUP(A505,'ECN-ECO_DATA'!B:V,18,FALSE)=0/1/1900,"",VLOOKUP(A505,'ECN-ECO_DATA'!B:V,18,FALSE))),"")</f>
        <v/>
      </c>
      <c r="N505" s="9" t="str">
        <f>IFERROR((IF(VLOOKUP(A505,'ECN-ECO_DATA'!B:V,19,FALSE)=0/1/1900,"",VLOOKUP(A505,'ECN-ECO_DATA'!B:V,19,FALSE))),"")</f>
        <v/>
      </c>
      <c r="O505" s="9" t="str">
        <f>IFERROR((IF(VLOOKUP(A505,'ECN-ECO_DATA'!B:V,20,FALSE)=0/1/1900,"",VLOOKUP(A505,'ECN-ECO_DATA'!B:V,20,FALSE))),"")</f>
        <v/>
      </c>
      <c r="P505" s="9" t="str">
        <f>IFERROR((IF(VLOOKUP(A505,'ECN-ECO_DATA'!B:V,21,FALSE)=0/1/1900,"",VLOOKUP(A505,'ECN-ECO_DATA'!B:V,21,FALSE))),"")</f>
        <v/>
      </c>
      <c r="Q505" s="10" t="str">
        <f t="shared" ca="1" si="35"/>
        <v/>
      </c>
      <c r="R505" s="4" t="str">
        <f t="shared" si="36"/>
        <v/>
      </c>
      <c r="S505" s="4" t="str">
        <f t="shared" si="37"/>
        <v/>
      </c>
      <c r="T505" s="4" t="str">
        <f t="shared" si="38"/>
        <v/>
      </c>
      <c r="U505" s="10" t="str">
        <f t="shared" si="39"/>
        <v/>
      </c>
      <c r="V505" s="4"/>
    </row>
    <row r="506" spans="2:22" x14ac:dyDescent="0.25">
      <c r="B506" s="4" t="str">
        <f>IFERROR(VLOOKUP(A506,'ECN-ECO_DATA'!B:G,4,FALSE),"")</f>
        <v/>
      </c>
      <c r="C506" s="9" t="str">
        <f>IFERROR(VLOOKUP(A506,'ECN-ECO_DATA'!B:G,5,FALSE),"")</f>
        <v/>
      </c>
      <c r="D506" s="9" t="str">
        <f ca="1">IFERROR((IF(VLOOKUP(A506,'ECN-ECO_DATA'!B:G,6,FALSE)=0/1/1900,TODAY(),VLOOKUP(A506,'ECN-ECO_DATA'!B:G,6,FALSE))),"")</f>
        <v/>
      </c>
      <c r="E506" s="9" t="str">
        <f>IFERROR((IF(VLOOKUP(A506,'ECN-ECO_DATA'!B:G,6,FALSE)=0/1/1900,"",VLOOKUP(A506,'ECN-ECO_DATA'!B:G,6,FALSE))),"")</f>
        <v/>
      </c>
      <c r="F506" s="9" t="str">
        <f>IFERROR((IF(VLOOKUP(A506,'ECN-ECO_DATA'!B:J,7,FALSE)=0/1/1900,"",VLOOKUP(A506,'ECN-ECO_DATA'!B:J,7,FALSE))),"")</f>
        <v/>
      </c>
      <c r="G506" s="9" t="str">
        <f>IFERROR((IF(VLOOKUP(A506,'ECN-ECO_DATA'!B:J,8,FALSE)=0/1/1900,"",VLOOKUP(A506,'ECN-ECO_DATA'!B:J,8,FALSE))),"")</f>
        <v/>
      </c>
      <c r="H506" s="9" t="str">
        <f>IFERROR((IF(VLOOKUP(A506,'ECN-ECO_DATA'!B:J,9,FALSE)=0/1/1900,"",VLOOKUP(A506,'ECN-ECO_DATA'!B:J,9,FALSE))),"")</f>
        <v/>
      </c>
      <c r="I506" s="10" t="str">
        <f>IFERROR((IF(VLOOKUP(A506,'ECN-ECO_DATA'!B:Q,13,FALSE)="","",VLOOKUP(A506,'ECN-ECO_DATA'!B:Q,13,FALSE))),"")</f>
        <v/>
      </c>
      <c r="J506" s="10" t="str">
        <f>IFERROR((IF(VLOOKUP(A506,'ECN-ECO_DATA'!B:Q,14,FALSE)="","",VLOOKUP(A506,'ECN-ECO_DATA'!B:Q,14,FALSE))),"")</f>
        <v/>
      </c>
      <c r="K506" s="10" t="str">
        <f>IFERROR((IF(VLOOKUP(A506,'ECN-ECO_DATA'!B:Q,15,FALSE)="","",VLOOKUP(A506,'ECN-ECO_DATA'!B:Q,15,FALSE))),"")</f>
        <v/>
      </c>
      <c r="L506" s="10" t="str">
        <f>IFERROR((IF(VLOOKUP(A506,'ECN-ECO_DATA'!B:Q,16,FALSE)="","",VLOOKUP(A506,'ECN-ECO_DATA'!B:Q,16,FALSE))),"")</f>
        <v/>
      </c>
      <c r="M506" s="9" t="str">
        <f>IFERROR((IF(VLOOKUP(A506,'ECN-ECO_DATA'!B:V,18,FALSE)=0/1/1900,"",VLOOKUP(A506,'ECN-ECO_DATA'!B:V,18,FALSE))),"")</f>
        <v/>
      </c>
      <c r="N506" s="9" t="str">
        <f>IFERROR((IF(VLOOKUP(A506,'ECN-ECO_DATA'!B:V,19,FALSE)=0/1/1900,"",VLOOKUP(A506,'ECN-ECO_DATA'!B:V,19,FALSE))),"")</f>
        <v/>
      </c>
      <c r="O506" s="9" t="str">
        <f>IFERROR((IF(VLOOKUP(A506,'ECN-ECO_DATA'!B:V,20,FALSE)=0/1/1900,"",VLOOKUP(A506,'ECN-ECO_DATA'!B:V,20,FALSE))),"")</f>
        <v/>
      </c>
      <c r="P506" s="9" t="str">
        <f>IFERROR((IF(VLOOKUP(A506,'ECN-ECO_DATA'!B:V,21,FALSE)=0/1/1900,"",VLOOKUP(A506,'ECN-ECO_DATA'!B:V,21,FALSE))),"")</f>
        <v/>
      </c>
      <c r="Q506" s="10" t="str">
        <f t="shared" ca="1" si="35"/>
        <v/>
      </c>
      <c r="R506" s="4" t="str">
        <f t="shared" si="36"/>
        <v/>
      </c>
      <c r="S506" s="4" t="str">
        <f t="shared" si="37"/>
        <v/>
      </c>
      <c r="T506" s="4" t="str">
        <f t="shared" si="38"/>
        <v/>
      </c>
      <c r="U506" s="10" t="str">
        <f t="shared" si="39"/>
        <v/>
      </c>
      <c r="V506" s="4"/>
    </row>
    <row r="507" spans="2:22" x14ac:dyDescent="0.25">
      <c r="B507" s="4" t="str">
        <f>IFERROR(VLOOKUP(A507,'ECN-ECO_DATA'!B:G,4,FALSE),"")</f>
        <v/>
      </c>
      <c r="C507" s="9" t="str">
        <f>IFERROR(VLOOKUP(A507,'ECN-ECO_DATA'!B:G,5,FALSE),"")</f>
        <v/>
      </c>
      <c r="D507" s="9" t="str">
        <f ca="1">IFERROR((IF(VLOOKUP(A507,'ECN-ECO_DATA'!B:G,6,FALSE)=0/1/1900,TODAY(),VLOOKUP(A507,'ECN-ECO_DATA'!B:G,6,FALSE))),"")</f>
        <v/>
      </c>
      <c r="E507" s="9" t="str">
        <f>IFERROR((IF(VLOOKUP(A507,'ECN-ECO_DATA'!B:G,6,FALSE)=0/1/1900,"",VLOOKUP(A507,'ECN-ECO_DATA'!B:G,6,FALSE))),"")</f>
        <v/>
      </c>
      <c r="F507" s="9" t="str">
        <f>IFERROR((IF(VLOOKUP(A507,'ECN-ECO_DATA'!B:J,7,FALSE)=0/1/1900,"",VLOOKUP(A507,'ECN-ECO_DATA'!B:J,7,FALSE))),"")</f>
        <v/>
      </c>
      <c r="G507" s="9" t="str">
        <f>IFERROR((IF(VLOOKUP(A507,'ECN-ECO_DATA'!B:J,8,FALSE)=0/1/1900,"",VLOOKUP(A507,'ECN-ECO_DATA'!B:J,8,FALSE))),"")</f>
        <v/>
      </c>
      <c r="H507" s="9" t="str">
        <f>IFERROR((IF(VLOOKUP(A507,'ECN-ECO_DATA'!B:J,9,FALSE)=0/1/1900,"",VLOOKUP(A507,'ECN-ECO_DATA'!B:J,9,FALSE))),"")</f>
        <v/>
      </c>
      <c r="I507" s="10" t="str">
        <f>IFERROR((IF(VLOOKUP(A507,'ECN-ECO_DATA'!B:Q,13,FALSE)="","",VLOOKUP(A507,'ECN-ECO_DATA'!B:Q,13,FALSE))),"")</f>
        <v/>
      </c>
      <c r="J507" s="10" t="str">
        <f>IFERROR((IF(VLOOKUP(A507,'ECN-ECO_DATA'!B:Q,14,FALSE)="","",VLOOKUP(A507,'ECN-ECO_DATA'!B:Q,14,FALSE))),"")</f>
        <v/>
      </c>
      <c r="K507" s="10" t="str">
        <f>IFERROR((IF(VLOOKUP(A507,'ECN-ECO_DATA'!B:Q,15,FALSE)="","",VLOOKUP(A507,'ECN-ECO_DATA'!B:Q,15,FALSE))),"")</f>
        <v/>
      </c>
      <c r="L507" s="10" t="str">
        <f>IFERROR((IF(VLOOKUP(A507,'ECN-ECO_DATA'!B:Q,16,FALSE)="","",VLOOKUP(A507,'ECN-ECO_DATA'!B:Q,16,FALSE))),"")</f>
        <v/>
      </c>
      <c r="M507" s="9" t="str">
        <f>IFERROR((IF(VLOOKUP(A507,'ECN-ECO_DATA'!B:V,18,FALSE)=0/1/1900,"",VLOOKUP(A507,'ECN-ECO_DATA'!B:V,18,FALSE))),"")</f>
        <v/>
      </c>
      <c r="N507" s="9" t="str">
        <f>IFERROR((IF(VLOOKUP(A507,'ECN-ECO_DATA'!B:V,19,FALSE)=0/1/1900,"",VLOOKUP(A507,'ECN-ECO_DATA'!B:V,19,FALSE))),"")</f>
        <v/>
      </c>
      <c r="O507" s="9" t="str">
        <f>IFERROR((IF(VLOOKUP(A507,'ECN-ECO_DATA'!B:V,20,FALSE)=0/1/1900,"",VLOOKUP(A507,'ECN-ECO_DATA'!B:V,20,FALSE))),"")</f>
        <v/>
      </c>
      <c r="P507" s="9" t="str">
        <f>IFERROR((IF(VLOOKUP(A507,'ECN-ECO_DATA'!B:V,21,FALSE)=0/1/1900,"",VLOOKUP(A507,'ECN-ECO_DATA'!B:V,21,FALSE))),"")</f>
        <v/>
      </c>
      <c r="Q507" s="10" t="str">
        <f t="shared" ca="1" si="35"/>
        <v/>
      </c>
      <c r="R507" s="4" t="str">
        <f t="shared" si="36"/>
        <v/>
      </c>
      <c r="S507" s="4" t="str">
        <f t="shared" si="37"/>
        <v/>
      </c>
      <c r="T507" s="4" t="str">
        <f t="shared" si="38"/>
        <v/>
      </c>
      <c r="U507" s="10" t="str">
        <f t="shared" si="39"/>
        <v/>
      </c>
      <c r="V507" s="4"/>
    </row>
    <row r="508" spans="2:22" x14ac:dyDescent="0.25">
      <c r="B508" s="4" t="str">
        <f>IFERROR(VLOOKUP(A508,'ECN-ECO_DATA'!B:G,4,FALSE),"")</f>
        <v/>
      </c>
      <c r="C508" s="9" t="str">
        <f>IFERROR(VLOOKUP(A508,'ECN-ECO_DATA'!B:G,5,FALSE),"")</f>
        <v/>
      </c>
      <c r="D508" s="9" t="str">
        <f ca="1">IFERROR((IF(VLOOKUP(A508,'ECN-ECO_DATA'!B:G,6,FALSE)=0/1/1900,TODAY(),VLOOKUP(A508,'ECN-ECO_DATA'!B:G,6,FALSE))),"")</f>
        <v/>
      </c>
      <c r="E508" s="9" t="str">
        <f>IFERROR((IF(VLOOKUP(A508,'ECN-ECO_DATA'!B:G,6,FALSE)=0/1/1900,"",VLOOKUP(A508,'ECN-ECO_DATA'!B:G,6,FALSE))),"")</f>
        <v/>
      </c>
      <c r="F508" s="9" t="str">
        <f>IFERROR((IF(VLOOKUP(A508,'ECN-ECO_DATA'!B:J,7,FALSE)=0/1/1900,"",VLOOKUP(A508,'ECN-ECO_DATA'!B:J,7,FALSE))),"")</f>
        <v/>
      </c>
      <c r="G508" s="9" t="str">
        <f>IFERROR((IF(VLOOKUP(A508,'ECN-ECO_DATA'!B:J,8,FALSE)=0/1/1900,"",VLOOKUP(A508,'ECN-ECO_DATA'!B:J,8,FALSE))),"")</f>
        <v/>
      </c>
      <c r="H508" s="9" t="str">
        <f>IFERROR((IF(VLOOKUP(A508,'ECN-ECO_DATA'!B:J,9,FALSE)=0/1/1900,"",VLOOKUP(A508,'ECN-ECO_DATA'!B:J,9,FALSE))),"")</f>
        <v/>
      </c>
      <c r="I508" s="10" t="str">
        <f>IFERROR((IF(VLOOKUP(A508,'ECN-ECO_DATA'!B:Q,13,FALSE)="","",VLOOKUP(A508,'ECN-ECO_DATA'!B:Q,13,FALSE))),"")</f>
        <v/>
      </c>
      <c r="J508" s="10" t="str">
        <f>IFERROR((IF(VLOOKUP(A508,'ECN-ECO_DATA'!B:Q,14,FALSE)="","",VLOOKUP(A508,'ECN-ECO_DATA'!B:Q,14,FALSE))),"")</f>
        <v/>
      </c>
      <c r="K508" s="10" t="str">
        <f>IFERROR((IF(VLOOKUP(A508,'ECN-ECO_DATA'!B:Q,15,FALSE)="","",VLOOKUP(A508,'ECN-ECO_DATA'!B:Q,15,FALSE))),"")</f>
        <v/>
      </c>
      <c r="L508" s="10" t="str">
        <f>IFERROR((IF(VLOOKUP(A508,'ECN-ECO_DATA'!B:Q,16,FALSE)="","",VLOOKUP(A508,'ECN-ECO_DATA'!B:Q,16,FALSE))),"")</f>
        <v/>
      </c>
      <c r="M508" s="9" t="str">
        <f>IFERROR((IF(VLOOKUP(A508,'ECN-ECO_DATA'!B:V,18,FALSE)=0/1/1900,"",VLOOKUP(A508,'ECN-ECO_DATA'!B:V,18,FALSE))),"")</f>
        <v/>
      </c>
      <c r="N508" s="9" t="str">
        <f>IFERROR((IF(VLOOKUP(A508,'ECN-ECO_DATA'!B:V,19,FALSE)=0/1/1900,"",VLOOKUP(A508,'ECN-ECO_DATA'!B:V,19,FALSE))),"")</f>
        <v/>
      </c>
      <c r="O508" s="9" t="str">
        <f>IFERROR((IF(VLOOKUP(A508,'ECN-ECO_DATA'!B:V,20,FALSE)=0/1/1900,"",VLOOKUP(A508,'ECN-ECO_DATA'!B:V,20,FALSE))),"")</f>
        <v/>
      </c>
      <c r="P508" s="9" t="str">
        <f>IFERROR((IF(VLOOKUP(A508,'ECN-ECO_DATA'!B:V,21,FALSE)=0/1/1900,"",VLOOKUP(A508,'ECN-ECO_DATA'!B:V,21,FALSE))),"")</f>
        <v/>
      </c>
      <c r="Q508" s="10" t="str">
        <f t="shared" ca="1" si="35"/>
        <v/>
      </c>
      <c r="R508" s="4" t="str">
        <f t="shared" si="36"/>
        <v/>
      </c>
      <c r="S508" s="4" t="str">
        <f t="shared" si="37"/>
        <v/>
      </c>
      <c r="T508" s="4" t="str">
        <f t="shared" si="38"/>
        <v/>
      </c>
      <c r="U508" s="10" t="str">
        <f t="shared" si="39"/>
        <v/>
      </c>
      <c r="V508" s="4"/>
    </row>
    <row r="509" spans="2:22" x14ac:dyDescent="0.25">
      <c r="B509" s="4" t="str">
        <f>IFERROR(VLOOKUP(A509,'ECN-ECO_DATA'!B:G,4,FALSE),"")</f>
        <v/>
      </c>
      <c r="C509" s="9" t="str">
        <f>IFERROR(VLOOKUP(A509,'ECN-ECO_DATA'!B:G,5,FALSE),"")</f>
        <v/>
      </c>
      <c r="D509" s="9" t="str">
        <f ca="1">IFERROR((IF(VLOOKUP(A509,'ECN-ECO_DATA'!B:G,6,FALSE)=0/1/1900,TODAY(),VLOOKUP(A509,'ECN-ECO_DATA'!B:G,6,FALSE))),"")</f>
        <v/>
      </c>
      <c r="E509" s="9" t="str">
        <f>IFERROR((IF(VLOOKUP(A509,'ECN-ECO_DATA'!B:G,6,FALSE)=0/1/1900,"",VLOOKUP(A509,'ECN-ECO_DATA'!B:G,6,FALSE))),"")</f>
        <v/>
      </c>
      <c r="F509" s="9" t="str">
        <f>IFERROR((IF(VLOOKUP(A509,'ECN-ECO_DATA'!B:J,7,FALSE)=0/1/1900,"",VLOOKUP(A509,'ECN-ECO_DATA'!B:J,7,FALSE))),"")</f>
        <v/>
      </c>
      <c r="G509" s="9" t="str">
        <f>IFERROR((IF(VLOOKUP(A509,'ECN-ECO_DATA'!B:J,8,FALSE)=0/1/1900,"",VLOOKUP(A509,'ECN-ECO_DATA'!B:J,8,FALSE))),"")</f>
        <v/>
      </c>
      <c r="H509" s="9" t="str">
        <f>IFERROR((IF(VLOOKUP(A509,'ECN-ECO_DATA'!B:J,9,FALSE)=0/1/1900,"",VLOOKUP(A509,'ECN-ECO_DATA'!B:J,9,FALSE))),"")</f>
        <v/>
      </c>
      <c r="I509" s="10" t="str">
        <f>IFERROR((IF(VLOOKUP(A509,'ECN-ECO_DATA'!B:Q,13,FALSE)="","",VLOOKUP(A509,'ECN-ECO_DATA'!B:Q,13,FALSE))),"")</f>
        <v/>
      </c>
      <c r="J509" s="10" t="str">
        <f>IFERROR((IF(VLOOKUP(A509,'ECN-ECO_DATA'!B:Q,14,FALSE)="","",VLOOKUP(A509,'ECN-ECO_DATA'!B:Q,14,FALSE))),"")</f>
        <v/>
      </c>
      <c r="K509" s="10" t="str">
        <f>IFERROR((IF(VLOOKUP(A509,'ECN-ECO_DATA'!B:Q,15,FALSE)="","",VLOOKUP(A509,'ECN-ECO_DATA'!B:Q,15,FALSE))),"")</f>
        <v/>
      </c>
      <c r="L509" s="10" t="str">
        <f>IFERROR((IF(VLOOKUP(A509,'ECN-ECO_DATA'!B:Q,16,FALSE)="","",VLOOKUP(A509,'ECN-ECO_DATA'!B:Q,16,FALSE))),"")</f>
        <v/>
      </c>
      <c r="M509" s="9" t="str">
        <f>IFERROR((IF(VLOOKUP(A509,'ECN-ECO_DATA'!B:V,18,FALSE)=0/1/1900,"",VLOOKUP(A509,'ECN-ECO_DATA'!B:V,18,FALSE))),"")</f>
        <v/>
      </c>
      <c r="N509" s="9" t="str">
        <f>IFERROR((IF(VLOOKUP(A509,'ECN-ECO_DATA'!B:V,19,FALSE)=0/1/1900,"",VLOOKUP(A509,'ECN-ECO_DATA'!B:V,19,FALSE))),"")</f>
        <v/>
      </c>
      <c r="O509" s="9" t="str">
        <f>IFERROR((IF(VLOOKUP(A509,'ECN-ECO_DATA'!B:V,20,FALSE)=0/1/1900,"",VLOOKUP(A509,'ECN-ECO_DATA'!B:V,20,FALSE))),"")</f>
        <v/>
      </c>
      <c r="P509" s="9" t="str">
        <f>IFERROR((IF(VLOOKUP(A509,'ECN-ECO_DATA'!B:V,21,FALSE)=0/1/1900,"",VLOOKUP(A509,'ECN-ECO_DATA'!B:V,21,FALSE))),"")</f>
        <v/>
      </c>
      <c r="Q509" s="10" t="str">
        <f t="shared" ca="1" si="35"/>
        <v/>
      </c>
      <c r="R509" s="4" t="str">
        <f t="shared" si="36"/>
        <v/>
      </c>
      <c r="S509" s="4" t="str">
        <f t="shared" si="37"/>
        <v/>
      </c>
      <c r="T509" s="4" t="str">
        <f t="shared" si="38"/>
        <v/>
      </c>
      <c r="U509" s="10" t="str">
        <f t="shared" si="39"/>
        <v/>
      </c>
      <c r="V509" s="4"/>
    </row>
    <row r="510" spans="2:22" x14ac:dyDescent="0.25">
      <c r="B510" s="4" t="str">
        <f>IFERROR(VLOOKUP(A510,'ECN-ECO_DATA'!B:G,4,FALSE),"")</f>
        <v/>
      </c>
      <c r="C510" s="9" t="str">
        <f>IFERROR(VLOOKUP(A510,'ECN-ECO_DATA'!B:G,5,FALSE),"")</f>
        <v/>
      </c>
      <c r="D510" s="9" t="str">
        <f ca="1">IFERROR((IF(VLOOKUP(A510,'ECN-ECO_DATA'!B:G,6,FALSE)=0/1/1900,TODAY(),VLOOKUP(A510,'ECN-ECO_DATA'!B:G,6,FALSE))),"")</f>
        <v/>
      </c>
      <c r="E510" s="9" t="str">
        <f>IFERROR((IF(VLOOKUP(A510,'ECN-ECO_DATA'!B:G,6,FALSE)=0/1/1900,"",VLOOKUP(A510,'ECN-ECO_DATA'!B:G,6,FALSE))),"")</f>
        <v/>
      </c>
      <c r="F510" s="9" t="str">
        <f>IFERROR((IF(VLOOKUP(A510,'ECN-ECO_DATA'!B:J,7,FALSE)=0/1/1900,"",VLOOKUP(A510,'ECN-ECO_DATA'!B:J,7,FALSE))),"")</f>
        <v/>
      </c>
      <c r="G510" s="9" t="str">
        <f>IFERROR((IF(VLOOKUP(A510,'ECN-ECO_DATA'!B:J,8,FALSE)=0/1/1900,"",VLOOKUP(A510,'ECN-ECO_DATA'!B:J,8,FALSE))),"")</f>
        <v/>
      </c>
      <c r="H510" s="9" t="str">
        <f>IFERROR((IF(VLOOKUP(A510,'ECN-ECO_DATA'!B:J,9,FALSE)=0/1/1900,"",VLOOKUP(A510,'ECN-ECO_DATA'!B:J,9,FALSE))),"")</f>
        <v/>
      </c>
      <c r="I510" s="10" t="str">
        <f>IFERROR((IF(VLOOKUP(A510,'ECN-ECO_DATA'!B:Q,13,FALSE)="","",VLOOKUP(A510,'ECN-ECO_DATA'!B:Q,13,FALSE))),"")</f>
        <v/>
      </c>
      <c r="J510" s="10" t="str">
        <f>IFERROR((IF(VLOOKUP(A510,'ECN-ECO_DATA'!B:Q,14,FALSE)="","",VLOOKUP(A510,'ECN-ECO_DATA'!B:Q,14,FALSE))),"")</f>
        <v/>
      </c>
      <c r="K510" s="10" t="str">
        <f>IFERROR((IF(VLOOKUP(A510,'ECN-ECO_DATA'!B:Q,15,FALSE)="","",VLOOKUP(A510,'ECN-ECO_DATA'!B:Q,15,FALSE))),"")</f>
        <v/>
      </c>
      <c r="L510" s="10" t="str">
        <f>IFERROR((IF(VLOOKUP(A510,'ECN-ECO_DATA'!B:Q,16,FALSE)="","",VLOOKUP(A510,'ECN-ECO_DATA'!B:Q,16,FALSE))),"")</f>
        <v/>
      </c>
      <c r="M510" s="9" t="str">
        <f>IFERROR((IF(VLOOKUP(A510,'ECN-ECO_DATA'!B:V,18,FALSE)=0/1/1900,"",VLOOKUP(A510,'ECN-ECO_DATA'!B:V,18,FALSE))),"")</f>
        <v/>
      </c>
      <c r="N510" s="9" t="str">
        <f>IFERROR((IF(VLOOKUP(A510,'ECN-ECO_DATA'!B:V,19,FALSE)=0/1/1900,"",VLOOKUP(A510,'ECN-ECO_DATA'!B:V,19,FALSE))),"")</f>
        <v/>
      </c>
      <c r="O510" s="9" t="str">
        <f>IFERROR((IF(VLOOKUP(A510,'ECN-ECO_DATA'!B:V,20,FALSE)=0/1/1900,"",VLOOKUP(A510,'ECN-ECO_DATA'!B:V,20,FALSE))),"")</f>
        <v/>
      </c>
      <c r="P510" s="9" t="str">
        <f>IFERROR((IF(VLOOKUP(A510,'ECN-ECO_DATA'!B:V,21,FALSE)=0/1/1900,"",VLOOKUP(A510,'ECN-ECO_DATA'!B:V,21,FALSE))),"")</f>
        <v/>
      </c>
      <c r="Q510" s="10" t="str">
        <f t="shared" ca="1" si="35"/>
        <v/>
      </c>
      <c r="R510" s="4" t="str">
        <f t="shared" si="36"/>
        <v/>
      </c>
      <c r="S510" s="4" t="str">
        <f t="shared" si="37"/>
        <v/>
      </c>
      <c r="T510" s="4" t="str">
        <f t="shared" si="38"/>
        <v/>
      </c>
      <c r="U510" s="10" t="str">
        <f t="shared" si="39"/>
        <v/>
      </c>
      <c r="V510" s="4"/>
    </row>
    <row r="511" spans="2:22" x14ac:dyDescent="0.25">
      <c r="B511" s="4" t="str">
        <f>IFERROR(VLOOKUP(A511,'ECN-ECO_DATA'!B:G,4,FALSE),"")</f>
        <v/>
      </c>
      <c r="C511" s="9" t="str">
        <f>IFERROR(VLOOKUP(A511,'ECN-ECO_DATA'!B:G,5,FALSE),"")</f>
        <v/>
      </c>
      <c r="D511" s="9" t="str">
        <f ca="1">IFERROR((IF(VLOOKUP(A511,'ECN-ECO_DATA'!B:G,6,FALSE)=0/1/1900,TODAY(),VLOOKUP(A511,'ECN-ECO_DATA'!B:G,6,FALSE))),"")</f>
        <v/>
      </c>
      <c r="E511" s="9" t="str">
        <f>IFERROR((IF(VLOOKUP(A511,'ECN-ECO_DATA'!B:G,6,FALSE)=0/1/1900,"",VLOOKUP(A511,'ECN-ECO_DATA'!B:G,6,FALSE))),"")</f>
        <v/>
      </c>
      <c r="F511" s="9" t="str">
        <f>IFERROR((IF(VLOOKUP(A511,'ECN-ECO_DATA'!B:J,7,FALSE)=0/1/1900,"",VLOOKUP(A511,'ECN-ECO_DATA'!B:J,7,FALSE))),"")</f>
        <v/>
      </c>
      <c r="G511" s="9" t="str">
        <f>IFERROR((IF(VLOOKUP(A511,'ECN-ECO_DATA'!B:J,8,FALSE)=0/1/1900,"",VLOOKUP(A511,'ECN-ECO_DATA'!B:J,8,FALSE))),"")</f>
        <v/>
      </c>
      <c r="H511" s="9" t="str">
        <f>IFERROR((IF(VLOOKUP(A511,'ECN-ECO_DATA'!B:J,9,FALSE)=0/1/1900,"",VLOOKUP(A511,'ECN-ECO_DATA'!B:J,9,FALSE))),"")</f>
        <v/>
      </c>
      <c r="I511" s="10" t="str">
        <f>IFERROR((IF(VLOOKUP(A511,'ECN-ECO_DATA'!B:Q,13,FALSE)="","",VLOOKUP(A511,'ECN-ECO_DATA'!B:Q,13,FALSE))),"")</f>
        <v/>
      </c>
      <c r="J511" s="10" t="str">
        <f>IFERROR((IF(VLOOKUP(A511,'ECN-ECO_DATA'!B:Q,14,FALSE)="","",VLOOKUP(A511,'ECN-ECO_DATA'!B:Q,14,FALSE))),"")</f>
        <v/>
      </c>
      <c r="K511" s="10" t="str">
        <f>IFERROR((IF(VLOOKUP(A511,'ECN-ECO_DATA'!B:Q,15,FALSE)="","",VLOOKUP(A511,'ECN-ECO_DATA'!B:Q,15,FALSE))),"")</f>
        <v/>
      </c>
      <c r="L511" s="10" t="str">
        <f>IFERROR((IF(VLOOKUP(A511,'ECN-ECO_DATA'!B:Q,16,FALSE)="","",VLOOKUP(A511,'ECN-ECO_DATA'!B:Q,16,FALSE))),"")</f>
        <v/>
      </c>
      <c r="M511" s="9" t="str">
        <f>IFERROR((IF(VLOOKUP(A511,'ECN-ECO_DATA'!B:V,18,FALSE)=0/1/1900,"",VLOOKUP(A511,'ECN-ECO_DATA'!B:V,18,FALSE))),"")</f>
        <v/>
      </c>
      <c r="N511" s="9" t="str">
        <f>IFERROR((IF(VLOOKUP(A511,'ECN-ECO_DATA'!B:V,19,FALSE)=0/1/1900,"",VLOOKUP(A511,'ECN-ECO_DATA'!B:V,19,FALSE))),"")</f>
        <v/>
      </c>
      <c r="O511" s="9" t="str">
        <f>IFERROR((IF(VLOOKUP(A511,'ECN-ECO_DATA'!B:V,20,FALSE)=0/1/1900,"",VLOOKUP(A511,'ECN-ECO_DATA'!B:V,20,FALSE))),"")</f>
        <v/>
      </c>
      <c r="P511" s="9" t="str">
        <f>IFERROR((IF(VLOOKUP(A511,'ECN-ECO_DATA'!B:V,21,FALSE)=0/1/1900,"",VLOOKUP(A511,'ECN-ECO_DATA'!B:V,21,FALSE))),"")</f>
        <v/>
      </c>
      <c r="Q511" s="10" t="str">
        <f t="shared" ca="1" si="35"/>
        <v/>
      </c>
      <c r="R511" s="4" t="str">
        <f t="shared" si="36"/>
        <v/>
      </c>
      <c r="S511" s="4" t="str">
        <f t="shared" si="37"/>
        <v/>
      </c>
      <c r="T511" s="4" t="str">
        <f t="shared" si="38"/>
        <v/>
      </c>
      <c r="U511" s="10" t="str">
        <f t="shared" si="39"/>
        <v/>
      </c>
      <c r="V511" s="4"/>
    </row>
    <row r="512" spans="2:22" x14ac:dyDescent="0.25">
      <c r="B512" s="4" t="str">
        <f>IFERROR(VLOOKUP(A512,'ECN-ECO_DATA'!B:G,4,FALSE),"")</f>
        <v/>
      </c>
      <c r="C512" s="9" t="str">
        <f>IFERROR(VLOOKUP(A512,'ECN-ECO_DATA'!B:G,5,FALSE),"")</f>
        <v/>
      </c>
      <c r="D512" s="9" t="str">
        <f ca="1">IFERROR((IF(VLOOKUP(A512,'ECN-ECO_DATA'!B:G,6,FALSE)=0/1/1900,TODAY(),VLOOKUP(A512,'ECN-ECO_DATA'!B:G,6,FALSE))),"")</f>
        <v/>
      </c>
      <c r="E512" s="9" t="str">
        <f>IFERROR((IF(VLOOKUP(A512,'ECN-ECO_DATA'!B:G,6,FALSE)=0/1/1900,"",VLOOKUP(A512,'ECN-ECO_DATA'!B:G,6,FALSE))),"")</f>
        <v/>
      </c>
      <c r="F512" s="9" t="str">
        <f>IFERROR((IF(VLOOKUP(A512,'ECN-ECO_DATA'!B:J,7,FALSE)=0/1/1900,"",VLOOKUP(A512,'ECN-ECO_DATA'!B:J,7,FALSE))),"")</f>
        <v/>
      </c>
      <c r="G512" s="9" t="str">
        <f>IFERROR((IF(VLOOKUP(A512,'ECN-ECO_DATA'!B:J,8,FALSE)=0/1/1900,"",VLOOKUP(A512,'ECN-ECO_DATA'!B:J,8,FALSE))),"")</f>
        <v/>
      </c>
      <c r="H512" s="9" t="str">
        <f>IFERROR((IF(VLOOKUP(A512,'ECN-ECO_DATA'!B:J,9,FALSE)=0/1/1900,"",VLOOKUP(A512,'ECN-ECO_DATA'!B:J,9,FALSE))),"")</f>
        <v/>
      </c>
      <c r="I512" s="10" t="str">
        <f>IFERROR((IF(VLOOKUP(A512,'ECN-ECO_DATA'!B:Q,13,FALSE)="","",VLOOKUP(A512,'ECN-ECO_DATA'!B:Q,13,FALSE))),"")</f>
        <v/>
      </c>
      <c r="J512" s="10" t="str">
        <f>IFERROR((IF(VLOOKUP(A512,'ECN-ECO_DATA'!B:Q,14,FALSE)="","",VLOOKUP(A512,'ECN-ECO_DATA'!B:Q,14,FALSE))),"")</f>
        <v/>
      </c>
      <c r="K512" s="10" t="str">
        <f>IFERROR((IF(VLOOKUP(A512,'ECN-ECO_DATA'!B:Q,15,FALSE)="","",VLOOKUP(A512,'ECN-ECO_DATA'!B:Q,15,FALSE))),"")</f>
        <v/>
      </c>
      <c r="L512" s="10" t="str">
        <f>IFERROR((IF(VLOOKUP(A512,'ECN-ECO_DATA'!B:Q,16,FALSE)="","",VLOOKUP(A512,'ECN-ECO_DATA'!B:Q,16,FALSE))),"")</f>
        <v/>
      </c>
      <c r="M512" s="9" t="str">
        <f>IFERROR((IF(VLOOKUP(A512,'ECN-ECO_DATA'!B:V,18,FALSE)=0/1/1900,"",VLOOKUP(A512,'ECN-ECO_DATA'!B:V,18,FALSE))),"")</f>
        <v/>
      </c>
      <c r="N512" s="9" t="str">
        <f>IFERROR((IF(VLOOKUP(A512,'ECN-ECO_DATA'!B:V,19,FALSE)=0/1/1900,"",VLOOKUP(A512,'ECN-ECO_DATA'!B:V,19,FALSE))),"")</f>
        <v/>
      </c>
      <c r="O512" s="9" t="str">
        <f>IFERROR((IF(VLOOKUP(A512,'ECN-ECO_DATA'!B:V,20,FALSE)=0/1/1900,"",VLOOKUP(A512,'ECN-ECO_DATA'!B:V,20,FALSE))),"")</f>
        <v/>
      </c>
      <c r="P512" s="9" t="str">
        <f>IFERROR((IF(VLOOKUP(A512,'ECN-ECO_DATA'!B:V,21,FALSE)=0/1/1900,"",VLOOKUP(A512,'ECN-ECO_DATA'!B:V,21,FALSE))),"")</f>
        <v/>
      </c>
      <c r="Q512" s="10" t="str">
        <f t="shared" ca="1" si="35"/>
        <v/>
      </c>
      <c r="R512" s="4" t="str">
        <f t="shared" si="36"/>
        <v/>
      </c>
      <c r="S512" s="4" t="str">
        <f t="shared" si="37"/>
        <v/>
      </c>
      <c r="T512" s="4" t="str">
        <f t="shared" si="38"/>
        <v/>
      </c>
      <c r="U512" s="10" t="str">
        <f t="shared" si="39"/>
        <v/>
      </c>
      <c r="V512" s="4"/>
    </row>
    <row r="513" spans="2:22" x14ac:dyDescent="0.25">
      <c r="B513" s="4" t="str">
        <f>IFERROR(VLOOKUP(A513,'ECN-ECO_DATA'!B:G,4,FALSE),"")</f>
        <v/>
      </c>
      <c r="C513" s="9" t="str">
        <f>IFERROR(VLOOKUP(A513,'ECN-ECO_DATA'!B:G,5,FALSE),"")</f>
        <v/>
      </c>
      <c r="D513" s="9" t="str">
        <f ca="1">IFERROR((IF(VLOOKUP(A513,'ECN-ECO_DATA'!B:G,6,FALSE)=0/1/1900,TODAY(),VLOOKUP(A513,'ECN-ECO_DATA'!B:G,6,FALSE))),"")</f>
        <v/>
      </c>
      <c r="E513" s="9" t="str">
        <f>IFERROR((IF(VLOOKUP(A513,'ECN-ECO_DATA'!B:G,6,FALSE)=0/1/1900,"",VLOOKUP(A513,'ECN-ECO_DATA'!B:G,6,FALSE))),"")</f>
        <v/>
      </c>
      <c r="F513" s="9" t="str">
        <f>IFERROR((IF(VLOOKUP(A513,'ECN-ECO_DATA'!B:J,7,FALSE)=0/1/1900,"",VLOOKUP(A513,'ECN-ECO_DATA'!B:J,7,FALSE))),"")</f>
        <v/>
      </c>
      <c r="G513" s="9" t="str">
        <f>IFERROR((IF(VLOOKUP(A513,'ECN-ECO_DATA'!B:J,8,FALSE)=0/1/1900,"",VLOOKUP(A513,'ECN-ECO_DATA'!B:J,8,FALSE))),"")</f>
        <v/>
      </c>
      <c r="H513" s="9" t="str">
        <f>IFERROR((IF(VLOOKUP(A513,'ECN-ECO_DATA'!B:J,9,FALSE)=0/1/1900,"",VLOOKUP(A513,'ECN-ECO_DATA'!B:J,9,FALSE))),"")</f>
        <v/>
      </c>
      <c r="I513" s="10" t="str">
        <f>IFERROR((IF(VLOOKUP(A513,'ECN-ECO_DATA'!B:Q,13,FALSE)="","",VLOOKUP(A513,'ECN-ECO_DATA'!B:Q,13,FALSE))),"")</f>
        <v/>
      </c>
      <c r="J513" s="10" t="str">
        <f>IFERROR((IF(VLOOKUP(A513,'ECN-ECO_DATA'!B:Q,14,FALSE)="","",VLOOKUP(A513,'ECN-ECO_DATA'!B:Q,14,FALSE))),"")</f>
        <v/>
      </c>
      <c r="K513" s="10" t="str">
        <f>IFERROR((IF(VLOOKUP(A513,'ECN-ECO_DATA'!B:Q,15,FALSE)="","",VLOOKUP(A513,'ECN-ECO_DATA'!B:Q,15,FALSE))),"")</f>
        <v/>
      </c>
      <c r="L513" s="10" t="str">
        <f>IFERROR((IF(VLOOKUP(A513,'ECN-ECO_DATA'!B:Q,16,FALSE)="","",VLOOKUP(A513,'ECN-ECO_DATA'!B:Q,16,FALSE))),"")</f>
        <v/>
      </c>
      <c r="M513" s="9" t="str">
        <f>IFERROR((IF(VLOOKUP(A513,'ECN-ECO_DATA'!B:V,18,FALSE)=0/1/1900,"",VLOOKUP(A513,'ECN-ECO_DATA'!B:V,18,FALSE))),"")</f>
        <v/>
      </c>
      <c r="N513" s="9" t="str">
        <f>IFERROR((IF(VLOOKUP(A513,'ECN-ECO_DATA'!B:V,19,FALSE)=0/1/1900,"",VLOOKUP(A513,'ECN-ECO_DATA'!B:V,19,FALSE))),"")</f>
        <v/>
      </c>
      <c r="O513" s="9" t="str">
        <f>IFERROR((IF(VLOOKUP(A513,'ECN-ECO_DATA'!B:V,20,FALSE)=0/1/1900,"",VLOOKUP(A513,'ECN-ECO_DATA'!B:V,20,FALSE))),"")</f>
        <v/>
      </c>
      <c r="P513" s="9" t="str">
        <f>IFERROR((IF(VLOOKUP(A513,'ECN-ECO_DATA'!B:V,21,FALSE)=0/1/1900,"",VLOOKUP(A513,'ECN-ECO_DATA'!B:V,21,FALSE))),"")</f>
        <v/>
      </c>
      <c r="Q513" s="10" t="str">
        <f t="shared" ca="1" si="35"/>
        <v/>
      </c>
      <c r="R513" s="4" t="str">
        <f t="shared" si="36"/>
        <v/>
      </c>
      <c r="S513" s="4" t="str">
        <f t="shared" si="37"/>
        <v/>
      </c>
      <c r="T513" s="4" t="str">
        <f t="shared" si="38"/>
        <v/>
      </c>
      <c r="U513" s="10" t="str">
        <f t="shared" si="39"/>
        <v/>
      </c>
      <c r="V513" s="4"/>
    </row>
    <row r="514" spans="2:22" x14ac:dyDescent="0.25">
      <c r="B514" s="4" t="str">
        <f>IFERROR(VLOOKUP(A514,'ECN-ECO_DATA'!B:G,4,FALSE),"")</f>
        <v/>
      </c>
      <c r="C514" s="9" t="str">
        <f>IFERROR(VLOOKUP(A514,'ECN-ECO_DATA'!B:G,5,FALSE),"")</f>
        <v/>
      </c>
      <c r="D514" s="9" t="str">
        <f ca="1">IFERROR((IF(VLOOKUP(A514,'ECN-ECO_DATA'!B:G,6,FALSE)=0/1/1900,TODAY(),VLOOKUP(A514,'ECN-ECO_DATA'!B:G,6,FALSE))),"")</f>
        <v/>
      </c>
      <c r="E514" s="9" t="str">
        <f>IFERROR((IF(VLOOKUP(A514,'ECN-ECO_DATA'!B:G,6,FALSE)=0/1/1900,"",VLOOKUP(A514,'ECN-ECO_DATA'!B:G,6,FALSE))),"")</f>
        <v/>
      </c>
      <c r="F514" s="9" t="str">
        <f>IFERROR((IF(VLOOKUP(A514,'ECN-ECO_DATA'!B:J,7,FALSE)=0/1/1900,"",VLOOKUP(A514,'ECN-ECO_DATA'!B:J,7,FALSE))),"")</f>
        <v/>
      </c>
      <c r="G514" s="9" t="str">
        <f>IFERROR((IF(VLOOKUP(A514,'ECN-ECO_DATA'!B:J,8,FALSE)=0/1/1900,"",VLOOKUP(A514,'ECN-ECO_DATA'!B:J,8,FALSE))),"")</f>
        <v/>
      </c>
      <c r="H514" s="9" t="str">
        <f>IFERROR((IF(VLOOKUP(A514,'ECN-ECO_DATA'!B:J,9,FALSE)=0/1/1900,"",VLOOKUP(A514,'ECN-ECO_DATA'!B:J,9,FALSE))),"")</f>
        <v/>
      </c>
      <c r="I514" s="10" t="str">
        <f>IFERROR((IF(VLOOKUP(A514,'ECN-ECO_DATA'!B:Q,13,FALSE)="","",VLOOKUP(A514,'ECN-ECO_DATA'!B:Q,13,FALSE))),"")</f>
        <v/>
      </c>
      <c r="J514" s="10" t="str">
        <f>IFERROR((IF(VLOOKUP(A514,'ECN-ECO_DATA'!B:Q,14,FALSE)="","",VLOOKUP(A514,'ECN-ECO_DATA'!B:Q,14,FALSE))),"")</f>
        <v/>
      </c>
      <c r="K514" s="10" t="str">
        <f>IFERROR((IF(VLOOKUP(A514,'ECN-ECO_DATA'!B:Q,15,FALSE)="","",VLOOKUP(A514,'ECN-ECO_DATA'!B:Q,15,FALSE))),"")</f>
        <v/>
      </c>
      <c r="L514" s="10" t="str">
        <f>IFERROR((IF(VLOOKUP(A514,'ECN-ECO_DATA'!B:Q,16,FALSE)="","",VLOOKUP(A514,'ECN-ECO_DATA'!B:Q,16,FALSE))),"")</f>
        <v/>
      </c>
      <c r="M514" s="9" t="str">
        <f>IFERROR((IF(VLOOKUP(A514,'ECN-ECO_DATA'!B:V,18,FALSE)=0/1/1900,"",VLOOKUP(A514,'ECN-ECO_DATA'!B:V,18,FALSE))),"")</f>
        <v/>
      </c>
      <c r="N514" s="9" t="str">
        <f>IFERROR((IF(VLOOKUP(A514,'ECN-ECO_DATA'!B:V,19,FALSE)=0/1/1900,"",VLOOKUP(A514,'ECN-ECO_DATA'!B:V,19,FALSE))),"")</f>
        <v/>
      </c>
      <c r="O514" s="9" t="str">
        <f>IFERROR((IF(VLOOKUP(A514,'ECN-ECO_DATA'!B:V,20,FALSE)=0/1/1900,"",VLOOKUP(A514,'ECN-ECO_DATA'!B:V,20,FALSE))),"")</f>
        <v/>
      </c>
      <c r="P514" s="9" t="str">
        <f>IFERROR((IF(VLOOKUP(A514,'ECN-ECO_DATA'!B:V,21,FALSE)=0/1/1900,"",VLOOKUP(A514,'ECN-ECO_DATA'!B:V,21,FALSE))),"")</f>
        <v/>
      </c>
      <c r="Q514" s="10" t="str">
        <f t="shared" ca="1" si="35"/>
        <v/>
      </c>
      <c r="R514" s="4" t="str">
        <f t="shared" si="36"/>
        <v/>
      </c>
      <c r="S514" s="4" t="str">
        <f t="shared" si="37"/>
        <v/>
      </c>
      <c r="T514" s="4" t="str">
        <f t="shared" si="38"/>
        <v/>
      </c>
      <c r="U514" s="10" t="str">
        <f t="shared" si="39"/>
        <v/>
      </c>
      <c r="V514" s="4"/>
    </row>
    <row r="515" spans="2:22" x14ac:dyDescent="0.25">
      <c r="B515" s="4" t="str">
        <f>IFERROR(VLOOKUP(A515,'ECN-ECO_DATA'!B:G,4,FALSE),"")</f>
        <v/>
      </c>
      <c r="C515" s="9" t="str">
        <f>IFERROR(VLOOKUP(A515,'ECN-ECO_DATA'!B:G,5,FALSE),"")</f>
        <v/>
      </c>
      <c r="D515" s="9" t="str">
        <f ca="1">IFERROR((IF(VLOOKUP(A515,'ECN-ECO_DATA'!B:G,6,FALSE)=0/1/1900,TODAY(),VLOOKUP(A515,'ECN-ECO_DATA'!B:G,6,FALSE))),"")</f>
        <v/>
      </c>
      <c r="E515" s="9" t="str">
        <f>IFERROR((IF(VLOOKUP(A515,'ECN-ECO_DATA'!B:G,6,FALSE)=0/1/1900,"",VLOOKUP(A515,'ECN-ECO_DATA'!B:G,6,FALSE))),"")</f>
        <v/>
      </c>
      <c r="F515" s="9" t="str">
        <f>IFERROR((IF(VLOOKUP(A515,'ECN-ECO_DATA'!B:J,7,FALSE)=0/1/1900,"",VLOOKUP(A515,'ECN-ECO_DATA'!B:J,7,FALSE))),"")</f>
        <v/>
      </c>
      <c r="G515" s="9" t="str">
        <f>IFERROR((IF(VLOOKUP(A515,'ECN-ECO_DATA'!B:J,8,FALSE)=0/1/1900,"",VLOOKUP(A515,'ECN-ECO_DATA'!B:J,8,FALSE))),"")</f>
        <v/>
      </c>
      <c r="H515" s="9" t="str">
        <f>IFERROR((IF(VLOOKUP(A515,'ECN-ECO_DATA'!B:J,9,FALSE)=0/1/1900,"",VLOOKUP(A515,'ECN-ECO_DATA'!B:J,9,FALSE))),"")</f>
        <v/>
      </c>
      <c r="I515" s="10" t="str">
        <f>IFERROR((IF(VLOOKUP(A515,'ECN-ECO_DATA'!B:Q,13,FALSE)="","",VLOOKUP(A515,'ECN-ECO_DATA'!B:Q,13,FALSE))),"")</f>
        <v/>
      </c>
      <c r="J515" s="10" t="str">
        <f>IFERROR((IF(VLOOKUP(A515,'ECN-ECO_DATA'!B:Q,14,FALSE)="","",VLOOKUP(A515,'ECN-ECO_DATA'!B:Q,14,FALSE))),"")</f>
        <v/>
      </c>
      <c r="K515" s="10" t="str">
        <f>IFERROR((IF(VLOOKUP(A515,'ECN-ECO_DATA'!B:Q,15,FALSE)="","",VLOOKUP(A515,'ECN-ECO_DATA'!B:Q,15,FALSE))),"")</f>
        <v/>
      </c>
      <c r="L515" s="10" t="str">
        <f>IFERROR((IF(VLOOKUP(A515,'ECN-ECO_DATA'!B:Q,16,FALSE)="","",VLOOKUP(A515,'ECN-ECO_DATA'!B:Q,16,FALSE))),"")</f>
        <v/>
      </c>
      <c r="M515" s="9" t="str">
        <f>IFERROR((IF(VLOOKUP(A515,'ECN-ECO_DATA'!B:V,18,FALSE)=0/1/1900,"",VLOOKUP(A515,'ECN-ECO_DATA'!B:V,18,FALSE))),"")</f>
        <v/>
      </c>
      <c r="N515" s="9" t="str">
        <f>IFERROR((IF(VLOOKUP(A515,'ECN-ECO_DATA'!B:V,19,FALSE)=0/1/1900,"",VLOOKUP(A515,'ECN-ECO_DATA'!B:V,19,FALSE))),"")</f>
        <v/>
      </c>
      <c r="O515" s="9" t="str">
        <f>IFERROR((IF(VLOOKUP(A515,'ECN-ECO_DATA'!B:V,20,FALSE)=0/1/1900,"",VLOOKUP(A515,'ECN-ECO_DATA'!B:V,20,FALSE))),"")</f>
        <v/>
      </c>
      <c r="P515" s="9" t="str">
        <f>IFERROR((IF(VLOOKUP(A515,'ECN-ECO_DATA'!B:V,21,FALSE)=0/1/1900,"",VLOOKUP(A515,'ECN-ECO_DATA'!B:V,21,FALSE))),"")</f>
        <v/>
      </c>
      <c r="Q515" s="10" t="str">
        <f t="shared" ref="Q515:Q578" ca="1" si="40">IFERROR(D515-C515,"")</f>
        <v/>
      </c>
      <c r="R515" s="4" t="str">
        <f t="shared" ref="R515:R578" si="41">IFERROR(H515-E515,"")</f>
        <v/>
      </c>
      <c r="S515" s="4" t="str">
        <f t="shared" ref="S515:S578" si="42">IFERROR(N515-H515,"")</f>
        <v/>
      </c>
      <c r="T515" s="4" t="str">
        <f t="shared" ref="T515:T578" si="43">IFERROR(O515-N515,"")</f>
        <v/>
      </c>
      <c r="U515" s="10" t="str">
        <f t="shared" ref="U515:U578" si="44">IF(O515="","",IF(SUM(Q515:T515)=0,"",SUM(Q515:T515)))</f>
        <v/>
      </c>
      <c r="V515" s="4"/>
    </row>
    <row r="516" spans="2:22" x14ac:dyDescent="0.25">
      <c r="B516" s="4" t="str">
        <f>IFERROR(VLOOKUP(A516,'ECN-ECO_DATA'!B:G,4,FALSE),"")</f>
        <v/>
      </c>
      <c r="C516" s="9" t="str">
        <f>IFERROR(VLOOKUP(A516,'ECN-ECO_DATA'!B:G,5,FALSE),"")</f>
        <v/>
      </c>
      <c r="D516" s="9" t="str">
        <f ca="1">IFERROR((IF(VLOOKUP(A516,'ECN-ECO_DATA'!B:G,6,FALSE)=0/1/1900,TODAY(),VLOOKUP(A516,'ECN-ECO_DATA'!B:G,6,FALSE))),"")</f>
        <v/>
      </c>
      <c r="E516" s="9" t="str">
        <f>IFERROR((IF(VLOOKUP(A516,'ECN-ECO_DATA'!B:G,6,FALSE)=0/1/1900,"",VLOOKUP(A516,'ECN-ECO_DATA'!B:G,6,FALSE))),"")</f>
        <v/>
      </c>
      <c r="F516" s="9" t="str">
        <f>IFERROR((IF(VLOOKUP(A516,'ECN-ECO_DATA'!B:J,7,FALSE)=0/1/1900,"",VLOOKUP(A516,'ECN-ECO_DATA'!B:J,7,FALSE))),"")</f>
        <v/>
      </c>
      <c r="G516" s="9" t="str">
        <f>IFERROR((IF(VLOOKUP(A516,'ECN-ECO_DATA'!B:J,8,FALSE)=0/1/1900,"",VLOOKUP(A516,'ECN-ECO_DATA'!B:J,8,FALSE))),"")</f>
        <v/>
      </c>
      <c r="H516" s="9" t="str">
        <f>IFERROR((IF(VLOOKUP(A516,'ECN-ECO_DATA'!B:J,9,FALSE)=0/1/1900,"",VLOOKUP(A516,'ECN-ECO_DATA'!B:J,9,FALSE))),"")</f>
        <v/>
      </c>
      <c r="I516" s="10" t="str">
        <f>IFERROR((IF(VLOOKUP(A516,'ECN-ECO_DATA'!B:Q,13,FALSE)="","",VLOOKUP(A516,'ECN-ECO_DATA'!B:Q,13,FALSE))),"")</f>
        <v/>
      </c>
      <c r="J516" s="10" t="str">
        <f>IFERROR((IF(VLOOKUP(A516,'ECN-ECO_DATA'!B:Q,14,FALSE)="","",VLOOKUP(A516,'ECN-ECO_DATA'!B:Q,14,FALSE))),"")</f>
        <v/>
      </c>
      <c r="K516" s="10" t="str">
        <f>IFERROR((IF(VLOOKUP(A516,'ECN-ECO_DATA'!B:Q,15,FALSE)="","",VLOOKUP(A516,'ECN-ECO_DATA'!B:Q,15,FALSE))),"")</f>
        <v/>
      </c>
      <c r="L516" s="10" t="str">
        <f>IFERROR((IF(VLOOKUP(A516,'ECN-ECO_DATA'!B:Q,16,FALSE)="","",VLOOKUP(A516,'ECN-ECO_DATA'!B:Q,16,FALSE))),"")</f>
        <v/>
      </c>
      <c r="M516" s="9" t="str">
        <f>IFERROR((IF(VLOOKUP(A516,'ECN-ECO_DATA'!B:V,18,FALSE)=0/1/1900,"",VLOOKUP(A516,'ECN-ECO_DATA'!B:V,18,FALSE))),"")</f>
        <v/>
      </c>
      <c r="N516" s="9" t="str">
        <f>IFERROR((IF(VLOOKUP(A516,'ECN-ECO_DATA'!B:V,19,FALSE)=0/1/1900,"",VLOOKUP(A516,'ECN-ECO_DATA'!B:V,19,FALSE))),"")</f>
        <v/>
      </c>
      <c r="O516" s="9" t="str">
        <f>IFERROR((IF(VLOOKUP(A516,'ECN-ECO_DATA'!B:V,20,FALSE)=0/1/1900,"",VLOOKUP(A516,'ECN-ECO_DATA'!B:V,20,FALSE))),"")</f>
        <v/>
      </c>
      <c r="P516" s="9" t="str">
        <f>IFERROR((IF(VLOOKUP(A516,'ECN-ECO_DATA'!B:V,21,FALSE)=0/1/1900,"",VLOOKUP(A516,'ECN-ECO_DATA'!B:V,21,FALSE))),"")</f>
        <v/>
      </c>
      <c r="Q516" s="10" t="str">
        <f t="shared" ca="1" si="40"/>
        <v/>
      </c>
      <c r="R516" s="4" t="str">
        <f t="shared" si="41"/>
        <v/>
      </c>
      <c r="S516" s="4" t="str">
        <f t="shared" si="42"/>
        <v/>
      </c>
      <c r="T516" s="4" t="str">
        <f t="shared" si="43"/>
        <v/>
      </c>
      <c r="U516" s="10" t="str">
        <f t="shared" si="44"/>
        <v/>
      </c>
      <c r="V516" s="4"/>
    </row>
    <row r="517" spans="2:22" x14ac:dyDescent="0.25">
      <c r="B517" s="4" t="str">
        <f>IFERROR(VLOOKUP(A517,'ECN-ECO_DATA'!B:G,4,FALSE),"")</f>
        <v/>
      </c>
      <c r="C517" s="9" t="str">
        <f>IFERROR(VLOOKUP(A517,'ECN-ECO_DATA'!B:G,5,FALSE),"")</f>
        <v/>
      </c>
      <c r="D517" s="9" t="str">
        <f ca="1">IFERROR((IF(VLOOKUP(A517,'ECN-ECO_DATA'!B:G,6,FALSE)=0/1/1900,TODAY(),VLOOKUP(A517,'ECN-ECO_DATA'!B:G,6,FALSE))),"")</f>
        <v/>
      </c>
      <c r="E517" s="9" t="str">
        <f>IFERROR((IF(VLOOKUP(A517,'ECN-ECO_DATA'!B:G,6,FALSE)=0/1/1900,"",VLOOKUP(A517,'ECN-ECO_DATA'!B:G,6,FALSE))),"")</f>
        <v/>
      </c>
      <c r="F517" s="9" t="str">
        <f>IFERROR((IF(VLOOKUP(A517,'ECN-ECO_DATA'!B:J,7,FALSE)=0/1/1900,"",VLOOKUP(A517,'ECN-ECO_DATA'!B:J,7,FALSE))),"")</f>
        <v/>
      </c>
      <c r="G517" s="9" t="str">
        <f>IFERROR((IF(VLOOKUP(A517,'ECN-ECO_DATA'!B:J,8,FALSE)=0/1/1900,"",VLOOKUP(A517,'ECN-ECO_DATA'!B:J,8,FALSE))),"")</f>
        <v/>
      </c>
      <c r="H517" s="9" t="str">
        <f>IFERROR((IF(VLOOKUP(A517,'ECN-ECO_DATA'!B:J,9,FALSE)=0/1/1900,"",VLOOKUP(A517,'ECN-ECO_DATA'!B:J,9,FALSE))),"")</f>
        <v/>
      </c>
      <c r="I517" s="10" t="str">
        <f>IFERROR((IF(VLOOKUP(A517,'ECN-ECO_DATA'!B:Q,13,FALSE)="","",VLOOKUP(A517,'ECN-ECO_DATA'!B:Q,13,FALSE))),"")</f>
        <v/>
      </c>
      <c r="J517" s="10" t="str">
        <f>IFERROR((IF(VLOOKUP(A517,'ECN-ECO_DATA'!B:Q,14,FALSE)="","",VLOOKUP(A517,'ECN-ECO_DATA'!B:Q,14,FALSE))),"")</f>
        <v/>
      </c>
      <c r="K517" s="10" t="str">
        <f>IFERROR((IF(VLOOKUP(A517,'ECN-ECO_DATA'!B:Q,15,FALSE)="","",VLOOKUP(A517,'ECN-ECO_DATA'!B:Q,15,FALSE))),"")</f>
        <v/>
      </c>
      <c r="L517" s="10" t="str">
        <f>IFERROR((IF(VLOOKUP(A517,'ECN-ECO_DATA'!B:Q,16,FALSE)="","",VLOOKUP(A517,'ECN-ECO_DATA'!B:Q,16,FALSE))),"")</f>
        <v/>
      </c>
      <c r="M517" s="9" t="str">
        <f>IFERROR((IF(VLOOKUP(A517,'ECN-ECO_DATA'!B:V,18,FALSE)=0/1/1900,"",VLOOKUP(A517,'ECN-ECO_DATA'!B:V,18,FALSE))),"")</f>
        <v/>
      </c>
      <c r="N517" s="9" t="str">
        <f>IFERROR((IF(VLOOKUP(A517,'ECN-ECO_DATA'!B:V,19,FALSE)=0/1/1900,"",VLOOKUP(A517,'ECN-ECO_DATA'!B:V,19,FALSE))),"")</f>
        <v/>
      </c>
      <c r="O517" s="9" t="str">
        <f>IFERROR((IF(VLOOKUP(A517,'ECN-ECO_DATA'!B:V,20,FALSE)=0/1/1900,"",VLOOKUP(A517,'ECN-ECO_DATA'!B:V,20,FALSE))),"")</f>
        <v/>
      </c>
      <c r="P517" s="9" t="str">
        <f>IFERROR((IF(VLOOKUP(A517,'ECN-ECO_DATA'!B:V,21,FALSE)=0/1/1900,"",VLOOKUP(A517,'ECN-ECO_DATA'!B:V,21,FALSE))),"")</f>
        <v/>
      </c>
      <c r="Q517" s="10" t="str">
        <f t="shared" ca="1" si="40"/>
        <v/>
      </c>
      <c r="R517" s="4" t="str">
        <f t="shared" si="41"/>
        <v/>
      </c>
      <c r="S517" s="4" t="str">
        <f t="shared" si="42"/>
        <v/>
      </c>
      <c r="T517" s="4" t="str">
        <f t="shared" si="43"/>
        <v/>
      </c>
      <c r="U517" s="10" t="str">
        <f t="shared" si="44"/>
        <v/>
      </c>
      <c r="V517" s="4"/>
    </row>
    <row r="518" spans="2:22" x14ac:dyDescent="0.25">
      <c r="B518" s="4" t="str">
        <f>IFERROR(VLOOKUP(A518,'ECN-ECO_DATA'!B:G,4,FALSE),"")</f>
        <v/>
      </c>
      <c r="C518" s="9" t="str">
        <f>IFERROR(VLOOKUP(A518,'ECN-ECO_DATA'!B:G,5,FALSE),"")</f>
        <v/>
      </c>
      <c r="D518" s="9" t="str">
        <f ca="1">IFERROR((IF(VLOOKUP(A518,'ECN-ECO_DATA'!B:G,6,FALSE)=0/1/1900,TODAY(),VLOOKUP(A518,'ECN-ECO_DATA'!B:G,6,FALSE))),"")</f>
        <v/>
      </c>
      <c r="E518" s="9" t="str">
        <f>IFERROR((IF(VLOOKUP(A518,'ECN-ECO_DATA'!B:G,6,FALSE)=0/1/1900,"",VLOOKUP(A518,'ECN-ECO_DATA'!B:G,6,FALSE))),"")</f>
        <v/>
      </c>
      <c r="F518" s="9" t="str">
        <f>IFERROR((IF(VLOOKUP(A518,'ECN-ECO_DATA'!B:J,7,FALSE)=0/1/1900,"",VLOOKUP(A518,'ECN-ECO_DATA'!B:J,7,FALSE))),"")</f>
        <v/>
      </c>
      <c r="G518" s="9" t="str">
        <f>IFERROR((IF(VLOOKUP(A518,'ECN-ECO_DATA'!B:J,8,FALSE)=0/1/1900,"",VLOOKUP(A518,'ECN-ECO_DATA'!B:J,8,FALSE))),"")</f>
        <v/>
      </c>
      <c r="H518" s="9" t="str">
        <f>IFERROR((IF(VLOOKUP(A518,'ECN-ECO_DATA'!B:J,9,FALSE)=0/1/1900,"",VLOOKUP(A518,'ECN-ECO_DATA'!B:J,9,FALSE))),"")</f>
        <v/>
      </c>
      <c r="I518" s="10" t="str">
        <f>IFERROR((IF(VLOOKUP(A518,'ECN-ECO_DATA'!B:Q,13,FALSE)="","",VLOOKUP(A518,'ECN-ECO_DATA'!B:Q,13,FALSE))),"")</f>
        <v/>
      </c>
      <c r="J518" s="10" t="str">
        <f>IFERROR((IF(VLOOKUP(A518,'ECN-ECO_DATA'!B:Q,14,FALSE)="","",VLOOKUP(A518,'ECN-ECO_DATA'!B:Q,14,FALSE))),"")</f>
        <v/>
      </c>
      <c r="K518" s="10" t="str">
        <f>IFERROR((IF(VLOOKUP(A518,'ECN-ECO_DATA'!B:Q,15,FALSE)="","",VLOOKUP(A518,'ECN-ECO_DATA'!B:Q,15,FALSE))),"")</f>
        <v/>
      </c>
      <c r="L518" s="10" t="str">
        <f>IFERROR((IF(VLOOKUP(A518,'ECN-ECO_DATA'!B:Q,16,FALSE)="","",VLOOKUP(A518,'ECN-ECO_DATA'!B:Q,16,FALSE))),"")</f>
        <v/>
      </c>
      <c r="M518" s="9" t="str">
        <f>IFERROR((IF(VLOOKUP(A518,'ECN-ECO_DATA'!B:V,18,FALSE)=0/1/1900,"",VLOOKUP(A518,'ECN-ECO_DATA'!B:V,18,FALSE))),"")</f>
        <v/>
      </c>
      <c r="N518" s="9" t="str">
        <f>IFERROR((IF(VLOOKUP(A518,'ECN-ECO_DATA'!B:V,19,FALSE)=0/1/1900,"",VLOOKUP(A518,'ECN-ECO_DATA'!B:V,19,FALSE))),"")</f>
        <v/>
      </c>
      <c r="O518" s="9" t="str">
        <f>IFERROR((IF(VLOOKUP(A518,'ECN-ECO_DATA'!B:V,20,FALSE)=0/1/1900,"",VLOOKUP(A518,'ECN-ECO_DATA'!B:V,20,FALSE))),"")</f>
        <v/>
      </c>
      <c r="P518" s="9" t="str">
        <f>IFERROR((IF(VLOOKUP(A518,'ECN-ECO_DATA'!B:V,21,FALSE)=0/1/1900,"",VLOOKUP(A518,'ECN-ECO_DATA'!B:V,21,FALSE))),"")</f>
        <v/>
      </c>
      <c r="Q518" s="10" t="str">
        <f t="shared" ca="1" si="40"/>
        <v/>
      </c>
      <c r="R518" s="4" t="str">
        <f t="shared" si="41"/>
        <v/>
      </c>
      <c r="S518" s="4" t="str">
        <f t="shared" si="42"/>
        <v/>
      </c>
      <c r="T518" s="4" t="str">
        <f t="shared" si="43"/>
        <v/>
      </c>
      <c r="U518" s="10" t="str">
        <f t="shared" si="44"/>
        <v/>
      </c>
      <c r="V518" s="4"/>
    </row>
    <row r="519" spans="2:22" x14ac:dyDescent="0.25">
      <c r="B519" s="4" t="str">
        <f>IFERROR(VLOOKUP(A519,'ECN-ECO_DATA'!B:G,4,FALSE),"")</f>
        <v/>
      </c>
      <c r="C519" s="9" t="str">
        <f>IFERROR(VLOOKUP(A519,'ECN-ECO_DATA'!B:G,5,FALSE),"")</f>
        <v/>
      </c>
      <c r="D519" s="9" t="str">
        <f ca="1">IFERROR((IF(VLOOKUP(A519,'ECN-ECO_DATA'!B:G,6,FALSE)=0/1/1900,TODAY(),VLOOKUP(A519,'ECN-ECO_DATA'!B:G,6,FALSE))),"")</f>
        <v/>
      </c>
      <c r="E519" s="9" t="str">
        <f>IFERROR((IF(VLOOKUP(A519,'ECN-ECO_DATA'!B:G,6,FALSE)=0/1/1900,"",VLOOKUP(A519,'ECN-ECO_DATA'!B:G,6,FALSE))),"")</f>
        <v/>
      </c>
      <c r="F519" s="9" t="str">
        <f>IFERROR((IF(VLOOKUP(A519,'ECN-ECO_DATA'!B:J,7,FALSE)=0/1/1900,"",VLOOKUP(A519,'ECN-ECO_DATA'!B:J,7,FALSE))),"")</f>
        <v/>
      </c>
      <c r="G519" s="9" t="str">
        <f>IFERROR((IF(VLOOKUP(A519,'ECN-ECO_DATA'!B:J,8,FALSE)=0/1/1900,"",VLOOKUP(A519,'ECN-ECO_DATA'!B:J,8,FALSE))),"")</f>
        <v/>
      </c>
      <c r="H519" s="9" t="str">
        <f>IFERROR((IF(VLOOKUP(A519,'ECN-ECO_DATA'!B:J,9,FALSE)=0/1/1900,"",VLOOKUP(A519,'ECN-ECO_DATA'!B:J,9,FALSE))),"")</f>
        <v/>
      </c>
      <c r="I519" s="10" t="str">
        <f>IFERROR((IF(VLOOKUP(A519,'ECN-ECO_DATA'!B:Q,13,FALSE)="","",VLOOKUP(A519,'ECN-ECO_DATA'!B:Q,13,FALSE))),"")</f>
        <v/>
      </c>
      <c r="J519" s="10" t="str">
        <f>IFERROR((IF(VLOOKUP(A519,'ECN-ECO_DATA'!B:Q,14,FALSE)="","",VLOOKUP(A519,'ECN-ECO_DATA'!B:Q,14,FALSE))),"")</f>
        <v/>
      </c>
      <c r="K519" s="10" t="str">
        <f>IFERROR((IF(VLOOKUP(A519,'ECN-ECO_DATA'!B:Q,15,FALSE)="","",VLOOKUP(A519,'ECN-ECO_DATA'!B:Q,15,FALSE))),"")</f>
        <v/>
      </c>
      <c r="L519" s="10" t="str">
        <f>IFERROR((IF(VLOOKUP(A519,'ECN-ECO_DATA'!B:Q,16,FALSE)="","",VLOOKUP(A519,'ECN-ECO_DATA'!B:Q,16,FALSE))),"")</f>
        <v/>
      </c>
      <c r="M519" s="9" t="str">
        <f>IFERROR((IF(VLOOKUP(A519,'ECN-ECO_DATA'!B:V,18,FALSE)=0/1/1900,"",VLOOKUP(A519,'ECN-ECO_DATA'!B:V,18,FALSE))),"")</f>
        <v/>
      </c>
      <c r="N519" s="9" t="str">
        <f>IFERROR((IF(VLOOKUP(A519,'ECN-ECO_DATA'!B:V,19,FALSE)=0/1/1900,"",VLOOKUP(A519,'ECN-ECO_DATA'!B:V,19,FALSE))),"")</f>
        <v/>
      </c>
      <c r="O519" s="9" t="str">
        <f>IFERROR((IF(VLOOKUP(A519,'ECN-ECO_DATA'!B:V,20,FALSE)=0/1/1900,"",VLOOKUP(A519,'ECN-ECO_DATA'!B:V,20,FALSE))),"")</f>
        <v/>
      </c>
      <c r="P519" s="9" t="str">
        <f>IFERROR((IF(VLOOKUP(A519,'ECN-ECO_DATA'!B:V,21,FALSE)=0/1/1900,"",VLOOKUP(A519,'ECN-ECO_DATA'!B:V,21,FALSE))),"")</f>
        <v/>
      </c>
      <c r="Q519" s="10" t="str">
        <f t="shared" ca="1" si="40"/>
        <v/>
      </c>
      <c r="R519" s="4" t="str">
        <f t="shared" si="41"/>
        <v/>
      </c>
      <c r="S519" s="4" t="str">
        <f t="shared" si="42"/>
        <v/>
      </c>
      <c r="T519" s="4" t="str">
        <f t="shared" si="43"/>
        <v/>
      </c>
      <c r="U519" s="10" t="str">
        <f t="shared" si="44"/>
        <v/>
      </c>
      <c r="V519" s="4"/>
    </row>
    <row r="520" spans="2:22" x14ac:dyDescent="0.25">
      <c r="B520" s="4" t="str">
        <f>IFERROR(VLOOKUP(A520,'ECN-ECO_DATA'!B:G,4,FALSE),"")</f>
        <v/>
      </c>
      <c r="C520" s="9" t="str">
        <f>IFERROR(VLOOKUP(A520,'ECN-ECO_DATA'!B:G,5,FALSE),"")</f>
        <v/>
      </c>
      <c r="D520" s="9" t="str">
        <f ca="1">IFERROR((IF(VLOOKUP(A520,'ECN-ECO_DATA'!B:G,6,FALSE)=0/1/1900,TODAY(),VLOOKUP(A520,'ECN-ECO_DATA'!B:G,6,FALSE))),"")</f>
        <v/>
      </c>
      <c r="E520" s="9" t="str">
        <f>IFERROR((IF(VLOOKUP(A520,'ECN-ECO_DATA'!B:G,6,FALSE)=0/1/1900,"",VLOOKUP(A520,'ECN-ECO_DATA'!B:G,6,FALSE))),"")</f>
        <v/>
      </c>
      <c r="F520" s="9" t="str">
        <f>IFERROR((IF(VLOOKUP(A520,'ECN-ECO_DATA'!B:J,7,FALSE)=0/1/1900,"",VLOOKUP(A520,'ECN-ECO_DATA'!B:J,7,FALSE))),"")</f>
        <v/>
      </c>
      <c r="G520" s="9" t="str">
        <f>IFERROR((IF(VLOOKUP(A520,'ECN-ECO_DATA'!B:J,8,FALSE)=0/1/1900,"",VLOOKUP(A520,'ECN-ECO_DATA'!B:J,8,FALSE))),"")</f>
        <v/>
      </c>
      <c r="H520" s="9" t="str">
        <f>IFERROR((IF(VLOOKUP(A520,'ECN-ECO_DATA'!B:J,9,FALSE)=0/1/1900,"",VLOOKUP(A520,'ECN-ECO_DATA'!B:J,9,FALSE))),"")</f>
        <v/>
      </c>
      <c r="I520" s="10" t="str">
        <f>IFERROR((IF(VLOOKUP(A520,'ECN-ECO_DATA'!B:Q,13,FALSE)="","",VLOOKUP(A520,'ECN-ECO_DATA'!B:Q,13,FALSE))),"")</f>
        <v/>
      </c>
      <c r="J520" s="10" t="str">
        <f>IFERROR((IF(VLOOKUP(A520,'ECN-ECO_DATA'!B:Q,14,FALSE)="","",VLOOKUP(A520,'ECN-ECO_DATA'!B:Q,14,FALSE))),"")</f>
        <v/>
      </c>
      <c r="K520" s="10" t="str">
        <f>IFERROR((IF(VLOOKUP(A520,'ECN-ECO_DATA'!B:Q,15,FALSE)="","",VLOOKUP(A520,'ECN-ECO_DATA'!B:Q,15,FALSE))),"")</f>
        <v/>
      </c>
      <c r="L520" s="10" t="str">
        <f>IFERROR((IF(VLOOKUP(A520,'ECN-ECO_DATA'!B:Q,16,FALSE)="","",VLOOKUP(A520,'ECN-ECO_DATA'!B:Q,16,FALSE))),"")</f>
        <v/>
      </c>
      <c r="M520" s="9" t="str">
        <f>IFERROR((IF(VLOOKUP(A520,'ECN-ECO_DATA'!B:V,18,FALSE)=0/1/1900,"",VLOOKUP(A520,'ECN-ECO_DATA'!B:V,18,FALSE))),"")</f>
        <v/>
      </c>
      <c r="N520" s="9" t="str">
        <f>IFERROR((IF(VLOOKUP(A520,'ECN-ECO_DATA'!B:V,19,FALSE)=0/1/1900,"",VLOOKUP(A520,'ECN-ECO_DATA'!B:V,19,FALSE))),"")</f>
        <v/>
      </c>
      <c r="O520" s="9" t="str">
        <f>IFERROR((IF(VLOOKUP(A520,'ECN-ECO_DATA'!B:V,20,FALSE)=0/1/1900,"",VLOOKUP(A520,'ECN-ECO_DATA'!B:V,20,FALSE))),"")</f>
        <v/>
      </c>
      <c r="P520" s="9" t="str">
        <f>IFERROR((IF(VLOOKUP(A520,'ECN-ECO_DATA'!B:V,21,FALSE)=0/1/1900,"",VLOOKUP(A520,'ECN-ECO_DATA'!B:V,21,FALSE))),"")</f>
        <v/>
      </c>
      <c r="Q520" s="10" t="str">
        <f t="shared" ca="1" si="40"/>
        <v/>
      </c>
      <c r="R520" s="4" t="str">
        <f t="shared" si="41"/>
        <v/>
      </c>
      <c r="S520" s="4" t="str">
        <f t="shared" si="42"/>
        <v/>
      </c>
      <c r="T520" s="4" t="str">
        <f t="shared" si="43"/>
        <v/>
      </c>
      <c r="U520" s="10" t="str">
        <f t="shared" si="44"/>
        <v/>
      </c>
      <c r="V520" s="4"/>
    </row>
    <row r="521" spans="2:22" x14ac:dyDescent="0.25">
      <c r="B521" s="4" t="str">
        <f>IFERROR(VLOOKUP(A521,'ECN-ECO_DATA'!B:G,4,FALSE),"")</f>
        <v/>
      </c>
      <c r="C521" s="9" t="str">
        <f>IFERROR(VLOOKUP(A521,'ECN-ECO_DATA'!B:G,5,FALSE),"")</f>
        <v/>
      </c>
      <c r="D521" s="9" t="str">
        <f ca="1">IFERROR((IF(VLOOKUP(A521,'ECN-ECO_DATA'!B:G,6,FALSE)=0/1/1900,TODAY(),VLOOKUP(A521,'ECN-ECO_DATA'!B:G,6,FALSE))),"")</f>
        <v/>
      </c>
      <c r="E521" s="9" t="str">
        <f>IFERROR((IF(VLOOKUP(A521,'ECN-ECO_DATA'!B:G,6,FALSE)=0/1/1900,"",VLOOKUP(A521,'ECN-ECO_DATA'!B:G,6,FALSE))),"")</f>
        <v/>
      </c>
      <c r="F521" s="9" t="str">
        <f>IFERROR((IF(VLOOKUP(A521,'ECN-ECO_DATA'!B:J,7,FALSE)=0/1/1900,"",VLOOKUP(A521,'ECN-ECO_DATA'!B:J,7,FALSE))),"")</f>
        <v/>
      </c>
      <c r="G521" s="9" t="str">
        <f>IFERROR((IF(VLOOKUP(A521,'ECN-ECO_DATA'!B:J,8,FALSE)=0/1/1900,"",VLOOKUP(A521,'ECN-ECO_DATA'!B:J,8,FALSE))),"")</f>
        <v/>
      </c>
      <c r="H521" s="9" t="str">
        <f>IFERROR((IF(VLOOKUP(A521,'ECN-ECO_DATA'!B:J,9,FALSE)=0/1/1900,"",VLOOKUP(A521,'ECN-ECO_DATA'!B:J,9,FALSE))),"")</f>
        <v/>
      </c>
      <c r="I521" s="10" t="str">
        <f>IFERROR((IF(VLOOKUP(A521,'ECN-ECO_DATA'!B:Q,13,FALSE)="","",VLOOKUP(A521,'ECN-ECO_DATA'!B:Q,13,FALSE))),"")</f>
        <v/>
      </c>
      <c r="J521" s="10" t="str">
        <f>IFERROR((IF(VLOOKUP(A521,'ECN-ECO_DATA'!B:Q,14,FALSE)="","",VLOOKUP(A521,'ECN-ECO_DATA'!B:Q,14,FALSE))),"")</f>
        <v/>
      </c>
      <c r="K521" s="10" t="str">
        <f>IFERROR((IF(VLOOKUP(A521,'ECN-ECO_DATA'!B:Q,15,FALSE)="","",VLOOKUP(A521,'ECN-ECO_DATA'!B:Q,15,FALSE))),"")</f>
        <v/>
      </c>
      <c r="L521" s="10" t="str">
        <f>IFERROR((IF(VLOOKUP(A521,'ECN-ECO_DATA'!B:Q,16,FALSE)="","",VLOOKUP(A521,'ECN-ECO_DATA'!B:Q,16,FALSE))),"")</f>
        <v/>
      </c>
      <c r="M521" s="9" t="str">
        <f>IFERROR((IF(VLOOKUP(A521,'ECN-ECO_DATA'!B:V,18,FALSE)=0/1/1900,"",VLOOKUP(A521,'ECN-ECO_DATA'!B:V,18,FALSE))),"")</f>
        <v/>
      </c>
      <c r="N521" s="9" t="str">
        <f>IFERROR((IF(VLOOKUP(A521,'ECN-ECO_DATA'!B:V,19,FALSE)=0/1/1900,"",VLOOKUP(A521,'ECN-ECO_DATA'!B:V,19,FALSE))),"")</f>
        <v/>
      </c>
      <c r="O521" s="9" t="str">
        <f>IFERROR((IF(VLOOKUP(A521,'ECN-ECO_DATA'!B:V,20,FALSE)=0/1/1900,"",VLOOKUP(A521,'ECN-ECO_DATA'!B:V,20,FALSE))),"")</f>
        <v/>
      </c>
      <c r="P521" s="9" t="str">
        <f>IFERROR((IF(VLOOKUP(A521,'ECN-ECO_DATA'!B:V,21,FALSE)=0/1/1900,"",VLOOKUP(A521,'ECN-ECO_DATA'!B:V,21,FALSE))),"")</f>
        <v/>
      </c>
      <c r="Q521" s="10" t="str">
        <f t="shared" ca="1" si="40"/>
        <v/>
      </c>
      <c r="R521" s="4" t="str">
        <f t="shared" si="41"/>
        <v/>
      </c>
      <c r="S521" s="4" t="str">
        <f t="shared" si="42"/>
        <v/>
      </c>
      <c r="T521" s="4" t="str">
        <f t="shared" si="43"/>
        <v/>
      </c>
      <c r="U521" s="10" t="str">
        <f t="shared" si="44"/>
        <v/>
      </c>
      <c r="V521" s="4"/>
    </row>
    <row r="522" spans="2:22" x14ac:dyDescent="0.25">
      <c r="B522" s="4" t="str">
        <f>IFERROR(VLOOKUP(A522,'ECN-ECO_DATA'!B:G,4,FALSE),"")</f>
        <v/>
      </c>
      <c r="C522" s="9" t="str">
        <f>IFERROR(VLOOKUP(A522,'ECN-ECO_DATA'!B:G,5,FALSE),"")</f>
        <v/>
      </c>
      <c r="D522" s="9" t="str">
        <f ca="1">IFERROR((IF(VLOOKUP(A522,'ECN-ECO_DATA'!B:G,6,FALSE)=0/1/1900,TODAY(),VLOOKUP(A522,'ECN-ECO_DATA'!B:G,6,FALSE))),"")</f>
        <v/>
      </c>
      <c r="E522" s="9" t="str">
        <f>IFERROR((IF(VLOOKUP(A522,'ECN-ECO_DATA'!B:G,6,FALSE)=0/1/1900,"",VLOOKUP(A522,'ECN-ECO_DATA'!B:G,6,FALSE))),"")</f>
        <v/>
      </c>
      <c r="F522" s="9" t="str">
        <f>IFERROR((IF(VLOOKUP(A522,'ECN-ECO_DATA'!B:J,7,FALSE)=0/1/1900,"",VLOOKUP(A522,'ECN-ECO_DATA'!B:J,7,FALSE))),"")</f>
        <v/>
      </c>
      <c r="G522" s="9" t="str">
        <f>IFERROR((IF(VLOOKUP(A522,'ECN-ECO_DATA'!B:J,8,FALSE)=0/1/1900,"",VLOOKUP(A522,'ECN-ECO_DATA'!B:J,8,FALSE))),"")</f>
        <v/>
      </c>
      <c r="H522" s="9" t="str">
        <f>IFERROR((IF(VLOOKUP(A522,'ECN-ECO_DATA'!B:J,9,FALSE)=0/1/1900,"",VLOOKUP(A522,'ECN-ECO_DATA'!B:J,9,FALSE))),"")</f>
        <v/>
      </c>
      <c r="I522" s="10" t="str">
        <f>IFERROR((IF(VLOOKUP(A522,'ECN-ECO_DATA'!B:Q,13,FALSE)="","",VLOOKUP(A522,'ECN-ECO_DATA'!B:Q,13,FALSE))),"")</f>
        <v/>
      </c>
      <c r="J522" s="10" t="str">
        <f>IFERROR((IF(VLOOKUP(A522,'ECN-ECO_DATA'!B:Q,14,FALSE)="","",VLOOKUP(A522,'ECN-ECO_DATA'!B:Q,14,FALSE))),"")</f>
        <v/>
      </c>
      <c r="K522" s="10" t="str">
        <f>IFERROR((IF(VLOOKUP(A522,'ECN-ECO_DATA'!B:Q,15,FALSE)="","",VLOOKUP(A522,'ECN-ECO_DATA'!B:Q,15,FALSE))),"")</f>
        <v/>
      </c>
      <c r="L522" s="10" t="str">
        <f>IFERROR((IF(VLOOKUP(A522,'ECN-ECO_DATA'!B:Q,16,FALSE)="","",VLOOKUP(A522,'ECN-ECO_DATA'!B:Q,16,FALSE))),"")</f>
        <v/>
      </c>
      <c r="M522" s="9" t="str">
        <f>IFERROR((IF(VLOOKUP(A522,'ECN-ECO_DATA'!B:V,18,FALSE)=0/1/1900,"",VLOOKUP(A522,'ECN-ECO_DATA'!B:V,18,FALSE))),"")</f>
        <v/>
      </c>
      <c r="N522" s="9" t="str">
        <f>IFERROR((IF(VLOOKUP(A522,'ECN-ECO_DATA'!B:V,19,FALSE)=0/1/1900,"",VLOOKUP(A522,'ECN-ECO_DATA'!B:V,19,FALSE))),"")</f>
        <v/>
      </c>
      <c r="O522" s="9" t="str">
        <f>IFERROR((IF(VLOOKUP(A522,'ECN-ECO_DATA'!B:V,20,FALSE)=0/1/1900,"",VLOOKUP(A522,'ECN-ECO_DATA'!B:V,20,FALSE))),"")</f>
        <v/>
      </c>
      <c r="P522" s="9" t="str">
        <f>IFERROR((IF(VLOOKUP(A522,'ECN-ECO_DATA'!B:V,21,FALSE)=0/1/1900,"",VLOOKUP(A522,'ECN-ECO_DATA'!B:V,21,FALSE))),"")</f>
        <v/>
      </c>
      <c r="Q522" s="10" t="str">
        <f t="shared" ca="1" si="40"/>
        <v/>
      </c>
      <c r="R522" s="4" t="str">
        <f t="shared" si="41"/>
        <v/>
      </c>
      <c r="S522" s="4" t="str">
        <f t="shared" si="42"/>
        <v/>
      </c>
      <c r="T522" s="4" t="str">
        <f t="shared" si="43"/>
        <v/>
      </c>
      <c r="U522" s="10" t="str">
        <f t="shared" si="44"/>
        <v/>
      </c>
      <c r="V522" s="4"/>
    </row>
    <row r="523" spans="2:22" x14ac:dyDescent="0.25">
      <c r="B523" s="4" t="str">
        <f>IFERROR(VLOOKUP(A523,'ECN-ECO_DATA'!B:G,4,FALSE),"")</f>
        <v/>
      </c>
      <c r="C523" s="9" t="str">
        <f>IFERROR(VLOOKUP(A523,'ECN-ECO_DATA'!B:G,5,FALSE),"")</f>
        <v/>
      </c>
      <c r="D523" s="9" t="str">
        <f ca="1">IFERROR((IF(VLOOKUP(A523,'ECN-ECO_DATA'!B:G,6,FALSE)=0/1/1900,TODAY(),VLOOKUP(A523,'ECN-ECO_DATA'!B:G,6,FALSE))),"")</f>
        <v/>
      </c>
      <c r="E523" s="9" t="str">
        <f>IFERROR((IF(VLOOKUP(A523,'ECN-ECO_DATA'!B:G,6,FALSE)=0/1/1900,"",VLOOKUP(A523,'ECN-ECO_DATA'!B:G,6,FALSE))),"")</f>
        <v/>
      </c>
      <c r="F523" s="9" t="str">
        <f>IFERROR((IF(VLOOKUP(A523,'ECN-ECO_DATA'!B:J,7,FALSE)=0/1/1900,"",VLOOKUP(A523,'ECN-ECO_DATA'!B:J,7,FALSE))),"")</f>
        <v/>
      </c>
      <c r="G523" s="9" t="str">
        <f>IFERROR((IF(VLOOKUP(A523,'ECN-ECO_DATA'!B:J,8,FALSE)=0/1/1900,"",VLOOKUP(A523,'ECN-ECO_DATA'!B:J,8,FALSE))),"")</f>
        <v/>
      </c>
      <c r="H523" s="9" t="str">
        <f>IFERROR((IF(VLOOKUP(A523,'ECN-ECO_DATA'!B:J,9,FALSE)=0/1/1900,"",VLOOKUP(A523,'ECN-ECO_DATA'!B:J,9,FALSE))),"")</f>
        <v/>
      </c>
      <c r="I523" s="10" t="str">
        <f>IFERROR((IF(VLOOKUP(A523,'ECN-ECO_DATA'!B:Q,13,FALSE)="","",VLOOKUP(A523,'ECN-ECO_DATA'!B:Q,13,FALSE))),"")</f>
        <v/>
      </c>
      <c r="J523" s="10" t="str">
        <f>IFERROR((IF(VLOOKUP(A523,'ECN-ECO_DATA'!B:Q,14,FALSE)="","",VLOOKUP(A523,'ECN-ECO_DATA'!B:Q,14,FALSE))),"")</f>
        <v/>
      </c>
      <c r="K523" s="10" t="str">
        <f>IFERROR((IF(VLOOKUP(A523,'ECN-ECO_DATA'!B:Q,15,FALSE)="","",VLOOKUP(A523,'ECN-ECO_DATA'!B:Q,15,FALSE))),"")</f>
        <v/>
      </c>
      <c r="L523" s="10" t="str">
        <f>IFERROR((IF(VLOOKUP(A523,'ECN-ECO_DATA'!B:Q,16,FALSE)="","",VLOOKUP(A523,'ECN-ECO_DATA'!B:Q,16,FALSE))),"")</f>
        <v/>
      </c>
      <c r="M523" s="9" t="str">
        <f>IFERROR((IF(VLOOKUP(A523,'ECN-ECO_DATA'!B:V,18,FALSE)=0/1/1900,"",VLOOKUP(A523,'ECN-ECO_DATA'!B:V,18,FALSE))),"")</f>
        <v/>
      </c>
      <c r="N523" s="9" t="str">
        <f>IFERROR((IF(VLOOKUP(A523,'ECN-ECO_DATA'!B:V,19,FALSE)=0/1/1900,"",VLOOKUP(A523,'ECN-ECO_DATA'!B:V,19,FALSE))),"")</f>
        <v/>
      </c>
      <c r="O523" s="9" t="str">
        <f>IFERROR((IF(VLOOKUP(A523,'ECN-ECO_DATA'!B:V,20,FALSE)=0/1/1900,"",VLOOKUP(A523,'ECN-ECO_DATA'!B:V,20,FALSE))),"")</f>
        <v/>
      </c>
      <c r="P523" s="9" t="str">
        <f>IFERROR((IF(VLOOKUP(A523,'ECN-ECO_DATA'!B:V,21,FALSE)=0/1/1900,"",VLOOKUP(A523,'ECN-ECO_DATA'!B:V,21,FALSE))),"")</f>
        <v/>
      </c>
      <c r="Q523" s="10" t="str">
        <f t="shared" ca="1" si="40"/>
        <v/>
      </c>
      <c r="R523" s="4" t="str">
        <f t="shared" si="41"/>
        <v/>
      </c>
      <c r="S523" s="4" t="str">
        <f t="shared" si="42"/>
        <v/>
      </c>
      <c r="T523" s="4" t="str">
        <f t="shared" si="43"/>
        <v/>
      </c>
      <c r="U523" s="10" t="str">
        <f t="shared" si="44"/>
        <v/>
      </c>
      <c r="V523" s="4"/>
    </row>
    <row r="524" spans="2:22" x14ac:dyDescent="0.25">
      <c r="B524" s="4" t="str">
        <f>IFERROR(VLOOKUP(A524,'ECN-ECO_DATA'!B:G,4,FALSE),"")</f>
        <v/>
      </c>
      <c r="C524" s="9" t="str">
        <f>IFERROR(VLOOKUP(A524,'ECN-ECO_DATA'!B:G,5,FALSE),"")</f>
        <v/>
      </c>
      <c r="D524" s="9" t="str">
        <f ca="1">IFERROR((IF(VLOOKUP(A524,'ECN-ECO_DATA'!B:G,6,FALSE)=0/1/1900,TODAY(),VLOOKUP(A524,'ECN-ECO_DATA'!B:G,6,FALSE))),"")</f>
        <v/>
      </c>
      <c r="E524" s="9" t="str">
        <f>IFERROR((IF(VLOOKUP(A524,'ECN-ECO_DATA'!B:G,6,FALSE)=0/1/1900,"",VLOOKUP(A524,'ECN-ECO_DATA'!B:G,6,FALSE))),"")</f>
        <v/>
      </c>
      <c r="F524" s="9" t="str">
        <f>IFERROR((IF(VLOOKUP(A524,'ECN-ECO_DATA'!B:J,7,FALSE)=0/1/1900,"",VLOOKUP(A524,'ECN-ECO_DATA'!B:J,7,FALSE))),"")</f>
        <v/>
      </c>
      <c r="G524" s="9" t="str">
        <f>IFERROR((IF(VLOOKUP(A524,'ECN-ECO_DATA'!B:J,8,FALSE)=0/1/1900,"",VLOOKUP(A524,'ECN-ECO_DATA'!B:J,8,FALSE))),"")</f>
        <v/>
      </c>
      <c r="H524" s="9" t="str">
        <f>IFERROR((IF(VLOOKUP(A524,'ECN-ECO_DATA'!B:J,9,FALSE)=0/1/1900,"",VLOOKUP(A524,'ECN-ECO_DATA'!B:J,9,FALSE))),"")</f>
        <v/>
      </c>
      <c r="I524" s="10" t="str">
        <f>IFERROR((IF(VLOOKUP(A524,'ECN-ECO_DATA'!B:Q,13,FALSE)="","",VLOOKUP(A524,'ECN-ECO_DATA'!B:Q,13,FALSE))),"")</f>
        <v/>
      </c>
      <c r="J524" s="10" t="str">
        <f>IFERROR((IF(VLOOKUP(A524,'ECN-ECO_DATA'!B:Q,14,FALSE)="","",VLOOKUP(A524,'ECN-ECO_DATA'!B:Q,14,FALSE))),"")</f>
        <v/>
      </c>
      <c r="K524" s="10" t="str">
        <f>IFERROR((IF(VLOOKUP(A524,'ECN-ECO_DATA'!B:Q,15,FALSE)="","",VLOOKUP(A524,'ECN-ECO_DATA'!B:Q,15,FALSE))),"")</f>
        <v/>
      </c>
      <c r="L524" s="10" t="str">
        <f>IFERROR((IF(VLOOKUP(A524,'ECN-ECO_DATA'!B:Q,16,FALSE)="","",VLOOKUP(A524,'ECN-ECO_DATA'!B:Q,16,FALSE))),"")</f>
        <v/>
      </c>
      <c r="M524" s="9" t="str">
        <f>IFERROR((IF(VLOOKUP(A524,'ECN-ECO_DATA'!B:V,18,FALSE)=0/1/1900,"",VLOOKUP(A524,'ECN-ECO_DATA'!B:V,18,FALSE))),"")</f>
        <v/>
      </c>
      <c r="N524" s="9" t="str">
        <f>IFERROR((IF(VLOOKUP(A524,'ECN-ECO_DATA'!B:V,19,FALSE)=0/1/1900,"",VLOOKUP(A524,'ECN-ECO_DATA'!B:V,19,FALSE))),"")</f>
        <v/>
      </c>
      <c r="O524" s="9" t="str">
        <f>IFERROR((IF(VLOOKUP(A524,'ECN-ECO_DATA'!B:V,20,FALSE)=0/1/1900,"",VLOOKUP(A524,'ECN-ECO_DATA'!B:V,20,FALSE))),"")</f>
        <v/>
      </c>
      <c r="P524" s="9" t="str">
        <f>IFERROR((IF(VLOOKUP(A524,'ECN-ECO_DATA'!B:V,21,FALSE)=0/1/1900,"",VLOOKUP(A524,'ECN-ECO_DATA'!B:V,21,FALSE))),"")</f>
        <v/>
      </c>
      <c r="Q524" s="10" t="str">
        <f t="shared" ca="1" si="40"/>
        <v/>
      </c>
      <c r="R524" s="4" t="str">
        <f t="shared" si="41"/>
        <v/>
      </c>
      <c r="S524" s="4" t="str">
        <f t="shared" si="42"/>
        <v/>
      </c>
      <c r="T524" s="4" t="str">
        <f t="shared" si="43"/>
        <v/>
      </c>
      <c r="U524" s="10" t="str">
        <f t="shared" si="44"/>
        <v/>
      </c>
      <c r="V524" s="4"/>
    </row>
    <row r="525" spans="2:22" x14ac:dyDescent="0.25">
      <c r="B525" s="4" t="str">
        <f>IFERROR(VLOOKUP(A525,'ECN-ECO_DATA'!B:G,4,FALSE),"")</f>
        <v/>
      </c>
      <c r="C525" s="9" t="str">
        <f>IFERROR(VLOOKUP(A525,'ECN-ECO_DATA'!B:G,5,FALSE),"")</f>
        <v/>
      </c>
      <c r="D525" s="9" t="str">
        <f ca="1">IFERROR((IF(VLOOKUP(A525,'ECN-ECO_DATA'!B:G,6,FALSE)=0/1/1900,TODAY(),VLOOKUP(A525,'ECN-ECO_DATA'!B:G,6,FALSE))),"")</f>
        <v/>
      </c>
      <c r="E525" s="9" t="str">
        <f>IFERROR((IF(VLOOKUP(A525,'ECN-ECO_DATA'!B:G,6,FALSE)=0/1/1900,"",VLOOKUP(A525,'ECN-ECO_DATA'!B:G,6,FALSE))),"")</f>
        <v/>
      </c>
      <c r="F525" s="9" t="str">
        <f>IFERROR((IF(VLOOKUP(A525,'ECN-ECO_DATA'!B:J,7,FALSE)=0/1/1900,"",VLOOKUP(A525,'ECN-ECO_DATA'!B:J,7,FALSE))),"")</f>
        <v/>
      </c>
      <c r="G525" s="9" t="str">
        <f>IFERROR((IF(VLOOKUP(A525,'ECN-ECO_DATA'!B:J,8,FALSE)=0/1/1900,"",VLOOKUP(A525,'ECN-ECO_DATA'!B:J,8,FALSE))),"")</f>
        <v/>
      </c>
      <c r="H525" s="9" t="str">
        <f>IFERROR((IF(VLOOKUP(A525,'ECN-ECO_DATA'!B:J,9,FALSE)=0/1/1900,"",VLOOKUP(A525,'ECN-ECO_DATA'!B:J,9,FALSE))),"")</f>
        <v/>
      </c>
      <c r="I525" s="10" t="str">
        <f>IFERROR((IF(VLOOKUP(A525,'ECN-ECO_DATA'!B:Q,13,FALSE)="","",VLOOKUP(A525,'ECN-ECO_DATA'!B:Q,13,FALSE))),"")</f>
        <v/>
      </c>
      <c r="J525" s="10" t="str">
        <f>IFERROR((IF(VLOOKUP(A525,'ECN-ECO_DATA'!B:Q,14,FALSE)="","",VLOOKUP(A525,'ECN-ECO_DATA'!B:Q,14,FALSE))),"")</f>
        <v/>
      </c>
      <c r="K525" s="10" t="str">
        <f>IFERROR((IF(VLOOKUP(A525,'ECN-ECO_DATA'!B:Q,15,FALSE)="","",VLOOKUP(A525,'ECN-ECO_DATA'!B:Q,15,FALSE))),"")</f>
        <v/>
      </c>
      <c r="L525" s="10" t="str">
        <f>IFERROR((IF(VLOOKUP(A525,'ECN-ECO_DATA'!B:Q,16,FALSE)="","",VLOOKUP(A525,'ECN-ECO_DATA'!B:Q,16,FALSE))),"")</f>
        <v/>
      </c>
      <c r="M525" s="9" t="str">
        <f>IFERROR((IF(VLOOKUP(A525,'ECN-ECO_DATA'!B:V,18,FALSE)=0/1/1900,"",VLOOKUP(A525,'ECN-ECO_DATA'!B:V,18,FALSE))),"")</f>
        <v/>
      </c>
      <c r="N525" s="9" t="str">
        <f>IFERROR((IF(VLOOKUP(A525,'ECN-ECO_DATA'!B:V,19,FALSE)=0/1/1900,"",VLOOKUP(A525,'ECN-ECO_DATA'!B:V,19,FALSE))),"")</f>
        <v/>
      </c>
      <c r="O525" s="9" t="str">
        <f>IFERROR((IF(VLOOKUP(A525,'ECN-ECO_DATA'!B:V,20,FALSE)=0/1/1900,"",VLOOKUP(A525,'ECN-ECO_DATA'!B:V,20,FALSE))),"")</f>
        <v/>
      </c>
      <c r="P525" s="9" t="str">
        <f>IFERROR((IF(VLOOKUP(A525,'ECN-ECO_DATA'!B:V,21,FALSE)=0/1/1900,"",VLOOKUP(A525,'ECN-ECO_DATA'!B:V,21,FALSE))),"")</f>
        <v/>
      </c>
      <c r="Q525" s="10" t="str">
        <f t="shared" ca="1" si="40"/>
        <v/>
      </c>
      <c r="R525" s="4" t="str">
        <f t="shared" si="41"/>
        <v/>
      </c>
      <c r="S525" s="4" t="str">
        <f t="shared" si="42"/>
        <v/>
      </c>
      <c r="T525" s="4" t="str">
        <f t="shared" si="43"/>
        <v/>
      </c>
      <c r="U525" s="10" t="str">
        <f t="shared" si="44"/>
        <v/>
      </c>
      <c r="V525" s="4"/>
    </row>
    <row r="526" spans="2:22" x14ac:dyDescent="0.25">
      <c r="B526" s="4" t="str">
        <f>IFERROR(VLOOKUP(A526,'ECN-ECO_DATA'!B:G,4,FALSE),"")</f>
        <v/>
      </c>
      <c r="C526" s="9" t="str">
        <f>IFERROR(VLOOKUP(A526,'ECN-ECO_DATA'!B:G,5,FALSE),"")</f>
        <v/>
      </c>
      <c r="D526" s="9" t="str">
        <f ca="1">IFERROR((IF(VLOOKUP(A526,'ECN-ECO_DATA'!B:G,6,FALSE)=0/1/1900,TODAY(),VLOOKUP(A526,'ECN-ECO_DATA'!B:G,6,FALSE))),"")</f>
        <v/>
      </c>
      <c r="E526" s="9" t="str">
        <f>IFERROR((IF(VLOOKUP(A526,'ECN-ECO_DATA'!B:G,6,FALSE)=0/1/1900,"",VLOOKUP(A526,'ECN-ECO_DATA'!B:G,6,FALSE))),"")</f>
        <v/>
      </c>
      <c r="F526" s="9" t="str">
        <f>IFERROR((IF(VLOOKUP(A526,'ECN-ECO_DATA'!B:J,7,FALSE)=0/1/1900,"",VLOOKUP(A526,'ECN-ECO_DATA'!B:J,7,FALSE))),"")</f>
        <v/>
      </c>
      <c r="G526" s="9" t="str">
        <f>IFERROR((IF(VLOOKUP(A526,'ECN-ECO_DATA'!B:J,8,FALSE)=0/1/1900,"",VLOOKUP(A526,'ECN-ECO_DATA'!B:J,8,FALSE))),"")</f>
        <v/>
      </c>
      <c r="H526" s="9" t="str">
        <f>IFERROR((IF(VLOOKUP(A526,'ECN-ECO_DATA'!B:J,9,FALSE)=0/1/1900,"",VLOOKUP(A526,'ECN-ECO_DATA'!B:J,9,FALSE))),"")</f>
        <v/>
      </c>
      <c r="I526" s="10" t="str">
        <f>IFERROR((IF(VLOOKUP(A526,'ECN-ECO_DATA'!B:Q,13,FALSE)="","",VLOOKUP(A526,'ECN-ECO_DATA'!B:Q,13,FALSE))),"")</f>
        <v/>
      </c>
      <c r="J526" s="10" t="str">
        <f>IFERROR((IF(VLOOKUP(A526,'ECN-ECO_DATA'!B:Q,14,FALSE)="","",VLOOKUP(A526,'ECN-ECO_DATA'!B:Q,14,FALSE))),"")</f>
        <v/>
      </c>
      <c r="K526" s="10" t="str">
        <f>IFERROR((IF(VLOOKUP(A526,'ECN-ECO_DATA'!B:Q,15,FALSE)="","",VLOOKUP(A526,'ECN-ECO_DATA'!B:Q,15,FALSE))),"")</f>
        <v/>
      </c>
      <c r="L526" s="10" t="str">
        <f>IFERROR((IF(VLOOKUP(A526,'ECN-ECO_DATA'!B:Q,16,FALSE)="","",VLOOKUP(A526,'ECN-ECO_DATA'!B:Q,16,FALSE))),"")</f>
        <v/>
      </c>
      <c r="M526" s="9" t="str">
        <f>IFERROR((IF(VLOOKUP(A526,'ECN-ECO_DATA'!B:V,18,FALSE)=0/1/1900,"",VLOOKUP(A526,'ECN-ECO_DATA'!B:V,18,FALSE))),"")</f>
        <v/>
      </c>
      <c r="N526" s="9" t="str">
        <f>IFERROR((IF(VLOOKUP(A526,'ECN-ECO_DATA'!B:V,19,FALSE)=0/1/1900,"",VLOOKUP(A526,'ECN-ECO_DATA'!B:V,19,FALSE))),"")</f>
        <v/>
      </c>
      <c r="O526" s="9" t="str">
        <f>IFERROR((IF(VLOOKUP(A526,'ECN-ECO_DATA'!B:V,20,FALSE)=0/1/1900,"",VLOOKUP(A526,'ECN-ECO_DATA'!B:V,20,FALSE))),"")</f>
        <v/>
      </c>
      <c r="P526" s="9" t="str">
        <f>IFERROR((IF(VLOOKUP(A526,'ECN-ECO_DATA'!B:V,21,FALSE)=0/1/1900,"",VLOOKUP(A526,'ECN-ECO_DATA'!B:V,21,FALSE))),"")</f>
        <v/>
      </c>
      <c r="Q526" s="10" t="str">
        <f t="shared" ca="1" si="40"/>
        <v/>
      </c>
      <c r="R526" s="4" t="str">
        <f t="shared" si="41"/>
        <v/>
      </c>
      <c r="S526" s="4" t="str">
        <f t="shared" si="42"/>
        <v/>
      </c>
      <c r="T526" s="4" t="str">
        <f t="shared" si="43"/>
        <v/>
      </c>
      <c r="U526" s="10" t="str">
        <f t="shared" si="44"/>
        <v/>
      </c>
      <c r="V526" s="4"/>
    </row>
    <row r="527" spans="2:22" x14ac:dyDescent="0.25">
      <c r="B527" s="4" t="str">
        <f>IFERROR(VLOOKUP(A527,'ECN-ECO_DATA'!B:G,4,FALSE),"")</f>
        <v/>
      </c>
      <c r="C527" s="9" t="str">
        <f>IFERROR(VLOOKUP(A527,'ECN-ECO_DATA'!B:G,5,FALSE),"")</f>
        <v/>
      </c>
      <c r="D527" s="9" t="str">
        <f ca="1">IFERROR((IF(VLOOKUP(A527,'ECN-ECO_DATA'!B:G,6,FALSE)=0/1/1900,TODAY(),VLOOKUP(A527,'ECN-ECO_DATA'!B:G,6,FALSE))),"")</f>
        <v/>
      </c>
      <c r="E527" s="9" t="str">
        <f>IFERROR((IF(VLOOKUP(A527,'ECN-ECO_DATA'!B:G,6,FALSE)=0/1/1900,"",VLOOKUP(A527,'ECN-ECO_DATA'!B:G,6,FALSE))),"")</f>
        <v/>
      </c>
      <c r="F527" s="9" t="str">
        <f>IFERROR((IF(VLOOKUP(A527,'ECN-ECO_DATA'!B:J,7,FALSE)=0/1/1900,"",VLOOKUP(A527,'ECN-ECO_DATA'!B:J,7,FALSE))),"")</f>
        <v/>
      </c>
      <c r="G527" s="9" t="str">
        <f>IFERROR((IF(VLOOKUP(A527,'ECN-ECO_DATA'!B:J,8,FALSE)=0/1/1900,"",VLOOKUP(A527,'ECN-ECO_DATA'!B:J,8,FALSE))),"")</f>
        <v/>
      </c>
      <c r="H527" s="9" t="str">
        <f>IFERROR((IF(VLOOKUP(A527,'ECN-ECO_DATA'!B:J,9,FALSE)=0/1/1900,"",VLOOKUP(A527,'ECN-ECO_DATA'!B:J,9,FALSE))),"")</f>
        <v/>
      </c>
      <c r="I527" s="10" t="str">
        <f>IFERROR((IF(VLOOKUP(A527,'ECN-ECO_DATA'!B:Q,13,FALSE)="","",VLOOKUP(A527,'ECN-ECO_DATA'!B:Q,13,FALSE))),"")</f>
        <v/>
      </c>
      <c r="J527" s="10" t="str">
        <f>IFERROR((IF(VLOOKUP(A527,'ECN-ECO_DATA'!B:Q,14,FALSE)="","",VLOOKUP(A527,'ECN-ECO_DATA'!B:Q,14,FALSE))),"")</f>
        <v/>
      </c>
      <c r="K527" s="10" t="str">
        <f>IFERROR((IF(VLOOKUP(A527,'ECN-ECO_DATA'!B:Q,15,FALSE)="","",VLOOKUP(A527,'ECN-ECO_DATA'!B:Q,15,FALSE))),"")</f>
        <v/>
      </c>
      <c r="L527" s="10" t="str">
        <f>IFERROR((IF(VLOOKUP(A527,'ECN-ECO_DATA'!B:Q,16,FALSE)="","",VLOOKUP(A527,'ECN-ECO_DATA'!B:Q,16,FALSE))),"")</f>
        <v/>
      </c>
      <c r="M527" s="9" t="str">
        <f>IFERROR((IF(VLOOKUP(A527,'ECN-ECO_DATA'!B:V,18,FALSE)=0/1/1900,"",VLOOKUP(A527,'ECN-ECO_DATA'!B:V,18,FALSE))),"")</f>
        <v/>
      </c>
      <c r="N527" s="9" t="str">
        <f>IFERROR((IF(VLOOKUP(A527,'ECN-ECO_DATA'!B:V,19,FALSE)=0/1/1900,"",VLOOKUP(A527,'ECN-ECO_DATA'!B:V,19,FALSE))),"")</f>
        <v/>
      </c>
      <c r="O527" s="9" t="str">
        <f>IFERROR((IF(VLOOKUP(A527,'ECN-ECO_DATA'!B:V,20,FALSE)=0/1/1900,"",VLOOKUP(A527,'ECN-ECO_DATA'!B:V,20,FALSE))),"")</f>
        <v/>
      </c>
      <c r="P527" s="9" t="str">
        <f>IFERROR((IF(VLOOKUP(A527,'ECN-ECO_DATA'!B:V,21,FALSE)=0/1/1900,"",VLOOKUP(A527,'ECN-ECO_DATA'!B:V,21,FALSE))),"")</f>
        <v/>
      </c>
      <c r="Q527" s="10" t="str">
        <f t="shared" ca="1" si="40"/>
        <v/>
      </c>
      <c r="R527" s="4" t="str">
        <f t="shared" si="41"/>
        <v/>
      </c>
      <c r="S527" s="4" t="str">
        <f t="shared" si="42"/>
        <v/>
      </c>
      <c r="T527" s="4" t="str">
        <f t="shared" si="43"/>
        <v/>
      </c>
      <c r="U527" s="10" t="str">
        <f t="shared" si="44"/>
        <v/>
      </c>
      <c r="V527" s="4"/>
    </row>
    <row r="528" spans="2:22" x14ac:dyDescent="0.25">
      <c r="B528" s="4" t="str">
        <f>IFERROR(VLOOKUP(A528,'ECN-ECO_DATA'!B:G,4,FALSE),"")</f>
        <v/>
      </c>
      <c r="C528" s="9" t="str">
        <f>IFERROR(VLOOKUP(A528,'ECN-ECO_DATA'!B:G,5,FALSE),"")</f>
        <v/>
      </c>
      <c r="D528" s="9" t="str">
        <f ca="1">IFERROR((IF(VLOOKUP(A528,'ECN-ECO_DATA'!B:G,6,FALSE)=0/1/1900,TODAY(),VLOOKUP(A528,'ECN-ECO_DATA'!B:G,6,FALSE))),"")</f>
        <v/>
      </c>
      <c r="E528" s="9" t="str">
        <f>IFERROR((IF(VLOOKUP(A528,'ECN-ECO_DATA'!B:G,6,FALSE)=0/1/1900,"",VLOOKUP(A528,'ECN-ECO_DATA'!B:G,6,FALSE))),"")</f>
        <v/>
      </c>
      <c r="F528" s="9" t="str">
        <f>IFERROR((IF(VLOOKUP(A528,'ECN-ECO_DATA'!B:J,7,FALSE)=0/1/1900,"",VLOOKUP(A528,'ECN-ECO_DATA'!B:J,7,FALSE))),"")</f>
        <v/>
      </c>
      <c r="G528" s="9" t="str">
        <f>IFERROR((IF(VLOOKUP(A528,'ECN-ECO_DATA'!B:J,8,FALSE)=0/1/1900,"",VLOOKUP(A528,'ECN-ECO_DATA'!B:J,8,FALSE))),"")</f>
        <v/>
      </c>
      <c r="H528" s="9" t="str">
        <f>IFERROR((IF(VLOOKUP(A528,'ECN-ECO_DATA'!B:J,9,FALSE)=0/1/1900,"",VLOOKUP(A528,'ECN-ECO_DATA'!B:J,9,FALSE))),"")</f>
        <v/>
      </c>
      <c r="I528" s="10" t="str">
        <f>IFERROR((IF(VLOOKUP(A528,'ECN-ECO_DATA'!B:Q,13,FALSE)="","",VLOOKUP(A528,'ECN-ECO_DATA'!B:Q,13,FALSE))),"")</f>
        <v/>
      </c>
      <c r="J528" s="10" t="str">
        <f>IFERROR((IF(VLOOKUP(A528,'ECN-ECO_DATA'!B:Q,14,FALSE)="","",VLOOKUP(A528,'ECN-ECO_DATA'!B:Q,14,FALSE))),"")</f>
        <v/>
      </c>
      <c r="K528" s="10" t="str">
        <f>IFERROR((IF(VLOOKUP(A528,'ECN-ECO_DATA'!B:Q,15,FALSE)="","",VLOOKUP(A528,'ECN-ECO_DATA'!B:Q,15,FALSE))),"")</f>
        <v/>
      </c>
      <c r="L528" s="10" t="str">
        <f>IFERROR((IF(VLOOKUP(A528,'ECN-ECO_DATA'!B:Q,16,FALSE)="","",VLOOKUP(A528,'ECN-ECO_DATA'!B:Q,16,FALSE))),"")</f>
        <v/>
      </c>
      <c r="M528" s="9" t="str">
        <f>IFERROR((IF(VLOOKUP(A528,'ECN-ECO_DATA'!B:V,18,FALSE)=0/1/1900,"",VLOOKUP(A528,'ECN-ECO_DATA'!B:V,18,FALSE))),"")</f>
        <v/>
      </c>
      <c r="N528" s="9" t="str">
        <f>IFERROR((IF(VLOOKUP(A528,'ECN-ECO_DATA'!B:V,19,FALSE)=0/1/1900,"",VLOOKUP(A528,'ECN-ECO_DATA'!B:V,19,FALSE))),"")</f>
        <v/>
      </c>
      <c r="O528" s="9" t="str">
        <f>IFERROR((IF(VLOOKUP(A528,'ECN-ECO_DATA'!B:V,20,FALSE)=0/1/1900,"",VLOOKUP(A528,'ECN-ECO_DATA'!B:V,20,FALSE))),"")</f>
        <v/>
      </c>
      <c r="P528" s="9" t="str">
        <f>IFERROR((IF(VLOOKUP(A528,'ECN-ECO_DATA'!B:V,21,FALSE)=0/1/1900,"",VLOOKUP(A528,'ECN-ECO_DATA'!B:V,21,FALSE))),"")</f>
        <v/>
      </c>
      <c r="Q528" s="10" t="str">
        <f t="shared" ca="1" si="40"/>
        <v/>
      </c>
      <c r="R528" s="4" t="str">
        <f t="shared" si="41"/>
        <v/>
      </c>
      <c r="S528" s="4" t="str">
        <f t="shared" si="42"/>
        <v/>
      </c>
      <c r="T528" s="4" t="str">
        <f t="shared" si="43"/>
        <v/>
      </c>
      <c r="U528" s="10" t="str">
        <f t="shared" si="44"/>
        <v/>
      </c>
      <c r="V528" s="4"/>
    </row>
    <row r="529" spans="2:22" x14ac:dyDescent="0.25">
      <c r="B529" s="4" t="str">
        <f>IFERROR(VLOOKUP(A529,'ECN-ECO_DATA'!B:G,4,FALSE),"")</f>
        <v/>
      </c>
      <c r="C529" s="9" t="str">
        <f>IFERROR(VLOOKUP(A529,'ECN-ECO_DATA'!B:G,5,FALSE),"")</f>
        <v/>
      </c>
      <c r="D529" s="9" t="str">
        <f ca="1">IFERROR((IF(VLOOKUP(A529,'ECN-ECO_DATA'!B:G,6,FALSE)=0/1/1900,TODAY(),VLOOKUP(A529,'ECN-ECO_DATA'!B:G,6,FALSE))),"")</f>
        <v/>
      </c>
      <c r="E529" s="9" t="str">
        <f>IFERROR((IF(VLOOKUP(A529,'ECN-ECO_DATA'!B:G,6,FALSE)=0/1/1900,"",VLOOKUP(A529,'ECN-ECO_DATA'!B:G,6,FALSE))),"")</f>
        <v/>
      </c>
      <c r="F529" s="9" t="str">
        <f>IFERROR((IF(VLOOKUP(A529,'ECN-ECO_DATA'!B:J,7,FALSE)=0/1/1900,"",VLOOKUP(A529,'ECN-ECO_DATA'!B:J,7,FALSE))),"")</f>
        <v/>
      </c>
      <c r="G529" s="9" t="str">
        <f>IFERROR((IF(VLOOKUP(A529,'ECN-ECO_DATA'!B:J,8,FALSE)=0/1/1900,"",VLOOKUP(A529,'ECN-ECO_DATA'!B:J,8,FALSE))),"")</f>
        <v/>
      </c>
      <c r="H529" s="9" t="str">
        <f>IFERROR((IF(VLOOKUP(A529,'ECN-ECO_DATA'!B:J,9,FALSE)=0/1/1900,"",VLOOKUP(A529,'ECN-ECO_DATA'!B:J,9,FALSE))),"")</f>
        <v/>
      </c>
      <c r="I529" s="10" t="str">
        <f>IFERROR((IF(VLOOKUP(A529,'ECN-ECO_DATA'!B:Q,13,FALSE)="","",VLOOKUP(A529,'ECN-ECO_DATA'!B:Q,13,FALSE))),"")</f>
        <v/>
      </c>
      <c r="J529" s="10" t="str">
        <f>IFERROR((IF(VLOOKUP(A529,'ECN-ECO_DATA'!B:Q,14,FALSE)="","",VLOOKUP(A529,'ECN-ECO_DATA'!B:Q,14,FALSE))),"")</f>
        <v/>
      </c>
      <c r="K529" s="10" t="str">
        <f>IFERROR((IF(VLOOKUP(A529,'ECN-ECO_DATA'!B:Q,15,FALSE)="","",VLOOKUP(A529,'ECN-ECO_DATA'!B:Q,15,FALSE))),"")</f>
        <v/>
      </c>
      <c r="L529" s="10" t="str">
        <f>IFERROR((IF(VLOOKUP(A529,'ECN-ECO_DATA'!B:Q,16,FALSE)="","",VLOOKUP(A529,'ECN-ECO_DATA'!B:Q,16,FALSE))),"")</f>
        <v/>
      </c>
      <c r="M529" s="9" t="str">
        <f>IFERROR((IF(VLOOKUP(A529,'ECN-ECO_DATA'!B:V,18,FALSE)=0/1/1900,"",VLOOKUP(A529,'ECN-ECO_DATA'!B:V,18,FALSE))),"")</f>
        <v/>
      </c>
      <c r="N529" s="9" t="str">
        <f>IFERROR((IF(VLOOKUP(A529,'ECN-ECO_DATA'!B:V,19,FALSE)=0/1/1900,"",VLOOKUP(A529,'ECN-ECO_DATA'!B:V,19,FALSE))),"")</f>
        <v/>
      </c>
      <c r="O529" s="9" t="str">
        <f>IFERROR((IF(VLOOKUP(A529,'ECN-ECO_DATA'!B:V,20,FALSE)=0/1/1900,"",VLOOKUP(A529,'ECN-ECO_DATA'!B:V,20,FALSE))),"")</f>
        <v/>
      </c>
      <c r="P529" s="9" t="str">
        <f>IFERROR((IF(VLOOKUP(A529,'ECN-ECO_DATA'!B:V,21,FALSE)=0/1/1900,"",VLOOKUP(A529,'ECN-ECO_DATA'!B:V,21,FALSE))),"")</f>
        <v/>
      </c>
      <c r="Q529" s="10" t="str">
        <f t="shared" ca="1" si="40"/>
        <v/>
      </c>
      <c r="R529" s="4" t="str">
        <f t="shared" si="41"/>
        <v/>
      </c>
      <c r="S529" s="4" t="str">
        <f t="shared" si="42"/>
        <v/>
      </c>
      <c r="T529" s="4" t="str">
        <f t="shared" si="43"/>
        <v/>
      </c>
      <c r="U529" s="10" t="str">
        <f t="shared" si="44"/>
        <v/>
      </c>
      <c r="V529" s="4"/>
    </row>
    <row r="530" spans="2:22" x14ac:dyDescent="0.25">
      <c r="B530" s="4" t="str">
        <f>IFERROR(VLOOKUP(A530,'ECN-ECO_DATA'!B:G,4,FALSE),"")</f>
        <v/>
      </c>
      <c r="C530" s="9" t="str">
        <f>IFERROR(VLOOKUP(A530,'ECN-ECO_DATA'!B:G,5,FALSE),"")</f>
        <v/>
      </c>
      <c r="D530" s="9" t="str">
        <f ca="1">IFERROR((IF(VLOOKUP(A530,'ECN-ECO_DATA'!B:G,6,FALSE)=0/1/1900,TODAY(),VLOOKUP(A530,'ECN-ECO_DATA'!B:G,6,FALSE))),"")</f>
        <v/>
      </c>
      <c r="E530" s="9" t="str">
        <f>IFERROR((IF(VLOOKUP(A530,'ECN-ECO_DATA'!B:G,6,FALSE)=0/1/1900,"",VLOOKUP(A530,'ECN-ECO_DATA'!B:G,6,FALSE))),"")</f>
        <v/>
      </c>
      <c r="F530" s="9" t="str">
        <f>IFERROR((IF(VLOOKUP(A530,'ECN-ECO_DATA'!B:J,7,FALSE)=0/1/1900,"",VLOOKUP(A530,'ECN-ECO_DATA'!B:J,7,FALSE))),"")</f>
        <v/>
      </c>
      <c r="G530" s="9" t="str">
        <f>IFERROR((IF(VLOOKUP(A530,'ECN-ECO_DATA'!B:J,8,FALSE)=0/1/1900,"",VLOOKUP(A530,'ECN-ECO_DATA'!B:J,8,FALSE))),"")</f>
        <v/>
      </c>
      <c r="H530" s="9" t="str">
        <f>IFERROR((IF(VLOOKUP(A530,'ECN-ECO_DATA'!B:J,9,FALSE)=0/1/1900,"",VLOOKUP(A530,'ECN-ECO_DATA'!B:J,9,FALSE))),"")</f>
        <v/>
      </c>
      <c r="I530" s="10" t="str">
        <f>IFERROR((IF(VLOOKUP(A530,'ECN-ECO_DATA'!B:Q,13,FALSE)="","",VLOOKUP(A530,'ECN-ECO_DATA'!B:Q,13,FALSE))),"")</f>
        <v/>
      </c>
      <c r="J530" s="10" t="str">
        <f>IFERROR((IF(VLOOKUP(A530,'ECN-ECO_DATA'!B:Q,14,FALSE)="","",VLOOKUP(A530,'ECN-ECO_DATA'!B:Q,14,FALSE))),"")</f>
        <v/>
      </c>
      <c r="K530" s="10" t="str">
        <f>IFERROR((IF(VLOOKUP(A530,'ECN-ECO_DATA'!B:Q,15,FALSE)="","",VLOOKUP(A530,'ECN-ECO_DATA'!B:Q,15,FALSE))),"")</f>
        <v/>
      </c>
      <c r="L530" s="10" t="str">
        <f>IFERROR((IF(VLOOKUP(A530,'ECN-ECO_DATA'!B:Q,16,FALSE)="","",VLOOKUP(A530,'ECN-ECO_DATA'!B:Q,16,FALSE))),"")</f>
        <v/>
      </c>
      <c r="M530" s="9" t="str">
        <f>IFERROR((IF(VLOOKUP(A530,'ECN-ECO_DATA'!B:V,18,FALSE)=0/1/1900,"",VLOOKUP(A530,'ECN-ECO_DATA'!B:V,18,FALSE))),"")</f>
        <v/>
      </c>
      <c r="N530" s="9" t="str">
        <f>IFERROR((IF(VLOOKUP(A530,'ECN-ECO_DATA'!B:V,19,FALSE)=0/1/1900,"",VLOOKUP(A530,'ECN-ECO_DATA'!B:V,19,FALSE))),"")</f>
        <v/>
      </c>
      <c r="O530" s="9" t="str">
        <f>IFERROR((IF(VLOOKUP(A530,'ECN-ECO_DATA'!B:V,20,FALSE)=0/1/1900,"",VLOOKUP(A530,'ECN-ECO_DATA'!B:V,20,FALSE))),"")</f>
        <v/>
      </c>
      <c r="P530" s="9" t="str">
        <f>IFERROR((IF(VLOOKUP(A530,'ECN-ECO_DATA'!B:V,21,FALSE)=0/1/1900,"",VLOOKUP(A530,'ECN-ECO_DATA'!B:V,21,FALSE))),"")</f>
        <v/>
      </c>
      <c r="Q530" s="10" t="str">
        <f t="shared" ca="1" si="40"/>
        <v/>
      </c>
      <c r="R530" s="4" t="str">
        <f t="shared" si="41"/>
        <v/>
      </c>
      <c r="S530" s="4" t="str">
        <f t="shared" si="42"/>
        <v/>
      </c>
      <c r="T530" s="4" t="str">
        <f t="shared" si="43"/>
        <v/>
      </c>
      <c r="U530" s="10" t="str">
        <f t="shared" si="44"/>
        <v/>
      </c>
      <c r="V530" s="4"/>
    </row>
    <row r="531" spans="2:22" x14ac:dyDescent="0.25">
      <c r="B531" s="4" t="str">
        <f>IFERROR(VLOOKUP(A531,'ECN-ECO_DATA'!B:G,4,FALSE),"")</f>
        <v/>
      </c>
      <c r="C531" s="9" t="str">
        <f>IFERROR(VLOOKUP(A531,'ECN-ECO_DATA'!B:G,5,FALSE),"")</f>
        <v/>
      </c>
      <c r="D531" s="9" t="str">
        <f ca="1">IFERROR((IF(VLOOKUP(A531,'ECN-ECO_DATA'!B:G,6,FALSE)=0/1/1900,TODAY(),VLOOKUP(A531,'ECN-ECO_DATA'!B:G,6,FALSE))),"")</f>
        <v/>
      </c>
      <c r="E531" s="9" t="str">
        <f>IFERROR((IF(VLOOKUP(A531,'ECN-ECO_DATA'!B:G,6,FALSE)=0/1/1900,"",VLOOKUP(A531,'ECN-ECO_DATA'!B:G,6,FALSE))),"")</f>
        <v/>
      </c>
      <c r="F531" s="9" t="str">
        <f>IFERROR((IF(VLOOKUP(A531,'ECN-ECO_DATA'!B:J,7,FALSE)=0/1/1900,"",VLOOKUP(A531,'ECN-ECO_DATA'!B:J,7,FALSE))),"")</f>
        <v/>
      </c>
      <c r="G531" s="9" t="str">
        <f>IFERROR((IF(VLOOKUP(A531,'ECN-ECO_DATA'!B:J,8,FALSE)=0/1/1900,"",VLOOKUP(A531,'ECN-ECO_DATA'!B:J,8,FALSE))),"")</f>
        <v/>
      </c>
      <c r="H531" s="9" t="str">
        <f>IFERROR((IF(VLOOKUP(A531,'ECN-ECO_DATA'!B:J,9,FALSE)=0/1/1900,"",VLOOKUP(A531,'ECN-ECO_DATA'!B:J,9,FALSE))),"")</f>
        <v/>
      </c>
      <c r="I531" s="10" t="str">
        <f>IFERROR((IF(VLOOKUP(A531,'ECN-ECO_DATA'!B:Q,13,FALSE)="","",VLOOKUP(A531,'ECN-ECO_DATA'!B:Q,13,FALSE))),"")</f>
        <v/>
      </c>
      <c r="J531" s="10" t="str">
        <f>IFERROR((IF(VLOOKUP(A531,'ECN-ECO_DATA'!B:Q,14,FALSE)="","",VLOOKUP(A531,'ECN-ECO_DATA'!B:Q,14,FALSE))),"")</f>
        <v/>
      </c>
      <c r="K531" s="10" t="str">
        <f>IFERROR((IF(VLOOKUP(A531,'ECN-ECO_DATA'!B:Q,15,FALSE)="","",VLOOKUP(A531,'ECN-ECO_DATA'!B:Q,15,FALSE))),"")</f>
        <v/>
      </c>
      <c r="L531" s="10" t="str">
        <f>IFERROR((IF(VLOOKUP(A531,'ECN-ECO_DATA'!B:Q,16,FALSE)="","",VLOOKUP(A531,'ECN-ECO_DATA'!B:Q,16,FALSE))),"")</f>
        <v/>
      </c>
      <c r="M531" s="9" t="str">
        <f>IFERROR((IF(VLOOKUP(A531,'ECN-ECO_DATA'!B:V,18,FALSE)=0/1/1900,"",VLOOKUP(A531,'ECN-ECO_DATA'!B:V,18,FALSE))),"")</f>
        <v/>
      </c>
      <c r="N531" s="9" t="str">
        <f>IFERROR((IF(VLOOKUP(A531,'ECN-ECO_DATA'!B:V,19,FALSE)=0/1/1900,"",VLOOKUP(A531,'ECN-ECO_DATA'!B:V,19,FALSE))),"")</f>
        <v/>
      </c>
      <c r="O531" s="9" t="str">
        <f>IFERROR((IF(VLOOKUP(A531,'ECN-ECO_DATA'!B:V,20,FALSE)=0/1/1900,"",VLOOKUP(A531,'ECN-ECO_DATA'!B:V,20,FALSE))),"")</f>
        <v/>
      </c>
      <c r="P531" s="9" t="str">
        <f>IFERROR((IF(VLOOKUP(A531,'ECN-ECO_DATA'!B:V,21,FALSE)=0/1/1900,"",VLOOKUP(A531,'ECN-ECO_DATA'!B:V,21,FALSE))),"")</f>
        <v/>
      </c>
      <c r="Q531" s="10" t="str">
        <f t="shared" ca="1" si="40"/>
        <v/>
      </c>
      <c r="R531" s="4" t="str">
        <f t="shared" si="41"/>
        <v/>
      </c>
      <c r="S531" s="4" t="str">
        <f t="shared" si="42"/>
        <v/>
      </c>
      <c r="T531" s="4" t="str">
        <f t="shared" si="43"/>
        <v/>
      </c>
      <c r="U531" s="10" t="str">
        <f t="shared" si="44"/>
        <v/>
      </c>
      <c r="V531" s="4"/>
    </row>
    <row r="532" spans="2:22" x14ac:dyDescent="0.25">
      <c r="B532" s="4" t="str">
        <f>IFERROR(VLOOKUP(A532,'ECN-ECO_DATA'!B:G,4,FALSE),"")</f>
        <v/>
      </c>
      <c r="C532" s="9" t="str">
        <f>IFERROR(VLOOKUP(A532,'ECN-ECO_DATA'!B:G,5,FALSE),"")</f>
        <v/>
      </c>
      <c r="D532" s="9" t="str">
        <f ca="1">IFERROR((IF(VLOOKUP(A532,'ECN-ECO_DATA'!B:G,6,FALSE)=0/1/1900,TODAY(),VLOOKUP(A532,'ECN-ECO_DATA'!B:G,6,FALSE))),"")</f>
        <v/>
      </c>
      <c r="E532" s="9" t="str">
        <f>IFERROR((IF(VLOOKUP(A532,'ECN-ECO_DATA'!B:G,6,FALSE)=0/1/1900,"",VLOOKUP(A532,'ECN-ECO_DATA'!B:G,6,FALSE))),"")</f>
        <v/>
      </c>
      <c r="F532" s="9" t="str">
        <f>IFERROR((IF(VLOOKUP(A532,'ECN-ECO_DATA'!B:J,7,FALSE)=0/1/1900,"",VLOOKUP(A532,'ECN-ECO_DATA'!B:J,7,FALSE))),"")</f>
        <v/>
      </c>
      <c r="G532" s="9" t="str">
        <f>IFERROR((IF(VLOOKUP(A532,'ECN-ECO_DATA'!B:J,8,FALSE)=0/1/1900,"",VLOOKUP(A532,'ECN-ECO_DATA'!B:J,8,FALSE))),"")</f>
        <v/>
      </c>
      <c r="H532" s="9" t="str">
        <f>IFERROR((IF(VLOOKUP(A532,'ECN-ECO_DATA'!B:J,9,FALSE)=0/1/1900,"",VLOOKUP(A532,'ECN-ECO_DATA'!B:J,9,FALSE))),"")</f>
        <v/>
      </c>
      <c r="I532" s="10" t="str">
        <f>IFERROR((IF(VLOOKUP(A532,'ECN-ECO_DATA'!B:Q,13,FALSE)="","",VLOOKUP(A532,'ECN-ECO_DATA'!B:Q,13,FALSE))),"")</f>
        <v/>
      </c>
      <c r="J532" s="10" t="str">
        <f>IFERROR((IF(VLOOKUP(A532,'ECN-ECO_DATA'!B:Q,14,FALSE)="","",VLOOKUP(A532,'ECN-ECO_DATA'!B:Q,14,FALSE))),"")</f>
        <v/>
      </c>
      <c r="K532" s="10" t="str">
        <f>IFERROR((IF(VLOOKUP(A532,'ECN-ECO_DATA'!B:Q,15,FALSE)="","",VLOOKUP(A532,'ECN-ECO_DATA'!B:Q,15,FALSE))),"")</f>
        <v/>
      </c>
      <c r="L532" s="10" t="str">
        <f>IFERROR((IF(VLOOKUP(A532,'ECN-ECO_DATA'!B:Q,16,FALSE)="","",VLOOKUP(A532,'ECN-ECO_DATA'!B:Q,16,FALSE))),"")</f>
        <v/>
      </c>
      <c r="M532" s="9" t="str">
        <f>IFERROR((IF(VLOOKUP(A532,'ECN-ECO_DATA'!B:V,18,FALSE)=0/1/1900,"",VLOOKUP(A532,'ECN-ECO_DATA'!B:V,18,FALSE))),"")</f>
        <v/>
      </c>
      <c r="N532" s="9" t="str">
        <f>IFERROR((IF(VLOOKUP(A532,'ECN-ECO_DATA'!B:V,19,FALSE)=0/1/1900,"",VLOOKUP(A532,'ECN-ECO_DATA'!B:V,19,FALSE))),"")</f>
        <v/>
      </c>
      <c r="O532" s="9" t="str">
        <f>IFERROR((IF(VLOOKUP(A532,'ECN-ECO_DATA'!B:V,20,FALSE)=0/1/1900,"",VLOOKUP(A532,'ECN-ECO_DATA'!B:V,20,FALSE))),"")</f>
        <v/>
      </c>
      <c r="P532" s="9" t="str">
        <f>IFERROR((IF(VLOOKUP(A532,'ECN-ECO_DATA'!B:V,21,FALSE)=0/1/1900,"",VLOOKUP(A532,'ECN-ECO_DATA'!B:V,21,FALSE))),"")</f>
        <v/>
      </c>
      <c r="Q532" s="10" t="str">
        <f t="shared" ca="1" si="40"/>
        <v/>
      </c>
      <c r="R532" s="4" t="str">
        <f t="shared" si="41"/>
        <v/>
      </c>
      <c r="S532" s="4" t="str">
        <f t="shared" si="42"/>
        <v/>
      </c>
      <c r="T532" s="4" t="str">
        <f t="shared" si="43"/>
        <v/>
      </c>
      <c r="U532" s="10" t="str">
        <f t="shared" si="44"/>
        <v/>
      </c>
      <c r="V532" s="4"/>
    </row>
    <row r="533" spans="2:22" x14ac:dyDescent="0.25">
      <c r="B533" s="4" t="str">
        <f>IFERROR(VLOOKUP(A533,'ECN-ECO_DATA'!B:G,4,FALSE),"")</f>
        <v/>
      </c>
      <c r="C533" s="9" t="str">
        <f>IFERROR(VLOOKUP(A533,'ECN-ECO_DATA'!B:G,5,FALSE),"")</f>
        <v/>
      </c>
      <c r="D533" s="9" t="str">
        <f ca="1">IFERROR((IF(VLOOKUP(A533,'ECN-ECO_DATA'!B:G,6,FALSE)=0/1/1900,TODAY(),VLOOKUP(A533,'ECN-ECO_DATA'!B:G,6,FALSE))),"")</f>
        <v/>
      </c>
      <c r="E533" s="9" t="str">
        <f>IFERROR((IF(VLOOKUP(A533,'ECN-ECO_DATA'!B:G,6,FALSE)=0/1/1900,"",VLOOKUP(A533,'ECN-ECO_DATA'!B:G,6,FALSE))),"")</f>
        <v/>
      </c>
      <c r="F533" s="9" t="str">
        <f>IFERROR((IF(VLOOKUP(A533,'ECN-ECO_DATA'!B:J,7,FALSE)=0/1/1900,"",VLOOKUP(A533,'ECN-ECO_DATA'!B:J,7,FALSE))),"")</f>
        <v/>
      </c>
      <c r="G533" s="9" t="str">
        <f>IFERROR((IF(VLOOKUP(A533,'ECN-ECO_DATA'!B:J,8,FALSE)=0/1/1900,"",VLOOKUP(A533,'ECN-ECO_DATA'!B:J,8,FALSE))),"")</f>
        <v/>
      </c>
      <c r="H533" s="9" t="str">
        <f>IFERROR((IF(VLOOKUP(A533,'ECN-ECO_DATA'!B:J,9,FALSE)=0/1/1900,"",VLOOKUP(A533,'ECN-ECO_DATA'!B:J,9,FALSE))),"")</f>
        <v/>
      </c>
      <c r="I533" s="10" t="str">
        <f>IFERROR((IF(VLOOKUP(A533,'ECN-ECO_DATA'!B:Q,13,FALSE)="","",VLOOKUP(A533,'ECN-ECO_DATA'!B:Q,13,FALSE))),"")</f>
        <v/>
      </c>
      <c r="J533" s="10" t="str">
        <f>IFERROR((IF(VLOOKUP(A533,'ECN-ECO_DATA'!B:Q,14,FALSE)="","",VLOOKUP(A533,'ECN-ECO_DATA'!B:Q,14,FALSE))),"")</f>
        <v/>
      </c>
      <c r="K533" s="10" t="str">
        <f>IFERROR((IF(VLOOKUP(A533,'ECN-ECO_DATA'!B:Q,15,FALSE)="","",VLOOKUP(A533,'ECN-ECO_DATA'!B:Q,15,FALSE))),"")</f>
        <v/>
      </c>
      <c r="L533" s="10" t="str">
        <f>IFERROR((IF(VLOOKUP(A533,'ECN-ECO_DATA'!B:Q,16,FALSE)="","",VLOOKUP(A533,'ECN-ECO_DATA'!B:Q,16,FALSE))),"")</f>
        <v/>
      </c>
      <c r="M533" s="9" t="str">
        <f>IFERROR((IF(VLOOKUP(A533,'ECN-ECO_DATA'!B:V,18,FALSE)=0/1/1900,"",VLOOKUP(A533,'ECN-ECO_DATA'!B:V,18,FALSE))),"")</f>
        <v/>
      </c>
      <c r="N533" s="9" t="str">
        <f>IFERROR((IF(VLOOKUP(A533,'ECN-ECO_DATA'!B:V,19,FALSE)=0/1/1900,"",VLOOKUP(A533,'ECN-ECO_DATA'!B:V,19,FALSE))),"")</f>
        <v/>
      </c>
      <c r="O533" s="9" t="str">
        <f>IFERROR((IF(VLOOKUP(A533,'ECN-ECO_DATA'!B:V,20,FALSE)=0/1/1900,"",VLOOKUP(A533,'ECN-ECO_DATA'!B:V,20,FALSE))),"")</f>
        <v/>
      </c>
      <c r="P533" s="9" t="str">
        <f>IFERROR((IF(VLOOKUP(A533,'ECN-ECO_DATA'!B:V,21,FALSE)=0/1/1900,"",VLOOKUP(A533,'ECN-ECO_DATA'!B:V,21,FALSE))),"")</f>
        <v/>
      </c>
      <c r="Q533" s="10" t="str">
        <f t="shared" ca="1" si="40"/>
        <v/>
      </c>
      <c r="R533" s="4" t="str">
        <f t="shared" si="41"/>
        <v/>
      </c>
      <c r="S533" s="4" t="str">
        <f t="shared" si="42"/>
        <v/>
      </c>
      <c r="T533" s="4" t="str">
        <f t="shared" si="43"/>
        <v/>
      </c>
      <c r="U533" s="10" t="str">
        <f t="shared" si="44"/>
        <v/>
      </c>
      <c r="V533" s="4"/>
    </row>
    <row r="534" spans="2:22" x14ac:dyDescent="0.25">
      <c r="B534" s="4" t="str">
        <f>IFERROR(VLOOKUP(A534,'ECN-ECO_DATA'!B:G,4,FALSE),"")</f>
        <v/>
      </c>
      <c r="C534" s="9" t="str">
        <f>IFERROR(VLOOKUP(A534,'ECN-ECO_DATA'!B:G,5,FALSE),"")</f>
        <v/>
      </c>
      <c r="D534" s="9" t="str">
        <f ca="1">IFERROR((IF(VLOOKUP(A534,'ECN-ECO_DATA'!B:G,6,FALSE)=0/1/1900,TODAY(),VLOOKUP(A534,'ECN-ECO_DATA'!B:G,6,FALSE))),"")</f>
        <v/>
      </c>
      <c r="E534" s="9" t="str">
        <f>IFERROR((IF(VLOOKUP(A534,'ECN-ECO_DATA'!B:G,6,FALSE)=0/1/1900,"",VLOOKUP(A534,'ECN-ECO_DATA'!B:G,6,FALSE))),"")</f>
        <v/>
      </c>
      <c r="F534" s="9" t="str">
        <f>IFERROR((IF(VLOOKUP(A534,'ECN-ECO_DATA'!B:J,7,FALSE)=0/1/1900,"",VLOOKUP(A534,'ECN-ECO_DATA'!B:J,7,FALSE))),"")</f>
        <v/>
      </c>
      <c r="G534" s="9" t="str">
        <f>IFERROR((IF(VLOOKUP(A534,'ECN-ECO_DATA'!B:J,8,FALSE)=0/1/1900,"",VLOOKUP(A534,'ECN-ECO_DATA'!B:J,8,FALSE))),"")</f>
        <v/>
      </c>
      <c r="H534" s="9" t="str">
        <f>IFERROR((IF(VLOOKUP(A534,'ECN-ECO_DATA'!B:J,9,FALSE)=0/1/1900,"",VLOOKUP(A534,'ECN-ECO_DATA'!B:J,9,FALSE))),"")</f>
        <v/>
      </c>
      <c r="I534" s="10" t="str">
        <f>IFERROR((IF(VLOOKUP(A534,'ECN-ECO_DATA'!B:Q,13,FALSE)="","",VLOOKUP(A534,'ECN-ECO_DATA'!B:Q,13,FALSE))),"")</f>
        <v/>
      </c>
      <c r="J534" s="10" t="str">
        <f>IFERROR((IF(VLOOKUP(A534,'ECN-ECO_DATA'!B:Q,14,FALSE)="","",VLOOKUP(A534,'ECN-ECO_DATA'!B:Q,14,FALSE))),"")</f>
        <v/>
      </c>
      <c r="K534" s="10" t="str">
        <f>IFERROR((IF(VLOOKUP(A534,'ECN-ECO_DATA'!B:Q,15,FALSE)="","",VLOOKUP(A534,'ECN-ECO_DATA'!B:Q,15,FALSE))),"")</f>
        <v/>
      </c>
      <c r="L534" s="10" t="str">
        <f>IFERROR((IF(VLOOKUP(A534,'ECN-ECO_DATA'!B:Q,16,FALSE)="","",VLOOKUP(A534,'ECN-ECO_DATA'!B:Q,16,FALSE))),"")</f>
        <v/>
      </c>
      <c r="M534" s="9" t="str">
        <f>IFERROR((IF(VLOOKUP(A534,'ECN-ECO_DATA'!B:V,18,FALSE)=0/1/1900,"",VLOOKUP(A534,'ECN-ECO_DATA'!B:V,18,FALSE))),"")</f>
        <v/>
      </c>
      <c r="N534" s="9" t="str">
        <f>IFERROR((IF(VLOOKUP(A534,'ECN-ECO_DATA'!B:V,19,FALSE)=0/1/1900,"",VLOOKUP(A534,'ECN-ECO_DATA'!B:V,19,FALSE))),"")</f>
        <v/>
      </c>
      <c r="O534" s="9" t="str">
        <f>IFERROR((IF(VLOOKUP(A534,'ECN-ECO_DATA'!B:V,20,FALSE)=0/1/1900,"",VLOOKUP(A534,'ECN-ECO_DATA'!B:V,20,FALSE))),"")</f>
        <v/>
      </c>
      <c r="P534" s="9" t="str">
        <f>IFERROR((IF(VLOOKUP(A534,'ECN-ECO_DATA'!B:V,21,FALSE)=0/1/1900,"",VLOOKUP(A534,'ECN-ECO_DATA'!B:V,21,FALSE))),"")</f>
        <v/>
      </c>
      <c r="Q534" s="10" t="str">
        <f t="shared" ca="1" si="40"/>
        <v/>
      </c>
      <c r="R534" s="4" t="str">
        <f t="shared" si="41"/>
        <v/>
      </c>
      <c r="S534" s="4" t="str">
        <f t="shared" si="42"/>
        <v/>
      </c>
      <c r="T534" s="4" t="str">
        <f t="shared" si="43"/>
        <v/>
      </c>
      <c r="U534" s="10" t="str">
        <f t="shared" si="44"/>
        <v/>
      </c>
      <c r="V534" s="4"/>
    </row>
    <row r="535" spans="2:22" x14ac:dyDescent="0.25">
      <c r="B535" s="4" t="str">
        <f>IFERROR(VLOOKUP(A535,'ECN-ECO_DATA'!B:G,4,FALSE),"")</f>
        <v/>
      </c>
      <c r="C535" s="9" t="str">
        <f>IFERROR(VLOOKUP(A535,'ECN-ECO_DATA'!B:G,5,FALSE),"")</f>
        <v/>
      </c>
      <c r="D535" s="9" t="str">
        <f ca="1">IFERROR((IF(VLOOKUP(A535,'ECN-ECO_DATA'!B:G,6,FALSE)=0/1/1900,TODAY(),VLOOKUP(A535,'ECN-ECO_DATA'!B:G,6,FALSE))),"")</f>
        <v/>
      </c>
      <c r="E535" s="9" t="str">
        <f>IFERROR((IF(VLOOKUP(A535,'ECN-ECO_DATA'!B:G,6,FALSE)=0/1/1900,"",VLOOKUP(A535,'ECN-ECO_DATA'!B:G,6,FALSE))),"")</f>
        <v/>
      </c>
      <c r="F535" s="9" t="str">
        <f>IFERROR((IF(VLOOKUP(A535,'ECN-ECO_DATA'!B:J,7,FALSE)=0/1/1900,"",VLOOKUP(A535,'ECN-ECO_DATA'!B:J,7,FALSE))),"")</f>
        <v/>
      </c>
      <c r="G535" s="9" t="str">
        <f>IFERROR((IF(VLOOKUP(A535,'ECN-ECO_DATA'!B:J,8,FALSE)=0/1/1900,"",VLOOKUP(A535,'ECN-ECO_DATA'!B:J,8,FALSE))),"")</f>
        <v/>
      </c>
      <c r="H535" s="9" t="str">
        <f>IFERROR((IF(VLOOKUP(A535,'ECN-ECO_DATA'!B:J,9,FALSE)=0/1/1900,"",VLOOKUP(A535,'ECN-ECO_DATA'!B:J,9,FALSE))),"")</f>
        <v/>
      </c>
      <c r="I535" s="10" t="str">
        <f>IFERROR((IF(VLOOKUP(A535,'ECN-ECO_DATA'!B:Q,13,FALSE)="","",VLOOKUP(A535,'ECN-ECO_DATA'!B:Q,13,FALSE))),"")</f>
        <v/>
      </c>
      <c r="J535" s="10" t="str">
        <f>IFERROR((IF(VLOOKUP(A535,'ECN-ECO_DATA'!B:Q,14,FALSE)="","",VLOOKUP(A535,'ECN-ECO_DATA'!B:Q,14,FALSE))),"")</f>
        <v/>
      </c>
      <c r="K535" s="10" t="str">
        <f>IFERROR((IF(VLOOKUP(A535,'ECN-ECO_DATA'!B:Q,15,FALSE)="","",VLOOKUP(A535,'ECN-ECO_DATA'!B:Q,15,FALSE))),"")</f>
        <v/>
      </c>
      <c r="L535" s="10" t="str">
        <f>IFERROR((IF(VLOOKUP(A535,'ECN-ECO_DATA'!B:Q,16,FALSE)="","",VLOOKUP(A535,'ECN-ECO_DATA'!B:Q,16,FALSE))),"")</f>
        <v/>
      </c>
      <c r="M535" s="9" t="str">
        <f>IFERROR((IF(VLOOKUP(A535,'ECN-ECO_DATA'!B:V,18,FALSE)=0/1/1900,"",VLOOKUP(A535,'ECN-ECO_DATA'!B:V,18,FALSE))),"")</f>
        <v/>
      </c>
      <c r="N535" s="9" t="str">
        <f>IFERROR((IF(VLOOKUP(A535,'ECN-ECO_DATA'!B:V,19,FALSE)=0/1/1900,"",VLOOKUP(A535,'ECN-ECO_DATA'!B:V,19,FALSE))),"")</f>
        <v/>
      </c>
      <c r="O535" s="9" t="str">
        <f>IFERROR((IF(VLOOKUP(A535,'ECN-ECO_DATA'!B:V,20,FALSE)=0/1/1900,"",VLOOKUP(A535,'ECN-ECO_DATA'!B:V,20,FALSE))),"")</f>
        <v/>
      </c>
      <c r="P535" s="9" t="str">
        <f>IFERROR((IF(VLOOKUP(A535,'ECN-ECO_DATA'!B:V,21,FALSE)=0/1/1900,"",VLOOKUP(A535,'ECN-ECO_DATA'!B:V,21,FALSE))),"")</f>
        <v/>
      </c>
      <c r="Q535" s="10" t="str">
        <f t="shared" ca="1" si="40"/>
        <v/>
      </c>
      <c r="R535" s="4" t="str">
        <f t="shared" si="41"/>
        <v/>
      </c>
      <c r="S535" s="4" t="str">
        <f t="shared" si="42"/>
        <v/>
      </c>
      <c r="T535" s="4" t="str">
        <f t="shared" si="43"/>
        <v/>
      </c>
      <c r="U535" s="10" t="str">
        <f t="shared" si="44"/>
        <v/>
      </c>
      <c r="V535" s="4"/>
    </row>
    <row r="536" spans="2:22" x14ac:dyDescent="0.25">
      <c r="B536" s="4" t="str">
        <f>IFERROR(VLOOKUP(A536,'ECN-ECO_DATA'!B:G,4,FALSE),"")</f>
        <v/>
      </c>
      <c r="C536" s="9" t="str">
        <f>IFERROR(VLOOKUP(A536,'ECN-ECO_DATA'!B:G,5,FALSE),"")</f>
        <v/>
      </c>
      <c r="D536" s="9" t="str">
        <f ca="1">IFERROR((IF(VLOOKUP(A536,'ECN-ECO_DATA'!B:G,6,FALSE)=0/1/1900,TODAY(),VLOOKUP(A536,'ECN-ECO_DATA'!B:G,6,FALSE))),"")</f>
        <v/>
      </c>
      <c r="E536" s="9" t="str">
        <f>IFERROR((IF(VLOOKUP(A536,'ECN-ECO_DATA'!B:G,6,FALSE)=0/1/1900,"",VLOOKUP(A536,'ECN-ECO_DATA'!B:G,6,FALSE))),"")</f>
        <v/>
      </c>
      <c r="F536" s="9" t="str">
        <f>IFERROR((IF(VLOOKUP(A536,'ECN-ECO_DATA'!B:J,7,FALSE)=0/1/1900,"",VLOOKUP(A536,'ECN-ECO_DATA'!B:J,7,FALSE))),"")</f>
        <v/>
      </c>
      <c r="G536" s="9" t="str">
        <f>IFERROR((IF(VLOOKUP(A536,'ECN-ECO_DATA'!B:J,8,FALSE)=0/1/1900,"",VLOOKUP(A536,'ECN-ECO_DATA'!B:J,8,FALSE))),"")</f>
        <v/>
      </c>
      <c r="H536" s="9" t="str">
        <f>IFERROR((IF(VLOOKUP(A536,'ECN-ECO_DATA'!B:J,9,FALSE)=0/1/1900,"",VLOOKUP(A536,'ECN-ECO_DATA'!B:J,9,FALSE))),"")</f>
        <v/>
      </c>
      <c r="I536" s="10" t="str">
        <f>IFERROR((IF(VLOOKUP(A536,'ECN-ECO_DATA'!B:Q,13,FALSE)="","",VLOOKUP(A536,'ECN-ECO_DATA'!B:Q,13,FALSE))),"")</f>
        <v/>
      </c>
      <c r="J536" s="10" t="str">
        <f>IFERROR((IF(VLOOKUP(A536,'ECN-ECO_DATA'!B:Q,14,FALSE)="","",VLOOKUP(A536,'ECN-ECO_DATA'!B:Q,14,FALSE))),"")</f>
        <v/>
      </c>
      <c r="K536" s="10" t="str">
        <f>IFERROR((IF(VLOOKUP(A536,'ECN-ECO_DATA'!B:Q,15,FALSE)="","",VLOOKUP(A536,'ECN-ECO_DATA'!B:Q,15,FALSE))),"")</f>
        <v/>
      </c>
      <c r="L536" s="10" t="str">
        <f>IFERROR((IF(VLOOKUP(A536,'ECN-ECO_DATA'!B:Q,16,FALSE)="","",VLOOKUP(A536,'ECN-ECO_DATA'!B:Q,16,FALSE))),"")</f>
        <v/>
      </c>
      <c r="M536" s="9" t="str">
        <f>IFERROR((IF(VLOOKUP(A536,'ECN-ECO_DATA'!B:V,18,FALSE)=0/1/1900,"",VLOOKUP(A536,'ECN-ECO_DATA'!B:V,18,FALSE))),"")</f>
        <v/>
      </c>
      <c r="N536" s="9" t="str">
        <f>IFERROR((IF(VLOOKUP(A536,'ECN-ECO_DATA'!B:V,19,FALSE)=0/1/1900,"",VLOOKUP(A536,'ECN-ECO_DATA'!B:V,19,FALSE))),"")</f>
        <v/>
      </c>
      <c r="O536" s="9" t="str">
        <f>IFERROR((IF(VLOOKUP(A536,'ECN-ECO_DATA'!B:V,20,FALSE)=0/1/1900,"",VLOOKUP(A536,'ECN-ECO_DATA'!B:V,20,FALSE))),"")</f>
        <v/>
      </c>
      <c r="P536" s="9" t="str">
        <f>IFERROR((IF(VLOOKUP(A536,'ECN-ECO_DATA'!B:V,21,FALSE)=0/1/1900,"",VLOOKUP(A536,'ECN-ECO_DATA'!B:V,21,FALSE))),"")</f>
        <v/>
      </c>
      <c r="Q536" s="10" t="str">
        <f t="shared" ca="1" si="40"/>
        <v/>
      </c>
      <c r="R536" s="4" t="str">
        <f t="shared" si="41"/>
        <v/>
      </c>
      <c r="S536" s="4" t="str">
        <f t="shared" si="42"/>
        <v/>
      </c>
      <c r="T536" s="4" t="str">
        <f t="shared" si="43"/>
        <v/>
      </c>
      <c r="U536" s="10" t="str">
        <f t="shared" si="44"/>
        <v/>
      </c>
      <c r="V536" s="4"/>
    </row>
    <row r="537" spans="2:22" x14ac:dyDescent="0.25">
      <c r="B537" s="4" t="str">
        <f>IFERROR(VLOOKUP(A537,'ECN-ECO_DATA'!B:G,4,FALSE),"")</f>
        <v/>
      </c>
      <c r="C537" s="9" t="str">
        <f>IFERROR(VLOOKUP(A537,'ECN-ECO_DATA'!B:G,5,FALSE),"")</f>
        <v/>
      </c>
      <c r="D537" s="9" t="str">
        <f ca="1">IFERROR((IF(VLOOKUP(A537,'ECN-ECO_DATA'!B:G,6,FALSE)=0/1/1900,TODAY(),VLOOKUP(A537,'ECN-ECO_DATA'!B:G,6,FALSE))),"")</f>
        <v/>
      </c>
      <c r="E537" s="9" t="str">
        <f>IFERROR((IF(VLOOKUP(A537,'ECN-ECO_DATA'!B:G,6,FALSE)=0/1/1900,"",VLOOKUP(A537,'ECN-ECO_DATA'!B:G,6,FALSE))),"")</f>
        <v/>
      </c>
      <c r="F537" s="9" t="str">
        <f>IFERROR((IF(VLOOKUP(A537,'ECN-ECO_DATA'!B:J,7,FALSE)=0/1/1900,"",VLOOKUP(A537,'ECN-ECO_DATA'!B:J,7,FALSE))),"")</f>
        <v/>
      </c>
      <c r="G537" s="9" t="str">
        <f>IFERROR((IF(VLOOKUP(A537,'ECN-ECO_DATA'!B:J,8,FALSE)=0/1/1900,"",VLOOKUP(A537,'ECN-ECO_DATA'!B:J,8,FALSE))),"")</f>
        <v/>
      </c>
      <c r="H537" s="9" t="str">
        <f>IFERROR((IF(VLOOKUP(A537,'ECN-ECO_DATA'!B:J,9,FALSE)=0/1/1900,"",VLOOKUP(A537,'ECN-ECO_DATA'!B:J,9,FALSE))),"")</f>
        <v/>
      </c>
      <c r="I537" s="10" t="str">
        <f>IFERROR((IF(VLOOKUP(A537,'ECN-ECO_DATA'!B:Q,13,FALSE)="","",VLOOKUP(A537,'ECN-ECO_DATA'!B:Q,13,FALSE))),"")</f>
        <v/>
      </c>
      <c r="J537" s="10" t="str">
        <f>IFERROR((IF(VLOOKUP(A537,'ECN-ECO_DATA'!B:Q,14,FALSE)="","",VLOOKUP(A537,'ECN-ECO_DATA'!B:Q,14,FALSE))),"")</f>
        <v/>
      </c>
      <c r="K537" s="10" t="str">
        <f>IFERROR((IF(VLOOKUP(A537,'ECN-ECO_DATA'!B:Q,15,FALSE)="","",VLOOKUP(A537,'ECN-ECO_DATA'!B:Q,15,FALSE))),"")</f>
        <v/>
      </c>
      <c r="L537" s="10" t="str">
        <f>IFERROR((IF(VLOOKUP(A537,'ECN-ECO_DATA'!B:Q,16,FALSE)="","",VLOOKUP(A537,'ECN-ECO_DATA'!B:Q,16,FALSE))),"")</f>
        <v/>
      </c>
      <c r="M537" s="9" t="str">
        <f>IFERROR((IF(VLOOKUP(A537,'ECN-ECO_DATA'!B:V,18,FALSE)=0/1/1900,"",VLOOKUP(A537,'ECN-ECO_DATA'!B:V,18,FALSE))),"")</f>
        <v/>
      </c>
      <c r="N537" s="9" t="str">
        <f>IFERROR((IF(VLOOKUP(A537,'ECN-ECO_DATA'!B:V,19,FALSE)=0/1/1900,"",VLOOKUP(A537,'ECN-ECO_DATA'!B:V,19,FALSE))),"")</f>
        <v/>
      </c>
      <c r="O537" s="9" t="str">
        <f>IFERROR((IF(VLOOKUP(A537,'ECN-ECO_DATA'!B:V,20,FALSE)=0/1/1900,"",VLOOKUP(A537,'ECN-ECO_DATA'!B:V,20,FALSE))),"")</f>
        <v/>
      </c>
      <c r="P537" s="9" t="str">
        <f>IFERROR((IF(VLOOKUP(A537,'ECN-ECO_DATA'!B:V,21,FALSE)=0/1/1900,"",VLOOKUP(A537,'ECN-ECO_DATA'!B:V,21,FALSE))),"")</f>
        <v/>
      </c>
      <c r="Q537" s="10" t="str">
        <f t="shared" ca="1" si="40"/>
        <v/>
      </c>
      <c r="R537" s="4" t="str">
        <f t="shared" si="41"/>
        <v/>
      </c>
      <c r="S537" s="4" t="str">
        <f t="shared" si="42"/>
        <v/>
      </c>
      <c r="T537" s="4" t="str">
        <f t="shared" si="43"/>
        <v/>
      </c>
      <c r="U537" s="10" t="str">
        <f t="shared" si="44"/>
        <v/>
      </c>
      <c r="V537" s="4"/>
    </row>
    <row r="538" spans="2:22" x14ac:dyDescent="0.25">
      <c r="B538" s="4" t="str">
        <f>IFERROR(VLOOKUP(A538,'ECN-ECO_DATA'!B:G,4,FALSE),"")</f>
        <v/>
      </c>
      <c r="C538" s="9" t="str">
        <f>IFERROR(VLOOKUP(A538,'ECN-ECO_DATA'!B:G,5,FALSE),"")</f>
        <v/>
      </c>
      <c r="D538" s="9" t="str">
        <f ca="1">IFERROR((IF(VLOOKUP(A538,'ECN-ECO_DATA'!B:G,6,FALSE)=0/1/1900,TODAY(),VLOOKUP(A538,'ECN-ECO_DATA'!B:G,6,FALSE))),"")</f>
        <v/>
      </c>
      <c r="E538" s="9" t="str">
        <f>IFERROR((IF(VLOOKUP(A538,'ECN-ECO_DATA'!B:G,6,FALSE)=0/1/1900,"",VLOOKUP(A538,'ECN-ECO_DATA'!B:G,6,FALSE))),"")</f>
        <v/>
      </c>
      <c r="F538" s="9" t="str">
        <f>IFERROR((IF(VLOOKUP(A538,'ECN-ECO_DATA'!B:J,7,FALSE)=0/1/1900,"",VLOOKUP(A538,'ECN-ECO_DATA'!B:J,7,FALSE))),"")</f>
        <v/>
      </c>
      <c r="G538" s="9" t="str">
        <f>IFERROR((IF(VLOOKUP(A538,'ECN-ECO_DATA'!B:J,8,FALSE)=0/1/1900,"",VLOOKUP(A538,'ECN-ECO_DATA'!B:J,8,FALSE))),"")</f>
        <v/>
      </c>
      <c r="H538" s="9" t="str">
        <f>IFERROR((IF(VLOOKUP(A538,'ECN-ECO_DATA'!B:J,9,FALSE)=0/1/1900,"",VLOOKUP(A538,'ECN-ECO_DATA'!B:J,9,FALSE))),"")</f>
        <v/>
      </c>
      <c r="I538" s="10" t="str">
        <f>IFERROR((IF(VLOOKUP(A538,'ECN-ECO_DATA'!B:Q,13,FALSE)="","",VLOOKUP(A538,'ECN-ECO_DATA'!B:Q,13,FALSE))),"")</f>
        <v/>
      </c>
      <c r="J538" s="10" t="str">
        <f>IFERROR((IF(VLOOKUP(A538,'ECN-ECO_DATA'!B:Q,14,FALSE)="","",VLOOKUP(A538,'ECN-ECO_DATA'!B:Q,14,FALSE))),"")</f>
        <v/>
      </c>
      <c r="K538" s="10" t="str">
        <f>IFERROR((IF(VLOOKUP(A538,'ECN-ECO_DATA'!B:Q,15,FALSE)="","",VLOOKUP(A538,'ECN-ECO_DATA'!B:Q,15,FALSE))),"")</f>
        <v/>
      </c>
      <c r="L538" s="10" t="str">
        <f>IFERROR((IF(VLOOKUP(A538,'ECN-ECO_DATA'!B:Q,16,FALSE)="","",VLOOKUP(A538,'ECN-ECO_DATA'!B:Q,16,FALSE))),"")</f>
        <v/>
      </c>
      <c r="M538" s="9" t="str">
        <f>IFERROR((IF(VLOOKUP(A538,'ECN-ECO_DATA'!B:V,18,FALSE)=0/1/1900,"",VLOOKUP(A538,'ECN-ECO_DATA'!B:V,18,FALSE))),"")</f>
        <v/>
      </c>
      <c r="N538" s="9" t="str">
        <f>IFERROR((IF(VLOOKUP(A538,'ECN-ECO_DATA'!B:V,19,FALSE)=0/1/1900,"",VLOOKUP(A538,'ECN-ECO_DATA'!B:V,19,FALSE))),"")</f>
        <v/>
      </c>
      <c r="O538" s="9" t="str">
        <f>IFERROR((IF(VLOOKUP(A538,'ECN-ECO_DATA'!B:V,20,FALSE)=0/1/1900,"",VLOOKUP(A538,'ECN-ECO_DATA'!B:V,20,FALSE))),"")</f>
        <v/>
      </c>
      <c r="P538" s="9" t="str">
        <f>IFERROR((IF(VLOOKUP(A538,'ECN-ECO_DATA'!B:V,21,FALSE)=0/1/1900,"",VLOOKUP(A538,'ECN-ECO_DATA'!B:V,21,FALSE))),"")</f>
        <v/>
      </c>
      <c r="Q538" s="10" t="str">
        <f t="shared" ca="1" si="40"/>
        <v/>
      </c>
      <c r="R538" s="4" t="str">
        <f t="shared" si="41"/>
        <v/>
      </c>
      <c r="S538" s="4" t="str">
        <f t="shared" si="42"/>
        <v/>
      </c>
      <c r="T538" s="4" t="str">
        <f t="shared" si="43"/>
        <v/>
      </c>
      <c r="U538" s="10" t="str">
        <f t="shared" si="44"/>
        <v/>
      </c>
      <c r="V538" s="4"/>
    </row>
    <row r="539" spans="2:22" x14ac:dyDescent="0.25">
      <c r="B539" s="4" t="str">
        <f>IFERROR(VLOOKUP(A539,'ECN-ECO_DATA'!B:G,4,FALSE),"")</f>
        <v/>
      </c>
      <c r="C539" s="9" t="str">
        <f>IFERROR(VLOOKUP(A539,'ECN-ECO_DATA'!B:G,5,FALSE),"")</f>
        <v/>
      </c>
      <c r="D539" s="9" t="str">
        <f ca="1">IFERROR((IF(VLOOKUP(A539,'ECN-ECO_DATA'!B:G,6,FALSE)=0/1/1900,TODAY(),VLOOKUP(A539,'ECN-ECO_DATA'!B:G,6,FALSE))),"")</f>
        <v/>
      </c>
      <c r="E539" s="9" t="str">
        <f>IFERROR((IF(VLOOKUP(A539,'ECN-ECO_DATA'!B:G,6,FALSE)=0/1/1900,"",VLOOKUP(A539,'ECN-ECO_DATA'!B:G,6,FALSE))),"")</f>
        <v/>
      </c>
      <c r="F539" s="9" t="str">
        <f>IFERROR((IF(VLOOKUP(A539,'ECN-ECO_DATA'!B:J,7,FALSE)=0/1/1900,"",VLOOKUP(A539,'ECN-ECO_DATA'!B:J,7,FALSE))),"")</f>
        <v/>
      </c>
      <c r="G539" s="9" t="str">
        <f>IFERROR((IF(VLOOKUP(A539,'ECN-ECO_DATA'!B:J,8,FALSE)=0/1/1900,"",VLOOKUP(A539,'ECN-ECO_DATA'!B:J,8,FALSE))),"")</f>
        <v/>
      </c>
      <c r="H539" s="9" t="str">
        <f>IFERROR((IF(VLOOKUP(A539,'ECN-ECO_DATA'!B:J,9,FALSE)=0/1/1900,"",VLOOKUP(A539,'ECN-ECO_DATA'!B:J,9,FALSE))),"")</f>
        <v/>
      </c>
      <c r="I539" s="10" t="str">
        <f>IFERROR((IF(VLOOKUP(A539,'ECN-ECO_DATA'!B:Q,13,FALSE)="","",VLOOKUP(A539,'ECN-ECO_DATA'!B:Q,13,FALSE))),"")</f>
        <v/>
      </c>
      <c r="J539" s="10" t="str">
        <f>IFERROR((IF(VLOOKUP(A539,'ECN-ECO_DATA'!B:Q,14,FALSE)="","",VLOOKUP(A539,'ECN-ECO_DATA'!B:Q,14,FALSE))),"")</f>
        <v/>
      </c>
      <c r="K539" s="10" t="str">
        <f>IFERROR((IF(VLOOKUP(A539,'ECN-ECO_DATA'!B:Q,15,FALSE)="","",VLOOKUP(A539,'ECN-ECO_DATA'!B:Q,15,FALSE))),"")</f>
        <v/>
      </c>
      <c r="L539" s="10" t="str">
        <f>IFERROR((IF(VLOOKUP(A539,'ECN-ECO_DATA'!B:Q,16,FALSE)="","",VLOOKUP(A539,'ECN-ECO_DATA'!B:Q,16,FALSE))),"")</f>
        <v/>
      </c>
      <c r="M539" s="9" t="str">
        <f>IFERROR((IF(VLOOKUP(A539,'ECN-ECO_DATA'!B:V,18,FALSE)=0/1/1900,"",VLOOKUP(A539,'ECN-ECO_DATA'!B:V,18,FALSE))),"")</f>
        <v/>
      </c>
      <c r="N539" s="9" t="str">
        <f>IFERROR((IF(VLOOKUP(A539,'ECN-ECO_DATA'!B:V,19,FALSE)=0/1/1900,"",VLOOKUP(A539,'ECN-ECO_DATA'!B:V,19,FALSE))),"")</f>
        <v/>
      </c>
      <c r="O539" s="9" t="str">
        <f>IFERROR((IF(VLOOKUP(A539,'ECN-ECO_DATA'!B:V,20,FALSE)=0/1/1900,"",VLOOKUP(A539,'ECN-ECO_DATA'!B:V,20,FALSE))),"")</f>
        <v/>
      </c>
      <c r="P539" s="9" t="str">
        <f>IFERROR((IF(VLOOKUP(A539,'ECN-ECO_DATA'!B:V,21,FALSE)=0/1/1900,"",VLOOKUP(A539,'ECN-ECO_DATA'!B:V,21,FALSE))),"")</f>
        <v/>
      </c>
      <c r="Q539" s="10" t="str">
        <f t="shared" ca="1" si="40"/>
        <v/>
      </c>
      <c r="R539" s="4" t="str">
        <f t="shared" si="41"/>
        <v/>
      </c>
      <c r="S539" s="4" t="str">
        <f t="shared" si="42"/>
        <v/>
      </c>
      <c r="T539" s="4" t="str">
        <f t="shared" si="43"/>
        <v/>
      </c>
      <c r="U539" s="10" t="str">
        <f t="shared" si="44"/>
        <v/>
      </c>
      <c r="V539" s="4"/>
    </row>
    <row r="540" spans="2:22" x14ac:dyDescent="0.25">
      <c r="B540" s="4" t="str">
        <f>IFERROR(VLOOKUP(A540,'ECN-ECO_DATA'!B:G,4,FALSE),"")</f>
        <v/>
      </c>
      <c r="C540" s="9" t="str">
        <f>IFERROR(VLOOKUP(A540,'ECN-ECO_DATA'!B:G,5,FALSE),"")</f>
        <v/>
      </c>
      <c r="D540" s="9" t="str">
        <f ca="1">IFERROR((IF(VLOOKUP(A540,'ECN-ECO_DATA'!B:G,6,FALSE)=0/1/1900,TODAY(),VLOOKUP(A540,'ECN-ECO_DATA'!B:G,6,FALSE))),"")</f>
        <v/>
      </c>
      <c r="E540" s="9" t="str">
        <f>IFERROR((IF(VLOOKUP(A540,'ECN-ECO_DATA'!B:G,6,FALSE)=0/1/1900,"",VLOOKUP(A540,'ECN-ECO_DATA'!B:G,6,FALSE))),"")</f>
        <v/>
      </c>
      <c r="F540" s="9" t="str">
        <f>IFERROR((IF(VLOOKUP(A540,'ECN-ECO_DATA'!B:J,7,FALSE)=0/1/1900,"",VLOOKUP(A540,'ECN-ECO_DATA'!B:J,7,FALSE))),"")</f>
        <v/>
      </c>
      <c r="G540" s="9" t="str">
        <f>IFERROR((IF(VLOOKUP(A540,'ECN-ECO_DATA'!B:J,8,FALSE)=0/1/1900,"",VLOOKUP(A540,'ECN-ECO_DATA'!B:J,8,FALSE))),"")</f>
        <v/>
      </c>
      <c r="H540" s="9" t="str">
        <f>IFERROR((IF(VLOOKUP(A540,'ECN-ECO_DATA'!B:J,9,FALSE)=0/1/1900,"",VLOOKUP(A540,'ECN-ECO_DATA'!B:J,9,FALSE))),"")</f>
        <v/>
      </c>
      <c r="I540" s="10" t="str">
        <f>IFERROR((IF(VLOOKUP(A540,'ECN-ECO_DATA'!B:Q,13,FALSE)="","",VLOOKUP(A540,'ECN-ECO_DATA'!B:Q,13,FALSE))),"")</f>
        <v/>
      </c>
      <c r="J540" s="10" t="str">
        <f>IFERROR((IF(VLOOKUP(A540,'ECN-ECO_DATA'!B:Q,14,FALSE)="","",VLOOKUP(A540,'ECN-ECO_DATA'!B:Q,14,FALSE))),"")</f>
        <v/>
      </c>
      <c r="K540" s="10" t="str">
        <f>IFERROR((IF(VLOOKUP(A540,'ECN-ECO_DATA'!B:Q,15,FALSE)="","",VLOOKUP(A540,'ECN-ECO_DATA'!B:Q,15,FALSE))),"")</f>
        <v/>
      </c>
      <c r="L540" s="10" t="str">
        <f>IFERROR((IF(VLOOKUP(A540,'ECN-ECO_DATA'!B:Q,16,FALSE)="","",VLOOKUP(A540,'ECN-ECO_DATA'!B:Q,16,FALSE))),"")</f>
        <v/>
      </c>
      <c r="M540" s="9" t="str">
        <f>IFERROR((IF(VLOOKUP(A540,'ECN-ECO_DATA'!B:V,18,FALSE)=0/1/1900,"",VLOOKUP(A540,'ECN-ECO_DATA'!B:V,18,FALSE))),"")</f>
        <v/>
      </c>
      <c r="N540" s="9" t="str">
        <f>IFERROR((IF(VLOOKUP(A540,'ECN-ECO_DATA'!B:V,19,FALSE)=0/1/1900,"",VLOOKUP(A540,'ECN-ECO_DATA'!B:V,19,FALSE))),"")</f>
        <v/>
      </c>
      <c r="O540" s="9" t="str">
        <f>IFERROR((IF(VLOOKUP(A540,'ECN-ECO_DATA'!B:V,20,FALSE)=0/1/1900,"",VLOOKUP(A540,'ECN-ECO_DATA'!B:V,20,FALSE))),"")</f>
        <v/>
      </c>
      <c r="P540" s="9" t="str">
        <f>IFERROR((IF(VLOOKUP(A540,'ECN-ECO_DATA'!B:V,21,FALSE)=0/1/1900,"",VLOOKUP(A540,'ECN-ECO_DATA'!B:V,21,FALSE))),"")</f>
        <v/>
      </c>
      <c r="Q540" s="10" t="str">
        <f t="shared" ca="1" si="40"/>
        <v/>
      </c>
      <c r="R540" s="4" t="str">
        <f t="shared" si="41"/>
        <v/>
      </c>
      <c r="S540" s="4" t="str">
        <f t="shared" si="42"/>
        <v/>
      </c>
      <c r="T540" s="4" t="str">
        <f t="shared" si="43"/>
        <v/>
      </c>
      <c r="U540" s="10" t="str">
        <f t="shared" si="44"/>
        <v/>
      </c>
      <c r="V540" s="4"/>
    </row>
    <row r="541" spans="2:22" x14ac:dyDescent="0.25">
      <c r="B541" s="4" t="str">
        <f>IFERROR(VLOOKUP(A541,'ECN-ECO_DATA'!B:G,4,FALSE),"")</f>
        <v/>
      </c>
      <c r="C541" s="9" t="str">
        <f>IFERROR(VLOOKUP(A541,'ECN-ECO_DATA'!B:G,5,FALSE),"")</f>
        <v/>
      </c>
      <c r="D541" s="9" t="str">
        <f ca="1">IFERROR((IF(VLOOKUP(A541,'ECN-ECO_DATA'!B:G,6,FALSE)=0/1/1900,TODAY(),VLOOKUP(A541,'ECN-ECO_DATA'!B:G,6,FALSE))),"")</f>
        <v/>
      </c>
      <c r="E541" s="9" t="str">
        <f>IFERROR((IF(VLOOKUP(A541,'ECN-ECO_DATA'!B:G,6,FALSE)=0/1/1900,"",VLOOKUP(A541,'ECN-ECO_DATA'!B:G,6,FALSE))),"")</f>
        <v/>
      </c>
      <c r="F541" s="9" t="str">
        <f>IFERROR((IF(VLOOKUP(A541,'ECN-ECO_DATA'!B:J,7,FALSE)=0/1/1900,"",VLOOKUP(A541,'ECN-ECO_DATA'!B:J,7,FALSE))),"")</f>
        <v/>
      </c>
      <c r="G541" s="9" t="str">
        <f>IFERROR((IF(VLOOKUP(A541,'ECN-ECO_DATA'!B:J,8,FALSE)=0/1/1900,"",VLOOKUP(A541,'ECN-ECO_DATA'!B:J,8,FALSE))),"")</f>
        <v/>
      </c>
      <c r="H541" s="9" t="str">
        <f>IFERROR((IF(VLOOKUP(A541,'ECN-ECO_DATA'!B:J,9,FALSE)=0/1/1900,"",VLOOKUP(A541,'ECN-ECO_DATA'!B:J,9,FALSE))),"")</f>
        <v/>
      </c>
      <c r="I541" s="10" t="str">
        <f>IFERROR((IF(VLOOKUP(A541,'ECN-ECO_DATA'!B:Q,13,FALSE)="","",VLOOKUP(A541,'ECN-ECO_DATA'!B:Q,13,FALSE))),"")</f>
        <v/>
      </c>
      <c r="J541" s="10" t="str">
        <f>IFERROR((IF(VLOOKUP(A541,'ECN-ECO_DATA'!B:Q,14,FALSE)="","",VLOOKUP(A541,'ECN-ECO_DATA'!B:Q,14,FALSE))),"")</f>
        <v/>
      </c>
      <c r="K541" s="10" t="str">
        <f>IFERROR((IF(VLOOKUP(A541,'ECN-ECO_DATA'!B:Q,15,FALSE)="","",VLOOKUP(A541,'ECN-ECO_DATA'!B:Q,15,FALSE))),"")</f>
        <v/>
      </c>
      <c r="L541" s="10" t="str">
        <f>IFERROR((IF(VLOOKUP(A541,'ECN-ECO_DATA'!B:Q,16,FALSE)="","",VLOOKUP(A541,'ECN-ECO_DATA'!B:Q,16,FALSE))),"")</f>
        <v/>
      </c>
      <c r="M541" s="9" t="str">
        <f>IFERROR((IF(VLOOKUP(A541,'ECN-ECO_DATA'!B:V,18,FALSE)=0/1/1900,"",VLOOKUP(A541,'ECN-ECO_DATA'!B:V,18,FALSE))),"")</f>
        <v/>
      </c>
      <c r="N541" s="9" t="str">
        <f>IFERROR((IF(VLOOKUP(A541,'ECN-ECO_DATA'!B:V,19,FALSE)=0/1/1900,"",VLOOKUP(A541,'ECN-ECO_DATA'!B:V,19,FALSE))),"")</f>
        <v/>
      </c>
      <c r="O541" s="9" t="str">
        <f>IFERROR((IF(VLOOKUP(A541,'ECN-ECO_DATA'!B:V,20,FALSE)=0/1/1900,"",VLOOKUP(A541,'ECN-ECO_DATA'!B:V,20,FALSE))),"")</f>
        <v/>
      </c>
      <c r="P541" s="9" t="str">
        <f>IFERROR((IF(VLOOKUP(A541,'ECN-ECO_DATA'!B:V,21,FALSE)=0/1/1900,"",VLOOKUP(A541,'ECN-ECO_DATA'!B:V,21,FALSE))),"")</f>
        <v/>
      </c>
      <c r="Q541" s="10" t="str">
        <f t="shared" ca="1" si="40"/>
        <v/>
      </c>
      <c r="R541" s="4" t="str">
        <f t="shared" si="41"/>
        <v/>
      </c>
      <c r="S541" s="4" t="str">
        <f t="shared" si="42"/>
        <v/>
      </c>
      <c r="T541" s="4" t="str">
        <f t="shared" si="43"/>
        <v/>
      </c>
      <c r="U541" s="10" t="str">
        <f t="shared" si="44"/>
        <v/>
      </c>
      <c r="V541" s="4"/>
    </row>
    <row r="542" spans="2:22" x14ac:dyDescent="0.25">
      <c r="B542" s="4" t="str">
        <f>IFERROR(VLOOKUP(A542,'ECN-ECO_DATA'!B:G,4,FALSE),"")</f>
        <v/>
      </c>
      <c r="C542" s="9" t="str">
        <f>IFERROR(VLOOKUP(A542,'ECN-ECO_DATA'!B:G,5,FALSE),"")</f>
        <v/>
      </c>
      <c r="D542" s="9" t="str">
        <f ca="1">IFERROR((IF(VLOOKUP(A542,'ECN-ECO_DATA'!B:G,6,FALSE)=0/1/1900,TODAY(),VLOOKUP(A542,'ECN-ECO_DATA'!B:G,6,FALSE))),"")</f>
        <v/>
      </c>
      <c r="E542" s="9" t="str">
        <f>IFERROR((IF(VLOOKUP(A542,'ECN-ECO_DATA'!B:G,6,FALSE)=0/1/1900,"",VLOOKUP(A542,'ECN-ECO_DATA'!B:G,6,FALSE))),"")</f>
        <v/>
      </c>
      <c r="F542" s="9" t="str">
        <f>IFERROR((IF(VLOOKUP(A542,'ECN-ECO_DATA'!B:J,7,FALSE)=0/1/1900,"",VLOOKUP(A542,'ECN-ECO_DATA'!B:J,7,FALSE))),"")</f>
        <v/>
      </c>
      <c r="G542" s="9" t="str">
        <f>IFERROR((IF(VLOOKUP(A542,'ECN-ECO_DATA'!B:J,8,FALSE)=0/1/1900,"",VLOOKUP(A542,'ECN-ECO_DATA'!B:J,8,FALSE))),"")</f>
        <v/>
      </c>
      <c r="H542" s="9" t="str">
        <f>IFERROR((IF(VLOOKUP(A542,'ECN-ECO_DATA'!B:J,9,FALSE)=0/1/1900,"",VLOOKUP(A542,'ECN-ECO_DATA'!B:J,9,FALSE))),"")</f>
        <v/>
      </c>
      <c r="I542" s="10" t="str">
        <f>IFERROR((IF(VLOOKUP(A542,'ECN-ECO_DATA'!B:Q,13,FALSE)="","",VLOOKUP(A542,'ECN-ECO_DATA'!B:Q,13,FALSE))),"")</f>
        <v/>
      </c>
      <c r="J542" s="10" t="str">
        <f>IFERROR((IF(VLOOKUP(A542,'ECN-ECO_DATA'!B:Q,14,FALSE)="","",VLOOKUP(A542,'ECN-ECO_DATA'!B:Q,14,FALSE))),"")</f>
        <v/>
      </c>
      <c r="K542" s="10" t="str">
        <f>IFERROR((IF(VLOOKUP(A542,'ECN-ECO_DATA'!B:Q,15,FALSE)="","",VLOOKUP(A542,'ECN-ECO_DATA'!B:Q,15,FALSE))),"")</f>
        <v/>
      </c>
      <c r="L542" s="10" t="str">
        <f>IFERROR((IF(VLOOKUP(A542,'ECN-ECO_DATA'!B:Q,16,FALSE)="","",VLOOKUP(A542,'ECN-ECO_DATA'!B:Q,16,FALSE))),"")</f>
        <v/>
      </c>
      <c r="M542" s="9" t="str">
        <f>IFERROR((IF(VLOOKUP(A542,'ECN-ECO_DATA'!B:V,18,FALSE)=0/1/1900,"",VLOOKUP(A542,'ECN-ECO_DATA'!B:V,18,FALSE))),"")</f>
        <v/>
      </c>
      <c r="N542" s="9" t="str">
        <f>IFERROR((IF(VLOOKUP(A542,'ECN-ECO_DATA'!B:V,19,FALSE)=0/1/1900,"",VLOOKUP(A542,'ECN-ECO_DATA'!B:V,19,FALSE))),"")</f>
        <v/>
      </c>
      <c r="O542" s="9" t="str">
        <f>IFERROR((IF(VLOOKUP(A542,'ECN-ECO_DATA'!B:V,20,FALSE)=0/1/1900,"",VLOOKUP(A542,'ECN-ECO_DATA'!B:V,20,FALSE))),"")</f>
        <v/>
      </c>
      <c r="P542" s="9" t="str">
        <f>IFERROR((IF(VLOOKUP(A542,'ECN-ECO_DATA'!B:V,21,FALSE)=0/1/1900,"",VLOOKUP(A542,'ECN-ECO_DATA'!B:V,21,FALSE))),"")</f>
        <v/>
      </c>
      <c r="Q542" s="10" t="str">
        <f t="shared" ca="1" si="40"/>
        <v/>
      </c>
      <c r="R542" s="4" t="str">
        <f t="shared" si="41"/>
        <v/>
      </c>
      <c r="S542" s="4" t="str">
        <f t="shared" si="42"/>
        <v/>
      </c>
      <c r="T542" s="4" t="str">
        <f t="shared" si="43"/>
        <v/>
      </c>
      <c r="U542" s="10" t="str">
        <f t="shared" si="44"/>
        <v/>
      </c>
      <c r="V542" s="4"/>
    </row>
    <row r="543" spans="2:22" x14ac:dyDescent="0.25">
      <c r="B543" s="4" t="str">
        <f>IFERROR(VLOOKUP(A543,'ECN-ECO_DATA'!B:G,4,FALSE),"")</f>
        <v/>
      </c>
      <c r="C543" s="9" t="str">
        <f>IFERROR(VLOOKUP(A543,'ECN-ECO_DATA'!B:G,5,FALSE),"")</f>
        <v/>
      </c>
      <c r="D543" s="9" t="str">
        <f ca="1">IFERROR((IF(VLOOKUP(A543,'ECN-ECO_DATA'!B:G,6,FALSE)=0/1/1900,TODAY(),VLOOKUP(A543,'ECN-ECO_DATA'!B:G,6,FALSE))),"")</f>
        <v/>
      </c>
      <c r="E543" s="9" t="str">
        <f>IFERROR((IF(VLOOKUP(A543,'ECN-ECO_DATA'!B:G,6,FALSE)=0/1/1900,"",VLOOKUP(A543,'ECN-ECO_DATA'!B:G,6,FALSE))),"")</f>
        <v/>
      </c>
      <c r="F543" s="9" t="str">
        <f>IFERROR((IF(VLOOKUP(A543,'ECN-ECO_DATA'!B:J,7,FALSE)=0/1/1900,"",VLOOKUP(A543,'ECN-ECO_DATA'!B:J,7,FALSE))),"")</f>
        <v/>
      </c>
      <c r="G543" s="9" t="str">
        <f>IFERROR((IF(VLOOKUP(A543,'ECN-ECO_DATA'!B:J,8,FALSE)=0/1/1900,"",VLOOKUP(A543,'ECN-ECO_DATA'!B:J,8,FALSE))),"")</f>
        <v/>
      </c>
      <c r="H543" s="9" t="str">
        <f>IFERROR((IF(VLOOKUP(A543,'ECN-ECO_DATA'!B:J,9,FALSE)=0/1/1900,"",VLOOKUP(A543,'ECN-ECO_DATA'!B:J,9,FALSE))),"")</f>
        <v/>
      </c>
      <c r="I543" s="10" t="str">
        <f>IFERROR((IF(VLOOKUP(A543,'ECN-ECO_DATA'!B:Q,13,FALSE)="","",VLOOKUP(A543,'ECN-ECO_DATA'!B:Q,13,FALSE))),"")</f>
        <v/>
      </c>
      <c r="J543" s="10" t="str">
        <f>IFERROR((IF(VLOOKUP(A543,'ECN-ECO_DATA'!B:Q,14,FALSE)="","",VLOOKUP(A543,'ECN-ECO_DATA'!B:Q,14,FALSE))),"")</f>
        <v/>
      </c>
      <c r="K543" s="10" t="str">
        <f>IFERROR((IF(VLOOKUP(A543,'ECN-ECO_DATA'!B:Q,15,FALSE)="","",VLOOKUP(A543,'ECN-ECO_DATA'!B:Q,15,FALSE))),"")</f>
        <v/>
      </c>
      <c r="L543" s="10" t="str">
        <f>IFERROR((IF(VLOOKUP(A543,'ECN-ECO_DATA'!B:Q,16,FALSE)="","",VLOOKUP(A543,'ECN-ECO_DATA'!B:Q,16,FALSE))),"")</f>
        <v/>
      </c>
      <c r="M543" s="9" t="str">
        <f>IFERROR((IF(VLOOKUP(A543,'ECN-ECO_DATA'!B:V,18,FALSE)=0/1/1900,"",VLOOKUP(A543,'ECN-ECO_DATA'!B:V,18,FALSE))),"")</f>
        <v/>
      </c>
      <c r="N543" s="9" t="str">
        <f>IFERROR((IF(VLOOKUP(A543,'ECN-ECO_DATA'!B:V,19,FALSE)=0/1/1900,"",VLOOKUP(A543,'ECN-ECO_DATA'!B:V,19,FALSE))),"")</f>
        <v/>
      </c>
      <c r="O543" s="9" t="str">
        <f>IFERROR((IF(VLOOKUP(A543,'ECN-ECO_DATA'!B:V,20,FALSE)=0/1/1900,"",VLOOKUP(A543,'ECN-ECO_DATA'!B:V,20,FALSE))),"")</f>
        <v/>
      </c>
      <c r="P543" s="9" t="str">
        <f>IFERROR((IF(VLOOKUP(A543,'ECN-ECO_DATA'!B:V,21,FALSE)=0/1/1900,"",VLOOKUP(A543,'ECN-ECO_DATA'!B:V,21,FALSE))),"")</f>
        <v/>
      </c>
      <c r="Q543" s="10" t="str">
        <f t="shared" ca="1" si="40"/>
        <v/>
      </c>
      <c r="R543" s="4" t="str">
        <f t="shared" si="41"/>
        <v/>
      </c>
      <c r="S543" s="4" t="str">
        <f t="shared" si="42"/>
        <v/>
      </c>
      <c r="T543" s="4" t="str">
        <f t="shared" si="43"/>
        <v/>
      </c>
      <c r="U543" s="10" t="str">
        <f t="shared" si="44"/>
        <v/>
      </c>
      <c r="V543" s="4"/>
    </row>
    <row r="544" spans="2:22" x14ac:dyDescent="0.25">
      <c r="B544" s="4" t="str">
        <f>IFERROR(VLOOKUP(A544,'ECN-ECO_DATA'!B:G,4,FALSE),"")</f>
        <v/>
      </c>
      <c r="C544" s="9" t="str">
        <f>IFERROR(VLOOKUP(A544,'ECN-ECO_DATA'!B:G,5,FALSE),"")</f>
        <v/>
      </c>
      <c r="D544" s="9" t="str">
        <f ca="1">IFERROR((IF(VLOOKUP(A544,'ECN-ECO_DATA'!B:G,6,FALSE)=0/1/1900,TODAY(),VLOOKUP(A544,'ECN-ECO_DATA'!B:G,6,FALSE))),"")</f>
        <v/>
      </c>
      <c r="E544" s="9" t="str">
        <f>IFERROR((IF(VLOOKUP(A544,'ECN-ECO_DATA'!B:G,6,FALSE)=0/1/1900,"",VLOOKUP(A544,'ECN-ECO_DATA'!B:G,6,FALSE))),"")</f>
        <v/>
      </c>
      <c r="F544" s="9" t="str">
        <f>IFERROR((IF(VLOOKUP(A544,'ECN-ECO_DATA'!B:J,7,FALSE)=0/1/1900,"",VLOOKUP(A544,'ECN-ECO_DATA'!B:J,7,FALSE))),"")</f>
        <v/>
      </c>
      <c r="G544" s="9" t="str">
        <f>IFERROR((IF(VLOOKUP(A544,'ECN-ECO_DATA'!B:J,8,FALSE)=0/1/1900,"",VLOOKUP(A544,'ECN-ECO_DATA'!B:J,8,FALSE))),"")</f>
        <v/>
      </c>
      <c r="H544" s="9" t="str">
        <f>IFERROR((IF(VLOOKUP(A544,'ECN-ECO_DATA'!B:J,9,FALSE)=0/1/1900,"",VLOOKUP(A544,'ECN-ECO_DATA'!B:J,9,FALSE))),"")</f>
        <v/>
      </c>
      <c r="I544" s="10" t="str">
        <f>IFERROR((IF(VLOOKUP(A544,'ECN-ECO_DATA'!B:Q,13,FALSE)="","",VLOOKUP(A544,'ECN-ECO_DATA'!B:Q,13,FALSE))),"")</f>
        <v/>
      </c>
      <c r="J544" s="10" t="str">
        <f>IFERROR((IF(VLOOKUP(A544,'ECN-ECO_DATA'!B:Q,14,FALSE)="","",VLOOKUP(A544,'ECN-ECO_DATA'!B:Q,14,FALSE))),"")</f>
        <v/>
      </c>
      <c r="K544" s="10" t="str">
        <f>IFERROR((IF(VLOOKUP(A544,'ECN-ECO_DATA'!B:Q,15,FALSE)="","",VLOOKUP(A544,'ECN-ECO_DATA'!B:Q,15,FALSE))),"")</f>
        <v/>
      </c>
      <c r="L544" s="10" t="str">
        <f>IFERROR((IF(VLOOKUP(A544,'ECN-ECO_DATA'!B:Q,16,FALSE)="","",VLOOKUP(A544,'ECN-ECO_DATA'!B:Q,16,FALSE))),"")</f>
        <v/>
      </c>
      <c r="M544" s="9" t="str">
        <f>IFERROR((IF(VLOOKUP(A544,'ECN-ECO_DATA'!B:V,18,FALSE)=0/1/1900,"",VLOOKUP(A544,'ECN-ECO_DATA'!B:V,18,FALSE))),"")</f>
        <v/>
      </c>
      <c r="N544" s="9" t="str">
        <f>IFERROR((IF(VLOOKUP(A544,'ECN-ECO_DATA'!B:V,19,FALSE)=0/1/1900,"",VLOOKUP(A544,'ECN-ECO_DATA'!B:V,19,FALSE))),"")</f>
        <v/>
      </c>
      <c r="O544" s="9" t="str">
        <f>IFERROR((IF(VLOOKUP(A544,'ECN-ECO_DATA'!B:V,20,FALSE)=0/1/1900,"",VLOOKUP(A544,'ECN-ECO_DATA'!B:V,20,FALSE))),"")</f>
        <v/>
      </c>
      <c r="P544" s="9" t="str">
        <f>IFERROR((IF(VLOOKUP(A544,'ECN-ECO_DATA'!B:V,21,FALSE)=0/1/1900,"",VLOOKUP(A544,'ECN-ECO_DATA'!B:V,21,FALSE))),"")</f>
        <v/>
      </c>
      <c r="Q544" s="10" t="str">
        <f t="shared" ca="1" si="40"/>
        <v/>
      </c>
      <c r="R544" s="4" t="str">
        <f t="shared" si="41"/>
        <v/>
      </c>
      <c r="S544" s="4" t="str">
        <f t="shared" si="42"/>
        <v/>
      </c>
      <c r="T544" s="4" t="str">
        <f t="shared" si="43"/>
        <v/>
      </c>
      <c r="U544" s="10" t="str">
        <f t="shared" si="44"/>
        <v/>
      </c>
      <c r="V544" s="4"/>
    </row>
    <row r="545" spans="2:22" x14ac:dyDescent="0.25">
      <c r="B545" s="4" t="str">
        <f>IFERROR(VLOOKUP(A545,'ECN-ECO_DATA'!B:G,4,FALSE),"")</f>
        <v/>
      </c>
      <c r="C545" s="9" t="str">
        <f>IFERROR(VLOOKUP(A545,'ECN-ECO_DATA'!B:G,5,FALSE),"")</f>
        <v/>
      </c>
      <c r="D545" s="9" t="str">
        <f ca="1">IFERROR((IF(VLOOKUP(A545,'ECN-ECO_DATA'!B:G,6,FALSE)=0/1/1900,TODAY(),VLOOKUP(A545,'ECN-ECO_DATA'!B:G,6,FALSE))),"")</f>
        <v/>
      </c>
      <c r="E545" s="9" t="str">
        <f>IFERROR((IF(VLOOKUP(A545,'ECN-ECO_DATA'!B:G,6,FALSE)=0/1/1900,"",VLOOKUP(A545,'ECN-ECO_DATA'!B:G,6,FALSE))),"")</f>
        <v/>
      </c>
      <c r="F545" s="9" t="str">
        <f>IFERROR((IF(VLOOKUP(A545,'ECN-ECO_DATA'!B:J,7,FALSE)=0/1/1900,"",VLOOKUP(A545,'ECN-ECO_DATA'!B:J,7,FALSE))),"")</f>
        <v/>
      </c>
      <c r="G545" s="9" t="str">
        <f>IFERROR((IF(VLOOKUP(A545,'ECN-ECO_DATA'!B:J,8,FALSE)=0/1/1900,"",VLOOKUP(A545,'ECN-ECO_DATA'!B:J,8,FALSE))),"")</f>
        <v/>
      </c>
      <c r="H545" s="9" t="str">
        <f>IFERROR((IF(VLOOKUP(A545,'ECN-ECO_DATA'!B:J,9,FALSE)=0/1/1900,"",VLOOKUP(A545,'ECN-ECO_DATA'!B:J,9,FALSE))),"")</f>
        <v/>
      </c>
      <c r="I545" s="10" t="str">
        <f>IFERROR((IF(VLOOKUP(A545,'ECN-ECO_DATA'!B:Q,13,FALSE)="","",VLOOKUP(A545,'ECN-ECO_DATA'!B:Q,13,FALSE))),"")</f>
        <v/>
      </c>
      <c r="J545" s="10" t="str">
        <f>IFERROR((IF(VLOOKUP(A545,'ECN-ECO_DATA'!B:Q,14,FALSE)="","",VLOOKUP(A545,'ECN-ECO_DATA'!B:Q,14,FALSE))),"")</f>
        <v/>
      </c>
      <c r="K545" s="10" t="str">
        <f>IFERROR((IF(VLOOKUP(A545,'ECN-ECO_DATA'!B:Q,15,FALSE)="","",VLOOKUP(A545,'ECN-ECO_DATA'!B:Q,15,FALSE))),"")</f>
        <v/>
      </c>
      <c r="L545" s="10" t="str">
        <f>IFERROR((IF(VLOOKUP(A545,'ECN-ECO_DATA'!B:Q,16,FALSE)="","",VLOOKUP(A545,'ECN-ECO_DATA'!B:Q,16,FALSE))),"")</f>
        <v/>
      </c>
      <c r="M545" s="9" t="str">
        <f>IFERROR((IF(VLOOKUP(A545,'ECN-ECO_DATA'!B:V,18,FALSE)=0/1/1900,"",VLOOKUP(A545,'ECN-ECO_DATA'!B:V,18,FALSE))),"")</f>
        <v/>
      </c>
      <c r="N545" s="9" t="str">
        <f>IFERROR((IF(VLOOKUP(A545,'ECN-ECO_DATA'!B:V,19,FALSE)=0/1/1900,"",VLOOKUP(A545,'ECN-ECO_DATA'!B:V,19,FALSE))),"")</f>
        <v/>
      </c>
      <c r="O545" s="9" t="str">
        <f>IFERROR((IF(VLOOKUP(A545,'ECN-ECO_DATA'!B:V,20,FALSE)=0/1/1900,"",VLOOKUP(A545,'ECN-ECO_DATA'!B:V,20,FALSE))),"")</f>
        <v/>
      </c>
      <c r="P545" s="9" t="str">
        <f>IFERROR((IF(VLOOKUP(A545,'ECN-ECO_DATA'!B:V,21,FALSE)=0/1/1900,"",VLOOKUP(A545,'ECN-ECO_DATA'!B:V,21,FALSE))),"")</f>
        <v/>
      </c>
      <c r="Q545" s="10" t="str">
        <f t="shared" ca="1" si="40"/>
        <v/>
      </c>
      <c r="R545" s="4" t="str">
        <f t="shared" si="41"/>
        <v/>
      </c>
      <c r="S545" s="4" t="str">
        <f t="shared" si="42"/>
        <v/>
      </c>
      <c r="T545" s="4" t="str">
        <f t="shared" si="43"/>
        <v/>
      </c>
      <c r="U545" s="10" t="str">
        <f t="shared" si="44"/>
        <v/>
      </c>
      <c r="V545" s="4"/>
    </row>
    <row r="546" spans="2:22" x14ac:dyDescent="0.25">
      <c r="B546" s="4" t="str">
        <f>IFERROR(VLOOKUP(A546,'ECN-ECO_DATA'!B:G,4,FALSE),"")</f>
        <v/>
      </c>
      <c r="C546" s="9" t="str">
        <f>IFERROR(VLOOKUP(A546,'ECN-ECO_DATA'!B:G,5,FALSE),"")</f>
        <v/>
      </c>
      <c r="D546" s="9" t="str">
        <f ca="1">IFERROR((IF(VLOOKUP(A546,'ECN-ECO_DATA'!B:G,6,FALSE)=0/1/1900,TODAY(),VLOOKUP(A546,'ECN-ECO_DATA'!B:G,6,FALSE))),"")</f>
        <v/>
      </c>
      <c r="E546" s="9" t="str">
        <f>IFERROR((IF(VLOOKUP(A546,'ECN-ECO_DATA'!B:G,6,FALSE)=0/1/1900,"",VLOOKUP(A546,'ECN-ECO_DATA'!B:G,6,FALSE))),"")</f>
        <v/>
      </c>
      <c r="F546" s="9" t="str">
        <f>IFERROR((IF(VLOOKUP(A546,'ECN-ECO_DATA'!B:J,7,FALSE)=0/1/1900,"",VLOOKUP(A546,'ECN-ECO_DATA'!B:J,7,FALSE))),"")</f>
        <v/>
      </c>
      <c r="G546" s="9" t="str">
        <f>IFERROR((IF(VLOOKUP(A546,'ECN-ECO_DATA'!B:J,8,FALSE)=0/1/1900,"",VLOOKUP(A546,'ECN-ECO_DATA'!B:J,8,FALSE))),"")</f>
        <v/>
      </c>
      <c r="H546" s="9" t="str">
        <f>IFERROR((IF(VLOOKUP(A546,'ECN-ECO_DATA'!B:J,9,FALSE)=0/1/1900,"",VLOOKUP(A546,'ECN-ECO_DATA'!B:J,9,FALSE))),"")</f>
        <v/>
      </c>
      <c r="I546" s="10" t="str">
        <f>IFERROR((IF(VLOOKUP(A546,'ECN-ECO_DATA'!B:Q,13,FALSE)="","",VLOOKUP(A546,'ECN-ECO_DATA'!B:Q,13,FALSE))),"")</f>
        <v/>
      </c>
      <c r="J546" s="10" t="str">
        <f>IFERROR((IF(VLOOKUP(A546,'ECN-ECO_DATA'!B:Q,14,FALSE)="","",VLOOKUP(A546,'ECN-ECO_DATA'!B:Q,14,FALSE))),"")</f>
        <v/>
      </c>
      <c r="K546" s="10" t="str">
        <f>IFERROR((IF(VLOOKUP(A546,'ECN-ECO_DATA'!B:Q,15,FALSE)="","",VLOOKUP(A546,'ECN-ECO_DATA'!B:Q,15,FALSE))),"")</f>
        <v/>
      </c>
      <c r="L546" s="10" t="str">
        <f>IFERROR((IF(VLOOKUP(A546,'ECN-ECO_DATA'!B:Q,16,FALSE)="","",VLOOKUP(A546,'ECN-ECO_DATA'!B:Q,16,FALSE))),"")</f>
        <v/>
      </c>
      <c r="M546" s="9" t="str">
        <f>IFERROR((IF(VLOOKUP(A546,'ECN-ECO_DATA'!B:V,18,FALSE)=0/1/1900,"",VLOOKUP(A546,'ECN-ECO_DATA'!B:V,18,FALSE))),"")</f>
        <v/>
      </c>
      <c r="N546" s="9" t="str">
        <f>IFERROR((IF(VLOOKUP(A546,'ECN-ECO_DATA'!B:V,19,FALSE)=0/1/1900,"",VLOOKUP(A546,'ECN-ECO_DATA'!B:V,19,FALSE))),"")</f>
        <v/>
      </c>
      <c r="O546" s="9" t="str">
        <f>IFERROR((IF(VLOOKUP(A546,'ECN-ECO_DATA'!B:V,20,FALSE)=0/1/1900,"",VLOOKUP(A546,'ECN-ECO_DATA'!B:V,20,FALSE))),"")</f>
        <v/>
      </c>
      <c r="P546" s="9" t="str">
        <f>IFERROR((IF(VLOOKUP(A546,'ECN-ECO_DATA'!B:V,21,FALSE)=0/1/1900,"",VLOOKUP(A546,'ECN-ECO_DATA'!B:V,21,FALSE))),"")</f>
        <v/>
      </c>
      <c r="Q546" s="10" t="str">
        <f t="shared" ca="1" si="40"/>
        <v/>
      </c>
      <c r="R546" s="4" t="str">
        <f t="shared" si="41"/>
        <v/>
      </c>
      <c r="S546" s="4" t="str">
        <f t="shared" si="42"/>
        <v/>
      </c>
      <c r="T546" s="4" t="str">
        <f t="shared" si="43"/>
        <v/>
      </c>
      <c r="U546" s="10" t="str">
        <f t="shared" si="44"/>
        <v/>
      </c>
      <c r="V546" s="4"/>
    </row>
    <row r="547" spans="2:22" x14ac:dyDescent="0.25">
      <c r="B547" s="4" t="str">
        <f>IFERROR(VLOOKUP(A547,'ECN-ECO_DATA'!B:G,4,FALSE),"")</f>
        <v/>
      </c>
      <c r="C547" s="9" t="str">
        <f>IFERROR(VLOOKUP(A547,'ECN-ECO_DATA'!B:G,5,FALSE),"")</f>
        <v/>
      </c>
      <c r="D547" s="9" t="str">
        <f ca="1">IFERROR((IF(VLOOKUP(A547,'ECN-ECO_DATA'!B:G,6,FALSE)=0/1/1900,TODAY(),VLOOKUP(A547,'ECN-ECO_DATA'!B:G,6,FALSE))),"")</f>
        <v/>
      </c>
      <c r="E547" s="9" t="str">
        <f>IFERROR((IF(VLOOKUP(A547,'ECN-ECO_DATA'!B:G,6,FALSE)=0/1/1900,"",VLOOKUP(A547,'ECN-ECO_DATA'!B:G,6,FALSE))),"")</f>
        <v/>
      </c>
      <c r="F547" s="9" t="str">
        <f>IFERROR((IF(VLOOKUP(A547,'ECN-ECO_DATA'!B:J,7,FALSE)=0/1/1900,"",VLOOKUP(A547,'ECN-ECO_DATA'!B:J,7,FALSE))),"")</f>
        <v/>
      </c>
      <c r="G547" s="9" t="str">
        <f>IFERROR((IF(VLOOKUP(A547,'ECN-ECO_DATA'!B:J,8,FALSE)=0/1/1900,"",VLOOKUP(A547,'ECN-ECO_DATA'!B:J,8,FALSE))),"")</f>
        <v/>
      </c>
      <c r="H547" s="9" t="str">
        <f>IFERROR((IF(VLOOKUP(A547,'ECN-ECO_DATA'!B:J,9,FALSE)=0/1/1900,"",VLOOKUP(A547,'ECN-ECO_DATA'!B:J,9,FALSE))),"")</f>
        <v/>
      </c>
      <c r="I547" s="10" t="str">
        <f>IFERROR((IF(VLOOKUP(A547,'ECN-ECO_DATA'!B:Q,13,FALSE)="","",VLOOKUP(A547,'ECN-ECO_DATA'!B:Q,13,FALSE))),"")</f>
        <v/>
      </c>
      <c r="J547" s="10" t="str">
        <f>IFERROR((IF(VLOOKUP(A547,'ECN-ECO_DATA'!B:Q,14,FALSE)="","",VLOOKUP(A547,'ECN-ECO_DATA'!B:Q,14,FALSE))),"")</f>
        <v/>
      </c>
      <c r="K547" s="10" t="str">
        <f>IFERROR((IF(VLOOKUP(A547,'ECN-ECO_DATA'!B:Q,15,FALSE)="","",VLOOKUP(A547,'ECN-ECO_DATA'!B:Q,15,FALSE))),"")</f>
        <v/>
      </c>
      <c r="L547" s="10" t="str">
        <f>IFERROR((IF(VLOOKUP(A547,'ECN-ECO_DATA'!B:Q,16,FALSE)="","",VLOOKUP(A547,'ECN-ECO_DATA'!B:Q,16,FALSE))),"")</f>
        <v/>
      </c>
      <c r="M547" s="9" t="str">
        <f>IFERROR((IF(VLOOKUP(A547,'ECN-ECO_DATA'!B:V,18,FALSE)=0/1/1900,"",VLOOKUP(A547,'ECN-ECO_DATA'!B:V,18,FALSE))),"")</f>
        <v/>
      </c>
      <c r="N547" s="9" t="str">
        <f>IFERROR((IF(VLOOKUP(A547,'ECN-ECO_DATA'!B:V,19,FALSE)=0/1/1900,"",VLOOKUP(A547,'ECN-ECO_DATA'!B:V,19,FALSE))),"")</f>
        <v/>
      </c>
      <c r="O547" s="9" t="str">
        <f>IFERROR((IF(VLOOKUP(A547,'ECN-ECO_DATA'!B:V,20,FALSE)=0/1/1900,"",VLOOKUP(A547,'ECN-ECO_DATA'!B:V,20,FALSE))),"")</f>
        <v/>
      </c>
      <c r="P547" s="9" t="str">
        <f>IFERROR((IF(VLOOKUP(A547,'ECN-ECO_DATA'!B:V,21,FALSE)=0/1/1900,"",VLOOKUP(A547,'ECN-ECO_DATA'!B:V,21,FALSE))),"")</f>
        <v/>
      </c>
      <c r="Q547" s="10" t="str">
        <f t="shared" ca="1" si="40"/>
        <v/>
      </c>
      <c r="R547" s="4" t="str">
        <f t="shared" si="41"/>
        <v/>
      </c>
      <c r="S547" s="4" t="str">
        <f t="shared" si="42"/>
        <v/>
      </c>
      <c r="T547" s="4" t="str">
        <f t="shared" si="43"/>
        <v/>
      </c>
      <c r="U547" s="10" t="str">
        <f t="shared" si="44"/>
        <v/>
      </c>
      <c r="V547" s="4"/>
    </row>
    <row r="548" spans="2:22" x14ac:dyDescent="0.25">
      <c r="B548" s="4" t="str">
        <f>IFERROR(VLOOKUP(A548,'ECN-ECO_DATA'!B:G,4,FALSE),"")</f>
        <v/>
      </c>
      <c r="C548" s="9" t="str">
        <f>IFERROR(VLOOKUP(A548,'ECN-ECO_DATA'!B:G,5,FALSE),"")</f>
        <v/>
      </c>
      <c r="D548" s="9" t="str">
        <f ca="1">IFERROR((IF(VLOOKUP(A548,'ECN-ECO_DATA'!B:G,6,FALSE)=0/1/1900,TODAY(),VLOOKUP(A548,'ECN-ECO_DATA'!B:G,6,FALSE))),"")</f>
        <v/>
      </c>
      <c r="E548" s="9" t="str">
        <f>IFERROR((IF(VLOOKUP(A548,'ECN-ECO_DATA'!B:G,6,FALSE)=0/1/1900,"",VLOOKUP(A548,'ECN-ECO_DATA'!B:G,6,FALSE))),"")</f>
        <v/>
      </c>
      <c r="F548" s="9" t="str">
        <f>IFERROR((IF(VLOOKUP(A548,'ECN-ECO_DATA'!B:J,7,FALSE)=0/1/1900,"",VLOOKUP(A548,'ECN-ECO_DATA'!B:J,7,FALSE))),"")</f>
        <v/>
      </c>
      <c r="G548" s="9" t="str">
        <f>IFERROR((IF(VLOOKUP(A548,'ECN-ECO_DATA'!B:J,8,FALSE)=0/1/1900,"",VLOOKUP(A548,'ECN-ECO_DATA'!B:J,8,FALSE))),"")</f>
        <v/>
      </c>
      <c r="H548" s="9" t="str">
        <f>IFERROR((IF(VLOOKUP(A548,'ECN-ECO_DATA'!B:J,9,FALSE)=0/1/1900,"",VLOOKUP(A548,'ECN-ECO_DATA'!B:J,9,FALSE))),"")</f>
        <v/>
      </c>
      <c r="I548" s="10" t="str">
        <f>IFERROR((IF(VLOOKUP(A548,'ECN-ECO_DATA'!B:Q,13,FALSE)="","",VLOOKUP(A548,'ECN-ECO_DATA'!B:Q,13,FALSE))),"")</f>
        <v/>
      </c>
      <c r="J548" s="10" t="str">
        <f>IFERROR((IF(VLOOKUP(A548,'ECN-ECO_DATA'!B:Q,14,FALSE)="","",VLOOKUP(A548,'ECN-ECO_DATA'!B:Q,14,FALSE))),"")</f>
        <v/>
      </c>
      <c r="K548" s="10" t="str">
        <f>IFERROR((IF(VLOOKUP(A548,'ECN-ECO_DATA'!B:Q,15,FALSE)="","",VLOOKUP(A548,'ECN-ECO_DATA'!B:Q,15,FALSE))),"")</f>
        <v/>
      </c>
      <c r="L548" s="10" t="str">
        <f>IFERROR((IF(VLOOKUP(A548,'ECN-ECO_DATA'!B:Q,16,FALSE)="","",VLOOKUP(A548,'ECN-ECO_DATA'!B:Q,16,FALSE))),"")</f>
        <v/>
      </c>
      <c r="M548" s="9" t="str">
        <f>IFERROR((IF(VLOOKUP(A548,'ECN-ECO_DATA'!B:V,18,FALSE)=0/1/1900,"",VLOOKUP(A548,'ECN-ECO_DATA'!B:V,18,FALSE))),"")</f>
        <v/>
      </c>
      <c r="N548" s="9" t="str">
        <f>IFERROR((IF(VLOOKUP(A548,'ECN-ECO_DATA'!B:V,19,FALSE)=0/1/1900,"",VLOOKUP(A548,'ECN-ECO_DATA'!B:V,19,FALSE))),"")</f>
        <v/>
      </c>
      <c r="O548" s="9" t="str">
        <f>IFERROR((IF(VLOOKUP(A548,'ECN-ECO_DATA'!B:V,20,FALSE)=0/1/1900,"",VLOOKUP(A548,'ECN-ECO_DATA'!B:V,20,FALSE))),"")</f>
        <v/>
      </c>
      <c r="P548" s="9" t="str">
        <f>IFERROR((IF(VLOOKUP(A548,'ECN-ECO_DATA'!B:V,21,FALSE)=0/1/1900,"",VLOOKUP(A548,'ECN-ECO_DATA'!B:V,21,FALSE))),"")</f>
        <v/>
      </c>
      <c r="Q548" s="10" t="str">
        <f t="shared" ca="1" si="40"/>
        <v/>
      </c>
      <c r="R548" s="4" t="str">
        <f t="shared" si="41"/>
        <v/>
      </c>
      <c r="S548" s="4" t="str">
        <f t="shared" si="42"/>
        <v/>
      </c>
      <c r="T548" s="4" t="str">
        <f t="shared" si="43"/>
        <v/>
      </c>
      <c r="U548" s="10" t="str">
        <f t="shared" si="44"/>
        <v/>
      </c>
      <c r="V548" s="4"/>
    </row>
    <row r="549" spans="2:22" x14ac:dyDescent="0.25">
      <c r="B549" s="4" t="str">
        <f>IFERROR(VLOOKUP(A549,'ECN-ECO_DATA'!B:G,4,FALSE),"")</f>
        <v/>
      </c>
      <c r="C549" s="9" t="str">
        <f>IFERROR(VLOOKUP(A549,'ECN-ECO_DATA'!B:G,5,FALSE),"")</f>
        <v/>
      </c>
      <c r="D549" s="9" t="str">
        <f ca="1">IFERROR((IF(VLOOKUP(A549,'ECN-ECO_DATA'!B:G,6,FALSE)=0/1/1900,TODAY(),VLOOKUP(A549,'ECN-ECO_DATA'!B:G,6,FALSE))),"")</f>
        <v/>
      </c>
      <c r="E549" s="9" t="str">
        <f>IFERROR((IF(VLOOKUP(A549,'ECN-ECO_DATA'!B:G,6,FALSE)=0/1/1900,"",VLOOKUP(A549,'ECN-ECO_DATA'!B:G,6,FALSE))),"")</f>
        <v/>
      </c>
      <c r="F549" s="9" t="str">
        <f>IFERROR((IF(VLOOKUP(A549,'ECN-ECO_DATA'!B:J,7,FALSE)=0/1/1900,"",VLOOKUP(A549,'ECN-ECO_DATA'!B:J,7,FALSE))),"")</f>
        <v/>
      </c>
      <c r="G549" s="9" t="str">
        <f>IFERROR((IF(VLOOKUP(A549,'ECN-ECO_DATA'!B:J,8,FALSE)=0/1/1900,"",VLOOKUP(A549,'ECN-ECO_DATA'!B:J,8,FALSE))),"")</f>
        <v/>
      </c>
      <c r="H549" s="9" t="str">
        <f>IFERROR((IF(VLOOKUP(A549,'ECN-ECO_DATA'!B:J,9,FALSE)=0/1/1900,"",VLOOKUP(A549,'ECN-ECO_DATA'!B:J,9,FALSE))),"")</f>
        <v/>
      </c>
      <c r="I549" s="10" t="str">
        <f>IFERROR((IF(VLOOKUP(A549,'ECN-ECO_DATA'!B:Q,13,FALSE)="","",VLOOKUP(A549,'ECN-ECO_DATA'!B:Q,13,FALSE))),"")</f>
        <v/>
      </c>
      <c r="J549" s="10" t="str">
        <f>IFERROR((IF(VLOOKUP(A549,'ECN-ECO_DATA'!B:Q,14,FALSE)="","",VLOOKUP(A549,'ECN-ECO_DATA'!B:Q,14,FALSE))),"")</f>
        <v/>
      </c>
      <c r="K549" s="10" t="str">
        <f>IFERROR((IF(VLOOKUP(A549,'ECN-ECO_DATA'!B:Q,15,FALSE)="","",VLOOKUP(A549,'ECN-ECO_DATA'!B:Q,15,FALSE))),"")</f>
        <v/>
      </c>
      <c r="L549" s="10" t="str">
        <f>IFERROR((IF(VLOOKUP(A549,'ECN-ECO_DATA'!B:Q,16,FALSE)="","",VLOOKUP(A549,'ECN-ECO_DATA'!B:Q,16,FALSE))),"")</f>
        <v/>
      </c>
      <c r="M549" s="9" t="str">
        <f>IFERROR((IF(VLOOKUP(A549,'ECN-ECO_DATA'!B:V,18,FALSE)=0/1/1900,"",VLOOKUP(A549,'ECN-ECO_DATA'!B:V,18,FALSE))),"")</f>
        <v/>
      </c>
      <c r="N549" s="9" t="str">
        <f>IFERROR((IF(VLOOKUP(A549,'ECN-ECO_DATA'!B:V,19,FALSE)=0/1/1900,"",VLOOKUP(A549,'ECN-ECO_DATA'!B:V,19,FALSE))),"")</f>
        <v/>
      </c>
      <c r="O549" s="9" t="str">
        <f>IFERROR((IF(VLOOKUP(A549,'ECN-ECO_DATA'!B:V,20,FALSE)=0/1/1900,"",VLOOKUP(A549,'ECN-ECO_DATA'!B:V,20,FALSE))),"")</f>
        <v/>
      </c>
      <c r="P549" s="9" t="str">
        <f>IFERROR((IF(VLOOKUP(A549,'ECN-ECO_DATA'!B:V,21,FALSE)=0/1/1900,"",VLOOKUP(A549,'ECN-ECO_DATA'!B:V,21,FALSE))),"")</f>
        <v/>
      </c>
      <c r="Q549" s="10" t="str">
        <f t="shared" ca="1" si="40"/>
        <v/>
      </c>
      <c r="R549" s="4" t="str">
        <f t="shared" si="41"/>
        <v/>
      </c>
      <c r="S549" s="4" t="str">
        <f t="shared" si="42"/>
        <v/>
      </c>
      <c r="T549" s="4" t="str">
        <f t="shared" si="43"/>
        <v/>
      </c>
      <c r="U549" s="10" t="str">
        <f t="shared" si="44"/>
        <v/>
      </c>
      <c r="V549" s="4"/>
    </row>
    <row r="550" spans="2:22" x14ac:dyDescent="0.25">
      <c r="B550" s="4" t="str">
        <f>IFERROR(VLOOKUP(A550,'ECN-ECO_DATA'!B:G,4,FALSE),"")</f>
        <v/>
      </c>
      <c r="C550" s="9" t="str">
        <f>IFERROR(VLOOKUP(A550,'ECN-ECO_DATA'!B:G,5,FALSE),"")</f>
        <v/>
      </c>
      <c r="D550" s="9" t="str">
        <f ca="1">IFERROR((IF(VLOOKUP(A550,'ECN-ECO_DATA'!B:G,6,FALSE)=0/1/1900,TODAY(),VLOOKUP(A550,'ECN-ECO_DATA'!B:G,6,FALSE))),"")</f>
        <v/>
      </c>
      <c r="E550" s="9" t="str">
        <f>IFERROR((IF(VLOOKUP(A550,'ECN-ECO_DATA'!B:G,6,FALSE)=0/1/1900,"",VLOOKUP(A550,'ECN-ECO_DATA'!B:G,6,FALSE))),"")</f>
        <v/>
      </c>
      <c r="F550" s="9" t="str">
        <f>IFERROR((IF(VLOOKUP(A550,'ECN-ECO_DATA'!B:J,7,FALSE)=0/1/1900,"",VLOOKUP(A550,'ECN-ECO_DATA'!B:J,7,FALSE))),"")</f>
        <v/>
      </c>
      <c r="G550" s="9" t="str">
        <f>IFERROR((IF(VLOOKUP(A550,'ECN-ECO_DATA'!B:J,8,FALSE)=0/1/1900,"",VLOOKUP(A550,'ECN-ECO_DATA'!B:J,8,FALSE))),"")</f>
        <v/>
      </c>
      <c r="H550" s="9" t="str">
        <f>IFERROR((IF(VLOOKUP(A550,'ECN-ECO_DATA'!B:J,9,FALSE)=0/1/1900,"",VLOOKUP(A550,'ECN-ECO_DATA'!B:J,9,FALSE))),"")</f>
        <v/>
      </c>
      <c r="I550" s="10" t="str">
        <f>IFERROR((IF(VLOOKUP(A550,'ECN-ECO_DATA'!B:Q,13,FALSE)="","",VLOOKUP(A550,'ECN-ECO_DATA'!B:Q,13,FALSE))),"")</f>
        <v/>
      </c>
      <c r="J550" s="10" t="str">
        <f>IFERROR((IF(VLOOKUP(A550,'ECN-ECO_DATA'!B:Q,14,FALSE)="","",VLOOKUP(A550,'ECN-ECO_DATA'!B:Q,14,FALSE))),"")</f>
        <v/>
      </c>
      <c r="K550" s="10" t="str">
        <f>IFERROR((IF(VLOOKUP(A550,'ECN-ECO_DATA'!B:Q,15,FALSE)="","",VLOOKUP(A550,'ECN-ECO_DATA'!B:Q,15,FALSE))),"")</f>
        <v/>
      </c>
      <c r="L550" s="10" t="str">
        <f>IFERROR((IF(VLOOKUP(A550,'ECN-ECO_DATA'!B:Q,16,FALSE)="","",VLOOKUP(A550,'ECN-ECO_DATA'!B:Q,16,FALSE))),"")</f>
        <v/>
      </c>
      <c r="M550" s="9" t="str">
        <f>IFERROR((IF(VLOOKUP(A550,'ECN-ECO_DATA'!B:V,18,FALSE)=0/1/1900,"",VLOOKUP(A550,'ECN-ECO_DATA'!B:V,18,FALSE))),"")</f>
        <v/>
      </c>
      <c r="N550" s="9" t="str">
        <f>IFERROR((IF(VLOOKUP(A550,'ECN-ECO_DATA'!B:V,19,FALSE)=0/1/1900,"",VLOOKUP(A550,'ECN-ECO_DATA'!B:V,19,FALSE))),"")</f>
        <v/>
      </c>
      <c r="O550" s="9" t="str">
        <f>IFERROR((IF(VLOOKUP(A550,'ECN-ECO_DATA'!B:V,20,FALSE)=0/1/1900,"",VLOOKUP(A550,'ECN-ECO_DATA'!B:V,20,FALSE))),"")</f>
        <v/>
      </c>
      <c r="P550" s="9" t="str">
        <f>IFERROR((IF(VLOOKUP(A550,'ECN-ECO_DATA'!B:V,21,FALSE)=0/1/1900,"",VLOOKUP(A550,'ECN-ECO_DATA'!B:V,21,FALSE))),"")</f>
        <v/>
      </c>
      <c r="Q550" s="10" t="str">
        <f t="shared" ca="1" si="40"/>
        <v/>
      </c>
      <c r="R550" s="4" t="str">
        <f t="shared" si="41"/>
        <v/>
      </c>
      <c r="S550" s="4" t="str">
        <f t="shared" si="42"/>
        <v/>
      </c>
      <c r="T550" s="4" t="str">
        <f t="shared" si="43"/>
        <v/>
      </c>
      <c r="U550" s="10" t="str">
        <f t="shared" si="44"/>
        <v/>
      </c>
      <c r="V550" s="4"/>
    </row>
    <row r="551" spans="2:22" x14ac:dyDescent="0.25">
      <c r="B551" s="4" t="str">
        <f>IFERROR(VLOOKUP(A551,'ECN-ECO_DATA'!B:G,4,FALSE),"")</f>
        <v/>
      </c>
      <c r="C551" s="9" t="str">
        <f>IFERROR(VLOOKUP(A551,'ECN-ECO_DATA'!B:G,5,FALSE),"")</f>
        <v/>
      </c>
      <c r="D551" s="9" t="str">
        <f ca="1">IFERROR((IF(VLOOKUP(A551,'ECN-ECO_DATA'!B:G,6,FALSE)=0/1/1900,TODAY(),VLOOKUP(A551,'ECN-ECO_DATA'!B:G,6,FALSE))),"")</f>
        <v/>
      </c>
      <c r="E551" s="9" t="str">
        <f>IFERROR((IF(VLOOKUP(A551,'ECN-ECO_DATA'!B:G,6,FALSE)=0/1/1900,"",VLOOKUP(A551,'ECN-ECO_DATA'!B:G,6,FALSE))),"")</f>
        <v/>
      </c>
      <c r="F551" s="9" t="str">
        <f>IFERROR((IF(VLOOKUP(A551,'ECN-ECO_DATA'!B:J,7,FALSE)=0/1/1900,"",VLOOKUP(A551,'ECN-ECO_DATA'!B:J,7,FALSE))),"")</f>
        <v/>
      </c>
      <c r="G551" s="9" t="str">
        <f>IFERROR((IF(VLOOKUP(A551,'ECN-ECO_DATA'!B:J,8,FALSE)=0/1/1900,"",VLOOKUP(A551,'ECN-ECO_DATA'!B:J,8,FALSE))),"")</f>
        <v/>
      </c>
      <c r="H551" s="9" t="str">
        <f>IFERROR((IF(VLOOKUP(A551,'ECN-ECO_DATA'!B:J,9,FALSE)=0/1/1900,"",VLOOKUP(A551,'ECN-ECO_DATA'!B:J,9,FALSE))),"")</f>
        <v/>
      </c>
      <c r="I551" s="10" t="str">
        <f>IFERROR((IF(VLOOKUP(A551,'ECN-ECO_DATA'!B:Q,13,FALSE)="","",VLOOKUP(A551,'ECN-ECO_DATA'!B:Q,13,FALSE))),"")</f>
        <v/>
      </c>
      <c r="J551" s="10" t="str">
        <f>IFERROR((IF(VLOOKUP(A551,'ECN-ECO_DATA'!B:Q,14,FALSE)="","",VLOOKUP(A551,'ECN-ECO_DATA'!B:Q,14,FALSE))),"")</f>
        <v/>
      </c>
      <c r="K551" s="10" t="str">
        <f>IFERROR((IF(VLOOKUP(A551,'ECN-ECO_DATA'!B:Q,15,FALSE)="","",VLOOKUP(A551,'ECN-ECO_DATA'!B:Q,15,FALSE))),"")</f>
        <v/>
      </c>
      <c r="L551" s="10" t="str">
        <f>IFERROR((IF(VLOOKUP(A551,'ECN-ECO_DATA'!B:Q,16,FALSE)="","",VLOOKUP(A551,'ECN-ECO_DATA'!B:Q,16,FALSE))),"")</f>
        <v/>
      </c>
      <c r="M551" s="9" t="str">
        <f>IFERROR((IF(VLOOKUP(A551,'ECN-ECO_DATA'!B:V,18,FALSE)=0/1/1900,"",VLOOKUP(A551,'ECN-ECO_DATA'!B:V,18,FALSE))),"")</f>
        <v/>
      </c>
      <c r="N551" s="9" t="str">
        <f>IFERROR((IF(VLOOKUP(A551,'ECN-ECO_DATA'!B:V,19,FALSE)=0/1/1900,"",VLOOKUP(A551,'ECN-ECO_DATA'!B:V,19,FALSE))),"")</f>
        <v/>
      </c>
      <c r="O551" s="9" t="str">
        <f>IFERROR((IF(VLOOKUP(A551,'ECN-ECO_DATA'!B:V,20,FALSE)=0/1/1900,"",VLOOKUP(A551,'ECN-ECO_DATA'!B:V,20,FALSE))),"")</f>
        <v/>
      </c>
      <c r="P551" s="9" t="str">
        <f>IFERROR((IF(VLOOKUP(A551,'ECN-ECO_DATA'!B:V,21,FALSE)=0/1/1900,"",VLOOKUP(A551,'ECN-ECO_DATA'!B:V,21,FALSE))),"")</f>
        <v/>
      </c>
      <c r="Q551" s="10" t="str">
        <f t="shared" ca="1" si="40"/>
        <v/>
      </c>
      <c r="R551" s="4" t="str">
        <f t="shared" si="41"/>
        <v/>
      </c>
      <c r="S551" s="4" t="str">
        <f t="shared" si="42"/>
        <v/>
      </c>
      <c r="T551" s="4" t="str">
        <f t="shared" si="43"/>
        <v/>
      </c>
      <c r="U551" s="10" t="str">
        <f t="shared" si="44"/>
        <v/>
      </c>
      <c r="V551" s="4"/>
    </row>
    <row r="552" spans="2:22" x14ac:dyDescent="0.25">
      <c r="B552" s="4" t="str">
        <f>IFERROR(VLOOKUP(A552,'ECN-ECO_DATA'!B:G,4,FALSE),"")</f>
        <v/>
      </c>
      <c r="C552" s="9" t="str">
        <f>IFERROR(VLOOKUP(A552,'ECN-ECO_DATA'!B:G,5,FALSE),"")</f>
        <v/>
      </c>
      <c r="D552" s="9" t="str">
        <f ca="1">IFERROR((IF(VLOOKUP(A552,'ECN-ECO_DATA'!B:G,6,FALSE)=0/1/1900,TODAY(),VLOOKUP(A552,'ECN-ECO_DATA'!B:G,6,FALSE))),"")</f>
        <v/>
      </c>
      <c r="E552" s="9" t="str">
        <f>IFERROR((IF(VLOOKUP(A552,'ECN-ECO_DATA'!B:G,6,FALSE)=0/1/1900,"",VLOOKUP(A552,'ECN-ECO_DATA'!B:G,6,FALSE))),"")</f>
        <v/>
      </c>
      <c r="F552" s="9" t="str">
        <f>IFERROR((IF(VLOOKUP(A552,'ECN-ECO_DATA'!B:J,7,FALSE)=0/1/1900,"",VLOOKUP(A552,'ECN-ECO_DATA'!B:J,7,FALSE))),"")</f>
        <v/>
      </c>
      <c r="G552" s="9" t="str">
        <f>IFERROR((IF(VLOOKUP(A552,'ECN-ECO_DATA'!B:J,8,FALSE)=0/1/1900,"",VLOOKUP(A552,'ECN-ECO_DATA'!B:J,8,FALSE))),"")</f>
        <v/>
      </c>
      <c r="H552" s="9" t="str">
        <f>IFERROR((IF(VLOOKUP(A552,'ECN-ECO_DATA'!B:J,9,FALSE)=0/1/1900,"",VLOOKUP(A552,'ECN-ECO_DATA'!B:J,9,FALSE))),"")</f>
        <v/>
      </c>
      <c r="I552" s="10" t="str">
        <f>IFERROR((IF(VLOOKUP(A552,'ECN-ECO_DATA'!B:Q,13,FALSE)="","",VLOOKUP(A552,'ECN-ECO_DATA'!B:Q,13,FALSE))),"")</f>
        <v/>
      </c>
      <c r="J552" s="10" t="str">
        <f>IFERROR((IF(VLOOKUP(A552,'ECN-ECO_DATA'!B:Q,14,FALSE)="","",VLOOKUP(A552,'ECN-ECO_DATA'!B:Q,14,FALSE))),"")</f>
        <v/>
      </c>
      <c r="K552" s="10" t="str">
        <f>IFERROR((IF(VLOOKUP(A552,'ECN-ECO_DATA'!B:Q,15,FALSE)="","",VLOOKUP(A552,'ECN-ECO_DATA'!B:Q,15,FALSE))),"")</f>
        <v/>
      </c>
      <c r="L552" s="10" t="str">
        <f>IFERROR((IF(VLOOKUP(A552,'ECN-ECO_DATA'!B:Q,16,FALSE)="","",VLOOKUP(A552,'ECN-ECO_DATA'!B:Q,16,FALSE))),"")</f>
        <v/>
      </c>
      <c r="M552" s="9" t="str">
        <f>IFERROR((IF(VLOOKUP(A552,'ECN-ECO_DATA'!B:V,18,FALSE)=0/1/1900,"",VLOOKUP(A552,'ECN-ECO_DATA'!B:V,18,FALSE))),"")</f>
        <v/>
      </c>
      <c r="N552" s="9" t="str">
        <f>IFERROR((IF(VLOOKUP(A552,'ECN-ECO_DATA'!B:V,19,FALSE)=0/1/1900,"",VLOOKUP(A552,'ECN-ECO_DATA'!B:V,19,FALSE))),"")</f>
        <v/>
      </c>
      <c r="O552" s="9" t="str">
        <f>IFERROR((IF(VLOOKUP(A552,'ECN-ECO_DATA'!B:V,20,FALSE)=0/1/1900,"",VLOOKUP(A552,'ECN-ECO_DATA'!B:V,20,FALSE))),"")</f>
        <v/>
      </c>
      <c r="P552" s="9" t="str">
        <f>IFERROR((IF(VLOOKUP(A552,'ECN-ECO_DATA'!B:V,21,FALSE)=0/1/1900,"",VLOOKUP(A552,'ECN-ECO_DATA'!B:V,21,FALSE))),"")</f>
        <v/>
      </c>
      <c r="Q552" s="10" t="str">
        <f t="shared" ca="1" si="40"/>
        <v/>
      </c>
      <c r="R552" s="4" t="str">
        <f t="shared" si="41"/>
        <v/>
      </c>
      <c r="S552" s="4" t="str">
        <f t="shared" si="42"/>
        <v/>
      </c>
      <c r="T552" s="4" t="str">
        <f t="shared" si="43"/>
        <v/>
      </c>
      <c r="U552" s="10" t="str">
        <f t="shared" si="44"/>
        <v/>
      </c>
      <c r="V552" s="4"/>
    </row>
    <row r="553" spans="2:22" x14ac:dyDescent="0.25">
      <c r="B553" s="4" t="str">
        <f>IFERROR(VLOOKUP(A553,'ECN-ECO_DATA'!B:G,4,FALSE),"")</f>
        <v/>
      </c>
      <c r="C553" s="9" t="str">
        <f>IFERROR(VLOOKUP(A553,'ECN-ECO_DATA'!B:G,5,FALSE),"")</f>
        <v/>
      </c>
      <c r="D553" s="9" t="str">
        <f ca="1">IFERROR((IF(VLOOKUP(A553,'ECN-ECO_DATA'!B:G,6,FALSE)=0/1/1900,TODAY(),VLOOKUP(A553,'ECN-ECO_DATA'!B:G,6,FALSE))),"")</f>
        <v/>
      </c>
      <c r="E553" s="9" t="str">
        <f>IFERROR((IF(VLOOKUP(A553,'ECN-ECO_DATA'!B:G,6,FALSE)=0/1/1900,"",VLOOKUP(A553,'ECN-ECO_DATA'!B:G,6,FALSE))),"")</f>
        <v/>
      </c>
      <c r="F553" s="9" t="str">
        <f>IFERROR((IF(VLOOKUP(A553,'ECN-ECO_DATA'!B:J,7,FALSE)=0/1/1900,"",VLOOKUP(A553,'ECN-ECO_DATA'!B:J,7,FALSE))),"")</f>
        <v/>
      </c>
      <c r="G553" s="9" t="str">
        <f>IFERROR((IF(VLOOKUP(A553,'ECN-ECO_DATA'!B:J,8,FALSE)=0/1/1900,"",VLOOKUP(A553,'ECN-ECO_DATA'!B:J,8,FALSE))),"")</f>
        <v/>
      </c>
      <c r="H553" s="9" t="str">
        <f>IFERROR((IF(VLOOKUP(A553,'ECN-ECO_DATA'!B:J,9,FALSE)=0/1/1900,"",VLOOKUP(A553,'ECN-ECO_DATA'!B:J,9,FALSE))),"")</f>
        <v/>
      </c>
      <c r="I553" s="10" t="str">
        <f>IFERROR((IF(VLOOKUP(A553,'ECN-ECO_DATA'!B:Q,13,FALSE)="","",VLOOKUP(A553,'ECN-ECO_DATA'!B:Q,13,FALSE))),"")</f>
        <v/>
      </c>
      <c r="J553" s="10" t="str">
        <f>IFERROR((IF(VLOOKUP(A553,'ECN-ECO_DATA'!B:Q,14,FALSE)="","",VLOOKUP(A553,'ECN-ECO_DATA'!B:Q,14,FALSE))),"")</f>
        <v/>
      </c>
      <c r="K553" s="10" t="str">
        <f>IFERROR((IF(VLOOKUP(A553,'ECN-ECO_DATA'!B:Q,15,FALSE)="","",VLOOKUP(A553,'ECN-ECO_DATA'!B:Q,15,FALSE))),"")</f>
        <v/>
      </c>
      <c r="L553" s="10" t="str">
        <f>IFERROR((IF(VLOOKUP(A553,'ECN-ECO_DATA'!B:Q,16,FALSE)="","",VLOOKUP(A553,'ECN-ECO_DATA'!B:Q,16,FALSE))),"")</f>
        <v/>
      </c>
      <c r="M553" s="9" t="str">
        <f>IFERROR((IF(VLOOKUP(A553,'ECN-ECO_DATA'!B:V,18,FALSE)=0/1/1900,"",VLOOKUP(A553,'ECN-ECO_DATA'!B:V,18,FALSE))),"")</f>
        <v/>
      </c>
      <c r="N553" s="9" t="str">
        <f>IFERROR((IF(VLOOKUP(A553,'ECN-ECO_DATA'!B:V,19,FALSE)=0/1/1900,"",VLOOKUP(A553,'ECN-ECO_DATA'!B:V,19,FALSE))),"")</f>
        <v/>
      </c>
      <c r="O553" s="9" t="str">
        <f>IFERROR((IF(VLOOKUP(A553,'ECN-ECO_DATA'!B:V,20,FALSE)=0/1/1900,"",VLOOKUP(A553,'ECN-ECO_DATA'!B:V,20,FALSE))),"")</f>
        <v/>
      </c>
      <c r="P553" s="9" t="str">
        <f>IFERROR((IF(VLOOKUP(A553,'ECN-ECO_DATA'!B:V,21,FALSE)=0/1/1900,"",VLOOKUP(A553,'ECN-ECO_DATA'!B:V,21,FALSE))),"")</f>
        <v/>
      </c>
      <c r="Q553" s="10" t="str">
        <f t="shared" ca="1" si="40"/>
        <v/>
      </c>
      <c r="R553" s="4" t="str">
        <f t="shared" si="41"/>
        <v/>
      </c>
      <c r="S553" s="4" t="str">
        <f t="shared" si="42"/>
        <v/>
      </c>
      <c r="T553" s="4" t="str">
        <f t="shared" si="43"/>
        <v/>
      </c>
      <c r="U553" s="10" t="str">
        <f t="shared" si="44"/>
        <v/>
      </c>
      <c r="V553" s="4"/>
    </row>
    <row r="554" spans="2:22" x14ac:dyDescent="0.25">
      <c r="B554" s="4" t="str">
        <f>IFERROR(VLOOKUP(A554,'ECN-ECO_DATA'!B:G,4,FALSE),"")</f>
        <v/>
      </c>
      <c r="C554" s="9" t="str">
        <f>IFERROR(VLOOKUP(A554,'ECN-ECO_DATA'!B:G,5,FALSE),"")</f>
        <v/>
      </c>
      <c r="D554" s="9" t="str">
        <f ca="1">IFERROR((IF(VLOOKUP(A554,'ECN-ECO_DATA'!B:G,6,FALSE)=0/1/1900,TODAY(),VLOOKUP(A554,'ECN-ECO_DATA'!B:G,6,FALSE))),"")</f>
        <v/>
      </c>
      <c r="E554" s="9" t="str">
        <f>IFERROR((IF(VLOOKUP(A554,'ECN-ECO_DATA'!B:G,6,FALSE)=0/1/1900,"",VLOOKUP(A554,'ECN-ECO_DATA'!B:G,6,FALSE))),"")</f>
        <v/>
      </c>
      <c r="F554" s="9" t="str">
        <f>IFERROR((IF(VLOOKUP(A554,'ECN-ECO_DATA'!B:J,7,FALSE)=0/1/1900,"",VLOOKUP(A554,'ECN-ECO_DATA'!B:J,7,FALSE))),"")</f>
        <v/>
      </c>
      <c r="G554" s="9" t="str">
        <f>IFERROR((IF(VLOOKUP(A554,'ECN-ECO_DATA'!B:J,8,FALSE)=0/1/1900,"",VLOOKUP(A554,'ECN-ECO_DATA'!B:J,8,FALSE))),"")</f>
        <v/>
      </c>
      <c r="H554" s="9" t="str">
        <f>IFERROR((IF(VLOOKUP(A554,'ECN-ECO_DATA'!B:J,9,FALSE)=0/1/1900,"",VLOOKUP(A554,'ECN-ECO_DATA'!B:J,9,FALSE))),"")</f>
        <v/>
      </c>
      <c r="I554" s="10" t="str">
        <f>IFERROR((IF(VLOOKUP(A554,'ECN-ECO_DATA'!B:Q,13,FALSE)="","",VLOOKUP(A554,'ECN-ECO_DATA'!B:Q,13,FALSE))),"")</f>
        <v/>
      </c>
      <c r="J554" s="10" t="str">
        <f>IFERROR((IF(VLOOKUP(A554,'ECN-ECO_DATA'!B:Q,14,FALSE)="","",VLOOKUP(A554,'ECN-ECO_DATA'!B:Q,14,FALSE))),"")</f>
        <v/>
      </c>
      <c r="K554" s="10" t="str">
        <f>IFERROR((IF(VLOOKUP(A554,'ECN-ECO_DATA'!B:Q,15,FALSE)="","",VLOOKUP(A554,'ECN-ECO_DATA'!B:Q,15,FALSE))),"")</f>
        <v/>
      </c>
      <c r="L554" s="10" t="str">
        <f>IFERROR((IF(VLOOKUP(A554,'ECN-ECO_DATA'!B:Q,16,FALSE)="","",VLOOKUP(A554,'ECN-ECO_DATA'!B:Q,16,FALSE))),"")</f>
        <v/>
      </c>
      <c r="M554" s="9" t="str">
        <f>IFERROR((IF(VLOOKUP(A554,'ECN-ECO_DATA'!B:V,18,FALSE)=0/1/1900,"",VLOOKUP(A554,'ECN-ECO_DATA'!B:V,18,FALSE))),"")</f>
        <v/>
      </c>
      <c r="N554" s="9" t="str">
        <f>IFERROR((IF(VLOOKUP(A554,'ECN-ECO_DATA'!B:V,19,FALSE)=0/1/1900,"",VLOOKUP(A554,'ECN-ECO_DATA'!B:V,19,FALSE))),"")</f>
        <v/>
      </c>
      <c r="O554" s="9" t="str">
        <f>IFERROR((IF(VLOOKUP(A554,'ECN-ECO_DATA'!B:V,20,FALSE)=0/1/1900,"",VLOOKUP(A554,'ECN-ECO_DATA'!B:V,20,FALSE))),"")</f>
        <v/>
      </c>
      <c r="P554" s="9" t="str">
        <f>IFERROR((IF(VLOOKUP(A554,'ECN-ECO_DATA'!B:V,21,FALSE)=0/1/1900,"",VLOOKUP(A554,'ECN-ECO_DATA'!B:V,21,FALSE))),"")</f>
        <v/>
      </c>
      <c r="Q554" s="10" t="str">
        <f t="shared" ca="1" si="40"/>
        <v/>
      </c>
      <c r="R554" s="4" t="str">
        <f t="shared" si="41"/>
        <v/>
      </c>
      <c r="S554" s="4" t="str">
        <f t="shared" si="42"/>
        <v/>
      </c>
      <c r="T554" s="4" t="str">
        <f t="shared" si="43"/>
        <v/>
      </c>
      <c r="U554" s="10" t="str">
        <f t="shared" si="44"/>
        <v/>
      </c>
      <c r="V554" s="4"/>
    </row>
    <row r="555" spans="2:22" x14ac:dyDescent="0.25">
      <c r="B555" s="4" t="str">
        <f>IFERROR(VLOOKUP(A555,'ECN-ECO_DATA'!B:G,4,FALSE),"")</f>
        <v/>
      </c>
      <c r="C555" s="9" t="str">
        <f>IFERROR(VLOOKUP(A555,'ECN-ECO_DATA'!B:G,5,FALSE),"")</f>
        <v/>
      </c>
      <c r="D555" s="9" t="str">
        <f ca="1">IFERROR((IF(VLOOKUP(A555,'ECN-ECO_DATA'!B:G,6,FALSE)=0/1/1900,TODAY(),VLOOKUP(A555,'ECN-ECO_DATA'!B:G,6,FALSE))),"")</f>
        <v/>
      </c>
      <c r="E555" s="9" t="str">
        <f>IFERROR((IF(VLOOKUP(A555,'ECN-ECO_DATA'!B:G,6,FALSE)=0/1/1900,"",VLOOKUP(A555,'ECN-ECO_DATA'!B:G,6,FALSE))),"")</f>
        <v/>
      </c>
      <c r="F555" s="9" t="str">
        <f>IFERROR((IF(VLOOKUP(A555,'ECN-ECO_DATA'!B:J,7,FALSE)=0/1/1900,"",VLOOKUP(A555,'ECN-ECO_DATA'!B:J,7,FALSE))),"")</f>
        <v/>
      </c>
      <c r="G555" s="9" t="str">
        <f>IFERROR((IF(VLOOKUP(A555,'ECN-ECO_DATA'!B:J,8,FALSE)=0/1/1900,"",VLOOKUP(A555,'ECN-ECO_DATA'!B:J,8,FALSE))),"")</f>
        <v/>
      </c>
      <c r="H555" s="9" t="str">
        <f>IFERROR((IF(VLOOKUP(A555,'ECN-ECO_DATA'!B:J,9,FALSE)=0/1/1900,"",VLOOKUP(A555,'ECN-ECO_DATA'!B:J,9,FALSE))),"")</f>
        <v/>
      </c>
      <c r="I555" s="10" t="str">
        <f>IFERROR((IF(VLOOKUP(A555,'ECN-ECO_DATA'!B:Q,13,FALSE)="","",VLOOKUP(A555,'ECN-ECO_DATA'!B:Q,13,FALSE))),"")</f>
        <v/>
      </c>
      <c r="J555" s="10" t="str">
        <f>IFERROR((IF(VLOOKUP(A555,'ECN-ECO_DATA'!B:Q,14,FALSE)="","",VLOOKUP(A555,'ECN-ECO_DATA'!B:Q,14,FALSE))),"")</f>
        <v/>
      </c>
      <c r="K555" s="10" t="str">
        <f>IFERROR((IF(VLOOKUP(A555,'ECN-ECO_DATA'!B:Q,15,FALSE)="","",VLOOKUP(A555,'ECN-ECO_DATA'!B:Q,15,FALSE))),"")</f>
        <v/>
      </c>
      <c r="L555" s="10" t="str">
        <f>IFERROR((IF(VLOOKUP(A555,'ECN-ECO_DATA'!B:Q,16,FALSE)="","",VLOOKUP(A555,'ECN-ECO_DATA'!B:Q,16,FALSE))),"")</f>
        <v/>
      </c>
      <c r="M555" s="9" t="str">
        <f>IFERROR((IF(VLOOKUP(A555,'ECN-ECO_DATA'!B:V,18,FALSE)=0/1/1900,"",VLOOKUP(A555,'ECN-ECO_DATA'!B:V,18,FALSE))),"")</f>
        <v/>
      </c>
      <c r="N555" s="9" t="str">
        <f>IFERROR((IF(VLOOKUP(A555,'ECN-ECO_DATA'!B:V,19,FALSE)=0/1/1900,"",VLOOKUP(A555,'ECN-ECO_DATA'!B:V,19,FALSE))),"")</f>
        <v/>
      </c>
      <c r="O555" s="9" t="str">
        <f>IFERROR((IF(VLOOKUP(A555,'ECN-ECO_DATA'!B:V,20,FALSE)=0/1/1900,"",VLOOKUP(A555,'ECN-ECO_DATA'!B:V,20,FALSE))),"")</f>
        <v/>
      </c>
      <c r="P555" s="9" t="str">
        <f>IFERROR((IF(VLOOKUP(A555,'ECN-ECO_DATA'!B:V,21,FALSE)=0/1/1900,"",VLOOKUP(A555,'ECN-ECO_DATA'!B:V,21,FALSE))),"")</f>
        <v/>
      </c>
      <c r="Q555" s="10" t="str">
        <f t="shared" ca="1" si="40"/>
        <v/>
      </c>
      <c r="R555" s="4" t="str">
        <f t="shared" si="41"/>
        <v/>
      </c>
      <c r="S555" s="4" t="str">
        <f t="shared" si="42"/>
        <v/>
      </c>
      <c r="T555" s="4" t="str">
        <f t="shared" si="43"/>
        <v/>
      </c>
      <c r="U555" s="10" t="str">
        <f t="shared" si="44"/>
        <v/>
      </c>
      <c r="V555" s="4"/>
    </row>
    <row r="556" spans="2:22" x14ac:dyDescent="0.25">
      <c r="B556" s="4" t="str">
        <f>IFERROR(VLOOKUP(A556,'ECN-ECO_DATA'!B:G,4,FALSE),"")</f>
        <v/>
      </c>
      <c r="C556" s="9" t="str">
        <f>IFERROR(VLOOKUP(A556,'ECN-ECO_DATA'!B:G,5,FALSE),"")</f>
        <v/>
      </c>
      <c r="D556" s="9" t="str">
        <f ca="1">IFERROR((IF(VLOOKUP(A556,'ECN-ECO_DATA'!B:G,6,FALSE)=0/1/1900,TODAY(),VLOOKUP(A556,'ECN-ECO_DATA'!B:G,6,FALSE))),"")</f>
        <v/>
      </c>
      <c r="E556" s="9" t="str">
        <f>IFERROR((IF(VLOOKUP(A556,'ECN-ECO_DATA'!B:G,6,FALSE)=0/1/1900,"",VLOOKUP(A556,'ECN-ECO_DATA'!B:G,6,FALSE))),"")</f>
        <v/>
      </c>
      <c r="F556" s="9" t="str">
        <f>IFERROR((IF(VLOOKUP(A556,'ECN-ECO_DATA'!B:J,7,FALSE)=0/1/1900,"",VLOOKUP(A556,'ECN-ECO_DATA'!B:J,7,FALSE))),"")</f>
        <v/>
      </c>
      <c r="G556" s="9" t="str">
        <f>IFERROR((IF(VLOOKUP(A556,'ECN-ECO_DATA'!B:J,8,FALSE)=0/1/1900,"",VLOOKUP(A556,'ECN-ECO_DATA'!B:J,8,FALSE))),"")</f>
        <v/>
      </c>
      <c r="H556" s="9" t="str">
        <f>IFERROR((IF(VLOOKUP(A556,'ECN-ECO_DATA'!B:J,9,FALSE)=0/1/1900,"",VLOOKUP(A556,'ECN-ECO_DATA'!B:J,9,FALSE))),"")</f>
        <v/>
      </c>
      <c r="I556" s="10" t="str">
        <f>IFERROR((IF(VLOOKUP(A556,'ECN-ECO_DATA'!B:Q,13,FALSE)="","",VLOOKUP(A556,'ECN-ECO_DATA'!B:Q,13,FALSE))),"")</f>
        <v/>
      </c>
      <c r="J556" s="10" t="str">
        <f>IFERROR((IF(VLOOKUP(A556,'ECN-ECO_DATA'!B:Q,14,FALSE)="","",VLOOKUP(A556,'ECN-ECO_DATA'!B:Q,14,FALSE))),"")</f>
        <v/>
      </c>
      <c r="K556" s="10" t="str">
        <f>IFERROR((IF(VLOOKUP(A556,'ECN-ECO_DATA'!B:Q,15,FALSE)="","",VLOOKUP(A556,'ECN-ECO_DATA'!B:Q,15,FALSE))),"")</f>
        <v/>
      </c>
      <c r="L556" s="10" t="str">
        <f>IFERROR((IF(VLOOKUP(A556,'ECN-ECO_DATA'!B:Q,16,FALSE)="","",VLOOKUP(A556,'ECN-ECO_DATA'!B:Q,16,FALSE))),"")</f>
        <v/>
      </c>
      <c r="M556" s="9" t="str">
        <f>IFERROR((IF(VLOOKUP(A556,'ECN-ECO_DATA'!B:V,18,FALSE)=0/1/1900,"",VLOOKUP(A556,'ECN-ECO_DATA'!B:V,18,FALSE))),"")</f>
        <v/>
      </c>
      <c r="N556" s="9" t="str">
        <f>IFERROR((IF(VLOOKUP(A556,'ECN-ECO_DATA'!B:V,19,FALSE)=0/1/1900,"",VLOOKUP(A556,'ECN-ECO_DATA'!B:V,19,FALSE))),"")</f>
        <v/>
      </c>
      <c r="O556" s="9" t="str">
        <f>IFERROR((IF(VLOOKUP(A556,'ECN-ECO_DATA'!B:V,20,FALSE)=0/1/1900,"",VLOOKUP(A556,'ECN-ECO_DATA'!B:V,20,FALSE))),"")</f>
        <v/>
      </c>
      <c r="P556" s="9" t="str">
        <f>IFERROR((IF(VLOOKUP(A556,'ECN-ECO_DATA'!B:V,21,FALSE)=0/1/1900,"",VLOOKUP(A556,'ECN-ECO_DATA'!B:V,21,FALSE))),"")</f>
        <v/>
      </c>
      <c r="Q556" s="10" t="str">
        <f t="shared" ca="1" si="40"/>
        <v/>
      </c>
      <c r="R556" s="4" t="str">
        <f t="shared" si="41"/>
        <v/>
      </c>
      <c r="S556" s="4" t="str">
        <f t="shared" si="42"/>
        <v/>
      </c>
      <c r="T556" s="4" t="str">
        <f t="shared" si="43"/>
        <v/>
      </c>
      <c r="U556" s="10" t="str">
        <f t="shared" si="44"/>
        <v/>
      </c>
      <c r="V556" s="4"/>
    </row>
    <row r="557" spans="2:22" x14ac:dyDescent="0.25">
      <c r="B557" s="4" t="str">
        <f>IFERROR(VLOOKUP(A557,'ECN-ECO_DATA'!B:G,4,FALSE),"")</f>
        <v/>
      </c>
      <c r="C557" s="9" t="str">
        <f>IFERROR(VLOOKUP(A557,'ECN-ECO_DATA'!B:G,5,FALSE),"")</f>
        <v/>
      </c>
      <c r="D557" s="9" t="str">
        <f ca="1">IFERROR((IF(VLOOKUP(A557,'ECN-ECO_DATA'!B:G,6,FALSE)=0/1/1900,TODAY(),VLOOKUP(A557,'ECN-ECO_DATA'!B:G,6,FALSE))),"")</f>
        <v/>
      </c>
      <c r="E557" s="9" t="str">
        <f>IFERROR((IF(VLOOKUP(A557,'ECN-ECO_DATA'!B:G,6,FALSE)=0/1/1900,"",VLOOKUP(A557,'ECN-ECO_DATA'!B:G,6,FALSE))),"")</f>
        <v/>
      </c>
      <c r="F557" s="9" t="str">
        <f>IFERROR((IF(VLOOKUP(A557,'ECN-ECO_DATA'!B:J,7,FALSE)=0/1/1900,"",VLOOKUP(A557,'ECN-ECO_DATA'!B:J,7,FALSE))),"")</f>
        <v/>
      </c>
      <c r="G557" s="9" t="str">
        <f>IFERROR((IF(VLOOKUP(A557,'ECN-ECO_DATA'!B:J,8,FALSE)=0/1/1900,"",VLOOKUP(A557,'ECN-ECO_DATA'!B:J,8,FALSE))),"")</f>
        <v/>
      </c>
      <c r="H557" s="9" t="str">
        <f>IFERROR((IF(VLOOKUP(A557,'ECN-ECO_DATA'!B:J,9,FALSE)=0/1/1900,"",VLOOKUP(A557,'ECN-ECO_DATA'!B:J,9,FALSE))),"")</f>
        <v/>
      </c>
      <c r="I557" s="10" t="str">
        <f>IFERROR((IF(VLOOKUP(A557,'ECN-ECO_DATA'!B:Q,13,FALSE)="","",VLOOKUP(A557,'ECN-ECO_DATA'!B:Q,13,FALSE))),"")</f>
        <v/>
      </c>
      <c r="J557" s="10" t="str">
        <f>IFERROR((IF(VLOOKUP(A557,'ECN-ECO_DATA'!B:Q,14,FALSE)="","",VLOOKUP(A557,'ECN-ECO_DATA'!B:Q,14,FALSE))),"")</f>
        <v/>
      </c>
      <c r="K557" s="10" t="str">
        <f>IFERROR((IF(VLOOKUP(A557,'ECN-ECO_DATA'!B:Q,15,FALSE)="","",VLOOKUP(A557,'ECN-ECO_DATA'!B:Q,15,FALSE))),"")</f>
        <v/>
      </c>
      <c r="L557" s="10" t="str">
        <f>IFERROR((IF(VLOOKUP(A557,'ECN-ECO_DATA'!B:Q,16,FALSE)="","",VLOOKUP(A557,'ECN-ECO_DATA'!B:Q,16,FALSE))),"")</f>
        <v/>
      </c>
      <c r="M557" s="9" t="str">
        <f>IFERROR((IF(VLOOKUP(A557,'ECN-ECO_DATA'!B:V,18,FALSE)=0/1/1900,"",VLOOKUP(A557,'ECN-ECO_DATA'!B:V,18,FALSE))),"")</f>
        <v/>
      </c>
      <c r="N557" s="9" t="str">
        <f>IFERROR((IF(VLOOKUP(A557,'ECN-ECO_DATA'!B:V,19,FALSE)=0/1/1900,"",VLOOKUP(A557,'ECN-ECO_DATA'!B:V,19,FALSE))),"")</f>
        <v/>
      </c>
      <c r="O557" s="9" t="str">
        <f>IFERROR((IF(VLOOKUP(A557,'ECN-ECO_DATA'!B:V,20,FALSE)=0/1/1900,"",VLOOKUP(A557,'ECN-ECO_DATA'!B:V,20,FALSE))),"")</f>
        <v/>
      </c>
      <c r="P557" s="9" t="str">
        <f>IFERROR((IF(VLOOKUP(A557,'ECN-ECO_DATA'!B:V,21,FALSE)=0/1/1900,"",VLOOKUP(A557,'ECN-ECO_DATA'!B:V,21,FALSE))),"")</f>
        <v/>
      </c>
      <c r="Q557" s="10" t="str">
        <f t="shared" ca="1" si="40"/>
        <v/>
      </c>
      <c r="R557" s="4" t="str">
        <f t="shared" si="41"/>
        <v/>
      </c>
      <c r="S557" s="4" t="str">
        <f t="shared" si="42"/>
        <v/>
      </c>
      <c r="T557" s="4" t="str">
        <f t="shared" si="43"/>
        <v/>
      </c>
      <c r="U557" s="10" t="str">
        <f t="shared" si="44"/>
        <v/>
      </c>
      <c r="V557" s="4"/>
    </row>
    <row r="558" spans="2:22" x14ac:dyDescent="0.25">
      <c r="B558" s="4" t="str">
        <f>IFERROR(VLOOKUP(A558,'ECN-ECO_DATA'!B:G,4,FALSE),"")</f>
        <v/>
      </c>
      <c r="C558" s="9" t="str">
        <f>IFERROR(VLOOKUP(A558,'ECN-ECO_DATA'!B:G,5,FALSE),"")</f>
        <v/>
      </c>
      <c r="D558" s="9" t="str">
        <f ca="1">IFERROR((IF(VLOOKUP(A558,'ECN-ECO_DATA'!B:G,6,FALSE)=0/1/1900,TODAY(),VLOOKUP(A558,'ECN-ECO_DATA'!B:G,6,FALSE))),"")</f>
        <v/>
      </c>
      <c r="E558" s="9" t="str">
        <f>IFERROR((IF(VLOOKUP(A558,'ECN-ECO_DATA'!B:G,6,FALSE)=0/1/1900,"",VLOOKUP(A558,'ECN-ECO_DATA'!B:G,6,FALSE))),"")</f>
        <v/>
      </c>
      <c r="F558" s="9" t="str">
        <f>IFERROR((IF(VLOOKUP(A558,'ECN-ECO_DATA'!B:J,7,FALSE)=0/1/1900,"",VLOOKUP(A558,'ECN-ECO_DATA'!B:J,7,FALSE))),"")</f>
        <v/>
      </c>
      <c r="G558" s="9" t="str">
        <f>IFERROR((IF(VLOOKUP(A558,'ECN-ECO_DATA'!B:J,8,FALSE)=0/1/1900,"",VLOOKUP(A558,'ECN-ECO_DATA'!B:J,8,FALSE))),"")</f>
        <v/>
      </c>
      <c r="H558" s="9" t="str">
        <f>IFERROR((IF(VLOOKUP(A558,'ECN-ECO_DATA'!B:J,9,FALSE)=0/1/1900,"",VLOOKUP(A558,'ECN-ECO_DATA'!B:J,9,FALSE))),"")</f>
        <v/>
      </c>
      <c r="I558" s="10" t="str">
        <f>IFERROR((IF(VLOOKUP(A558,'ECN-ECO_DATA'!B:Q,13,FALSE)="","",VLOOKUP(A558,'ECN-ECO_DATA'!B:Q,13,FALSE))),"")</f>
        <v/>
      </c>
      <c r="J558" s="10" t="str">
        <f>IFERROR((IF(VLOOKUP(A558,'ECN-ECO_DATA'!B:Q,14,FALSE)="","",VLOOKUP(A558,'ECN-ECO_DATA'!B:Q,14,FALSE))),"")</f>
        <v/>
      </c>
      <c r="K558" s="10" t="str">
        <f>IFERROR((IF(VLOOKUP(A558,'ECN-ECO_DATA'!B:Q,15,FALSE)="","",VLOOKUP(A558,'ECN-ECO_DATA'!B:Q,15,FALSE))),"")</f>
        <v/>
      </c>
      <c r="L558" s="10" t="str">
        <f>IFERROR((IF(VLOOKUP(A558,'ECN-ECO_DATA'!B:Q,16,FALSE)="","",VLOOKUP(A558,'ECN-ECO_DATA'!B:Q,16,FALSE))),"")</f>
        <v/>
      </c>
      <c r="M558" s="9" t="str">
        <f>IFERROR((IF(VLOOKUP(A558,'ECN-ECO_DATA'!B:V,18,FALSE)=0/1/1900,"",VLOOKUP(A558,'ECN-ECO_DATA'!B:V,18,FALSE))),"")</f>
        <v/>
      </c>
      <c r="N558" s="9" t="str">
        <f>IFERROR((IF(VLOOKUP(A558,'ECN-ECO_DATA'!B:V,19,FALSE)=0/1/1900,"",VLOOKUP(A558,'ECN-ECO_DATA'!B:V,19,FALSE))),"")</f>
        <v/>
      </c>
      <c r="O558" s="9" t="str">
        <f>IFERROR((IF(VLOOKUP(A558,'ECN-ECO_DATA'!B:V,20,FALSE)=0/1/1900,"",VLOOKUP(A558,'ECN-ECO_DATA'!B:V,20,FALSE))),"")</f>
        <v/>
      </c>
      <c r="P558" s="9" t="str">
        <f>IFERROR((IF(VLOOKUP(A558,'ECN-ECO_DATA'!B:V,21,FALSE)=0/1/1900,"",VLOOKUP(A558,'ECN-ECO_DATA'!B:V,21,FALSE))),"")</f>
        <v/>
      </c>
      <c r="Q558" s="10" t="str">
        <f t="shared" ca="1" si="40"/>
        <v/>
      </c>
      <c r="R558" s="4" t="str">
        <f t="shared" si="41"/>
        <v/>
      </c>
      <c r="S558" s="4" t="str">
        <f t="shared" si="42"/>
        <v/>
      </c>
      <c r="T558" s="4" t="str">
        <f t="shared" si="43"/>
        <v/>
      </c>
      <c r="U558" s="10" t="str">
        <f t="shared" si="44"/>
        <v/>
      </c>
      <c r="V558" s="4"/>
    </row>
    <row r="559" spans="2:22" x14ac:dyDescent="0.25">
      <c r="B559" s="4" t="str">
        <f>IFERROR(VLOOKUP(A559,'ECN-ECO_DATA'!B:G,4,FALSE),"")</f>
        <v/>
      </c>
      <c r="C559" s="9" t="str">
        <f>IFERROR(VLOOKUP(A559,'ECN-ECO_DATA'!B:G,5,FALSE),"")</f>
        <v/>
      </c>
      <c r="D559" s="9" t="str">
        <f ca="1">IFERROR((IF(VLOOKUP(A559,'ECN-ECO_DATA'!B:G,6,FALSE)=0/1/1900,TODAY(),VLOOKUP(A559,'ECN-ECO_DATA'!B:G,6,FALSE))),"")</f>
        <v/>
      </c>
      <c r="E559" s="9" t="str">
        <f>IFERROR((IF(VLOOKUP(A559,'ECN-ECO_DATA'!B:G,6,FALSE)=0/1/1900,"",VLOOKUP(A559,'ECN-ECO_DATA'!B:G,6,FALSE))),"")</f>
        <v/>
      </c>
      <c r="F559" s="9" t="str">
        <f>IFERROR((IF(VLOOKUP(A559,'ECN-ECO_DATA'!B:J,7,FALSE)=0/1/1900,"",VLOOKUP(A559,'ECN-ECO_DATA'!B:J,7,FALSE))),"")</f>
        <v/>
      </c>
      <c r="G559" s="9" t="str">
        <f>IFERROR((IF(VLOOKUP(A559,'ECN-ECO_DATA'!B:J,8,FALSE)=0/1/1900,"",VLOOKUP(A559,'ECN-ECO_DATA'!B:J,8,FALSE))),"")</f>
        <v/>
      </c>
      <c r="H559" s="9" t="str">
        <f>IFERROR((IF(VLOOKUP(A559,'ECN-ECO_DATA'!B:J,9,FALSE)=0/1/1900,"",VLOOKUP(A559,'ECN-ECO_DATA'!B:J,9,FALSE))),"")</f>
        <v/>
      </c>
      <c r="I559" s="10" t="str">
        <f>IFERROR((IF(VLOOKUP(A559,'ECN-ECO_DATA'!B:Q,13,FALSE)="","",VLOOKUP(A559,'ECN-ECO_DATA'!B:Q,13,FALSE))),"")</f>
        <v/>
      </c>
      <c r="J559" s="10" t="str">
        <f>IFERROR((IF(VLOOKUP(A559,'ECN-ECO_DATA'!B:Q,14,FALSE)="","",VLOOKUP(A559,'ECN-ECO_DATA'!B:Q,14,FALSE))),"")</f>
        <v/>
      </c>
      <c r="K559" s="10" t="str">
        <f>IFERROR((IF(VLOOKUP(A559,'ECN-ECO_DATA'!B:Q,15,FALSE)="","",VLOOKUP(A559,'ECN-ECO_DATA'!B:Q,15,FALSE))),"")</f>
        <v/>
      </c>
      <c r="L559" s="10" t="str">
        <f>IFERROR((IF(VLOOKUP(A559,'ECN-ECO_DATA'!B:Q,16,FALSE)="","",VLOOKUP(A559,'ECN-ECO_DATA'!B:Q,16,FALSE))),"")</f>
        <v/>
      </c>
      <c r="M559" s="9" t="str">
        <f>IFERROR((IF(VLOOKUP(A559,'ECN-ECO_DATA'!B:V,18,FALSE)=0/1/1900,"",VLOOKUP(A559,'ECN-ECO_DATA'!B:V,18,FALSE))),"")</f>
        <v/>
      </c>
      <c r="N559" s="9" t="str">
        <f>IFERROR((IF(VLOOKUP(A559,'ECN-ECO_DATA'!B:V,19,FALSE)=0/1/1900,"",VLOOKUP(A559,'ECN-ECO_DATA'!B:V,19,FALSE))),"")</f>
        <v/>
      </c>
      <c r="O559" s="9" t="str">
        <f>IFERROR((IF(VLOOKUP(A559,'ECN-ECO_DATA'!B:V,20,FALSE)=0/1/1900,"",VLOOKUP(A559,'ECN-ECO_DATA'!B:V,20,FALSE))),"")</f>
        <v/>
      </c>
      <c r="P559" s="9" t="str">
        <f>IFERROR((IF(VLOOKUP(A559,'ECN-ECO_DATA'!B:V,21,FALSE)=0/1/1900,"",VLOOKUP(A559,'ECN-ECO_DATA'!B:V,21,FALSE))),"")</f>
        <v/>
      </c>
      <c r="Q559" s="10" t="str">
        <f t="shared" ca="1" si="40"/>
        <v/>
      </c>
      <c r="R559" s="4" t="str">
        <f t="shared" si="41"/>
        <v/>
      </c>
      <c r="S559" s="4" t="str">
        <f t="shared" si="42"/>
        <v/>
      </c>
      <c r="T559" s="4" t="str">
        <f t="shared" si="43"/>
        <v/>
      </c>
      <c r="U559" s="10" t="str">
        <f t="shared" si="44"/>
        <v/>
      </c>
      <c r="V559" s="4"/>
    </row>
    <row r="560" spans="2:22" x14ac:dyDescent="0.25">
      <c r="B560" s="4" t="str">
        <f>IFERROR(VLOOKUP(A560,'ECN-ECO_DATA'!B:G,4,FALSE),"")</f>
        <v/>
      </c>
      <c r="C560" s="9" t="str">
        <f>IFERROR(VLOOKUP(A560,'ECN-ECO_DATA'!B:G,5,FALSE),"")</f>
        <v/>
      </c>
      <c r="D560" s="9" t="str">
        <f ca="1">IFERROR((IF(VLOOKUP(A560,'ECN-ECO_DATA'!B:G,6,FALSE)=0/1/1900,TODAY(),VLOOKUP(A560,'ECN-ECO_DATA'!B:G,6,FALSE))),"")</f>
        <v/>
      </c>
      <c r="E560" s="9" t="str">
        <f>IFERROR((IF(VLOOKUP(A560,'ECN-ECO_DATA'!B:G,6,FALSE)=0/1/1900,"",VLOOKUP(A560,'ECN-ECO_DATA'!B:G,6,FALSE))),"")</f>
        <v/>
      </c>
      <c r="F560" s="9" t="str">
        <f>IFERROR((IF(VLOOKUP(A560,'ECN-ECO_DATA'!B:J,7,FALSE)=0/1/1900,"",VLOOKUP(A560,'ECN-ECO_DATA'!B:J,7,FALSE))),"")</f>
        <v/>
      </c>
      <c r="G560" s="9" t="str">
        <f>IFERROR((IF(VLOOKUP(A560,'ECN-ECO_DATA'!B:J,8,FALSE)=0/1/1900,"",VLOOKUP(A560,'ECN-ECO_DATA'!B:J,8,FALSE))),"")</f>
        <v/>
      </c>
      <c r="H560" s="9" t="str">
        <f>IFERROR((IF(VLOOKUP(A560,'ECN-ECO_DATA'!B:J,9,FALSE)=0/1/1900,"",VLOOKUP(A560,'ECN-ECO_DATA'!B:J,9,FALSE))),"")</f>
        <v/>
      </c>
      <c r="I560" s="10" t="str">
        <f>IFERROR((IF(VLOOKUP(A560,'ECN-ECO_DATA'!B:Q,13,FALSE)="","",VLOOKUP(A560,'ECN-ECO_DATA'!B:Q,13,FALSE))),"")</f>
        <v/>
      </c>
      <c r="J560" s="10" t="str">
        <f>IFERROR((IF(VLOOKUP(A560,'ECN-ECO_DATA'!B:Q,14,FALSE)="","",VLOOKUP(A560,'ECN-ECO_DATA'!B:Q,14,FALSE))),"")</f>
        <v/>
      </c>
      <c r="K560" s="10" t="str">
        <f>IFERROR((IF(VLOOKUP(A560,'ECN-ECO_DATA'!B:Q,15,FALSE)="","",VLOOKUP(A560,'ECN-ECO_DATA'!B:Q,15,FALSE))),"")</f>
        <v/>
      </c>
      <c r="L560" s="10" t="str">
        <f>IFERROR((IF(VLOOKUP(A560,'ECN-ECO_DATA'!B:Q,16,FALSE)="","",VLOOKUP(A560,'ECN-ECO_DATA'!B:Q,16,FALSE))),"")</f>
        <v/>
      </c>
      <c r="M560" s="9" t="str">
        <f>IFERROR((IF(VLOOKUP(A560,'ECN-ECO_DATA'!B:V,18,FALSE)=0/1/1900,"",VLOOKUP(A560,'ECN-ECO_DATA'!B:V,18,FALSE))),"")</f>
        <v/>
      </c>
      <c r="N560" s="9" t="str">
        <f>IFERROR((IF(VLOOKUP(A560,'ECN-ECO_DATA'!B:V,19,FALSE)=0/1/1900,"",VLOOKUP(A560,'ECN-ECO_DATA'!B:V,19,FALSE))),"")</f>
        <v/>
      </c>
      <c r="O560" s="9" t="str">
        <f>IFERROR((IF(VLOOKUP(A560,'ECN-ECO_DATA'!B:V,20,FALSE)=0/1/1900,"",VLOOKUP(A560,'ECN-ECO_DATA'!B:V,20,FALSE))),"")</f>
        <v/>
      </c>
      <c r="P560" s="9" t="str">
        <f>IFERROR((IF(VLOOKUP(A560,'ECN-ECO_DATA'!B:V,21,FALSE)=0/1/1900,"",VLOOKUP(A560,'ECN-ECO_DATA'!B:V,21,FALSE))),"")</f>
        <v/>
      </c>
      <c r="Q560" s="10" t="str">
        <f t="shared" ca="1" si="40"/>
        <v/>
      </c>
      <c r="R560" s="4" t="str">
        <f t="shared" si="41"/>
        <v/>
      </c>
      <c r="S560" s="4" t="str">
        <f t="shared" si="42"/>
        <v/>
      </c>
      <c r="T560" s="4" t="str">
        <f t="shared" si="43"/>
        <v/>
      </c>
      <c r="U560" s="10" t="str">
        <f t="shared" si="44"/>
        <v/>
      </c>
      <c r="V560" s="4"/>
    </row>
    <row r="561" spans="2:22" x14ac:dyDescent="0.25">
      <c r="B561" s="4" t="str">
        <f>IFERROR(VLOOKUP(A561,'ECN-ECO_DATA'!B:G,4,FALSE),"")</f>
        <v/>
      </c>
      <c r="C561" s="9" t="str">
        <f>IFERROR(VLOOKUP(A561,'ECN-ECO_DATA'!B:G,5,FALSE),"")</f>
        <v/>
      </c>
      <c r="D561" s="9" t="str">
        <f ca="1">IFERROR((IF(VLOOKUP(A561,'ECN-ECO_DATA'!B:G,6,FALSE)=0/1/1900,TODAY(),VLOOKUP(A561,'ECN-ECO_DATA'!B:G,6,FALSE))),"")</f>
        <v/>
      </c>
      <c r="E561" s="9" t="str">
        <f>IFERROR((IF(VLOOKUP(A561,'ECN-ECO_DATA'!B:G,6,FALSE)=0/1/1900,"",VLOOKUP(A561,'ECN-ECO_DATA'!B:G,6,FALSE))),"")</f>
        <v/>
      </c>
      <c r="F561" s="9" t="str">
        <f>IFERROR((IF(VLOOKUP(A561,'ECN-ECO_DATA'!B:J,7,FALSE)=0/1/1900,"",VLOOKUP(A561,'ECN-ECO_DATA'!B:J,7,FALSE))),"")</f>
        <v/>
      </c>
      <c r="G561" s="9" t="str">
        <f>IFERROR((IF(VLOOKUP(A561,'ECN-ECO_DATA'!B:J,8,FALSE)=0/1/1900,"",VLOOKUP(A561,'ECN-ECO_DATA'!B:J,8,FALSE))),"")</f>
        <v/>
      </c>
      <c r="H561" s="9" t="str">
        <f>IFERROR((IF(VLOOKUP(A561,'ECN-ECO_DATA'!B:J,9,FALSE)=0/1/1900,"",VLOOKUP(A561,'ECN-ECO_DATA'!B:J,9,FALSE))),"")</f>
        <v/>
      </c>
      <c r="I561" s="10" t="str">
        <f>IFERROR((IF(VLOOKUP(A561,'ECN-ECO_DATA'!B:Q,13,FALSE)="","",VLOOKUP(A561,'ECN-ECO_DATA'!B:Q,13,FALSE))),"")</f>
        <v/>
      </c>
      <c r="J561" s="10" t="str">
        <f>IFERROR((IF(VLOOKUP(A561,'ECN-ECO_DATA'!B:Q,14,FALSE)="","",VLOOKUP(A561,'ECN-ECO_DATA'!B:Q,14,FALSE))),"")</f>
        <v/>
      </c>
      <c r="K561" s="10" t="str">
        <f>IFERROR((IF(VLOOKUP(A561,'ECN-ECO_DATA'!B:Q,15,FALSE)="","",VLOOKUP(A561,'ECN-ECO_DATA'!B:Q,15,FALSE))),"")</f>
        <v/>
      </c>
      <c r="L561" s="10" t="str">
        <f>IFERROR((IF(VLOOKUP(A561,'ECN-ECO_DATA'!B:Q,16,FALSE)="","",VLOOKUP(A561,'ECN-ECO_DATA'!B:Q,16,FALSE))),"")</f>
        <v/>
      </c>
      <c r="M561" s="9" t="str">
        <f>IFERROR((IF(VLOOKUP(A561,'ECN-ECO_DATA'!B:V,18,FALSE)=0/1/1900,"",VLOOKUP(A561,'ECN-ECO_DATA'!B:V,18,FALSE))),"")</f>
        <v/>
      </c>
      <c r="N561" s="9" t="str">
        <f>IFERROR((IF(VLOOKUP(A561,'ECN-ECO_DATA'!B:V,19,FALSE)=0/1/1900,"",VLOOKUP(A561,'ECN-ECO_DATA'!B:V,19,FALSE))),"")</f>
        <v/>
      </c>
      <c r="O561" s="9" t="str">
        <f>IFERROR((IF(VLOOKUP(A561,'ECN-ECO_DATA'!B:V,20,FALSE)=0/1/1900,"",VLOOKUP(A561,'ECN-ECO_DATA'!B:V,20,FALSE))),"")</f>
        <v/>
      </c>
      <c r="P561" s="9" t="str">
        <f>IFERROR((IF(VLOOKUP(A561,'ECN-ECO_DATA'!B:V,21,FALSE)=0/1/1900,"",VLOOKUP(A561,'ECN-ECO_DATA'!B:V,21,FALSE))),"")</f>
        <v/>
      </c>
      <c r="Q561" s="10" t="str">
        <f t="shared" ca="1" si="40"/>
        <v/>
      </c>
      <c r="R561" s="4" t="str">
        <f t="shared" si="41"/>
        <v/>
      </c>
      <c r="S561" s="4" t="str">
        <f t="shared" si="42"/>
        <v/>
      </c>
      <c r="T561" s="4" t="str">
        <f t="shared" si="43"/>
        <v/>
      </c>
      <c r="U561" s="10" t="str">
        <f t="shared" si="44"/>
        <v/>
      </c>
      <c r="V561" s="4"/>
    </row>
    <row r="562" spans="2:22" x14ac:dyDescent="0.25">
      <c r="B562" s="4" t="str">
        <f>IFERROR(VLOOKUP(A562,'ECN-ECO_DATA'!B:G,4,FALSE),"")</f>
        <v/>
      </c>
      <c r="C562" s="9" t="str">
        <f>IFERROR(VLOOKUP(A562,'ECN-ECO_DATA'!B:G,5,FALSE),"")</f>
        <v/>
      </c>
      <c r="D562" s="9" t="str">
        <f ca="1">IFERROR((IF(VLOOKUP(A562,'ECN-ECO_DATA'!B:G,6,FALSE)=0/1/1900,TODAY(),VLOOKUP(A562,'ECN-ECO_DATA'!B:G,6,FALSE))),"")</f>
        <v/>
      </c>
      <c r="E562" s="9" t="str">
        <f>IFERROR((IF(VLOOKUP(A562,'ECN-ECO_DATA'!B:G,6,FALSE)=0/1/1900,"",VLOOKUP(A562,'ECN-ECO_DATA'!B:G,6,FALSE))),"")</f>
        <v/>
      </c>
      <c r="F562" s="9" t="str">
        <f>IFERROR((IF(VLOOKUP(A562,'ECN-ECO_DATA'!B:J,7,FALSE)=0/1/1900,"",VLOOKUP(A562,'ECN-ECO_DATA'!B:J,7,FALSE))),"")</f>
        <v/>
      </c>
      <c r="G562" s="9" t="str">
        <f>IFERROR((IF(VLOOKUP(A562,'ECN-ECO_DATA'!B:J,8,FALSE)=0/1/1900,"",VLOOKUP(A562,'ECN-ECO_DATA'!B:J,8,FALSE))),"")</f>
        <v/>
      </c>
      <c r="H562" s="9" t="str">
        <f>IFERROR((IF(VLOOKUP(A562,'ECN-ECO_DATA'!B:J,9,FALSE)=0/1/1900,"",VLOOKUP(A562,'ECN-ECO_DATA'!B:J,9,FALSE))),"")</f>
        <v/>
      </c>
      <c r="I562" s="10" t="str">
        <f>IFERROR((IF(VLOOKUP(A562,'ECN-ECO_DATA'!B:Q,13,FALSE)="","",VLOOKUP(A562,'ECN-ECO_DATA'!B:Q,13,FALSE))),"")</f>
        <v/>
      </c>
      <c r="J562" s="10" t="str">
        <f>IFERROR((IF(VLOOKUP(A562,'ECN-ECO_DATA'!B:Q,14,FALSE)="","",VLOOKUP(A562,'ECN-ECO_DATA'!B:Q,14,FALSE))),"")</f>
        <v/>
      </c>
      <c r="K562" s="10" t="str">
        <f>IFERROR((IF(VLOOKUP(A562,'ECN-ECO_DATA'!B:Q,15,FALSE)="","",VLOOKUP(A562,'ECN-ECO_DATA'!B:Q,15,FALSE))),"")</f>
        <v/>
      </c>
      <c r="L562" s="10" t="str">
        <f>IFERROR((IF(VLOOKUP(A562,'ECN-ECO_DATA'!B:Q,16,FALSE)="","",VLOOKUP(A562,'ECN-ECO_DATA'!B:Q,16,FALSE))),"")</f>
        <v/>
      </c>
      <c r="M562" s="9" t="str">
        <f>IFERROR((IF(VLOOKUP(A562,'ECN-ECO_DATA'!B:V,18,FALSE)=0/1/1900,"",VLOOKUP(A562,'ECN-ECO_DATA'!B:V,18,FALSE))),"")</f>
        <v/>
      </c>
      <c r="N562" s="9" t="str">
        <f>IFERROR((IF(VLOOKUP(A562,'ECN-ECO_DATA'!B:V,19,FALSE)=0/1/1900,"",VLOOKUP(A562,'ECN-ECO_DATA'!B:V,19,FALSE))),"")</f>
        <v/>
      </c>
      <c r="O562" s="9" t="str">
        <f>IFERROR((IF(VLOOKUP(A562,'ECN-ECO_DATA'!B:V,20,FALSE)=0/1/1900,"",VLOOKUP(A562,'ECN-ECO_DATA'!B:V,20,FALSE))),"")</f>
        <v/>
      </c>
      <c r="P562" s="9" t="str">
        <f>IFERROR((IF(VLOOKUP(A562,'ECN-ECO_DATA'!B:V,21,FALSE)=0/1/1900,"",VLOOKUP(A562,'ECN-ECO_DATA'!B:V,21,FALSE))),"")</f>
        <v/>
      </c>
      <c r="Q562" s="10" t="str">
        <f t="shared" ca="1" si="40"/>
        <v/>
      </c>
      <c r="R562" s="4" t="str">
        <f t="shared" si="41"/>
        <v/>
      </c>
      <c r="S562" s="4" t="str">
        <f t="shared" si="42"/>
        <v/>
      </c>
      <c r="T562" s="4" t="str">
        <f t="shared" si="43"/>
        <v/>
      </c>
      <c r="U562" s="10" t="str">
        <f t="shared" si="44"/>
        <v/>
      </c>
      <c r="V562" s="4"/>
    </row>
    <row r="563" spans="2:22" x14ac:dyDescent="0.25">
      <c r="B563" s="4" t="str">
        <f>IFERROR(VLOOKUP(A563,'ECN-ECO_DATA'!B:G,4,FALSE),"")</f>
        <v/>
      </c>
      <c r="C563" s="9" t="str">
        <f>IFERROR(VLOOKUP(A563,'ECN-ECO_DATA'!B:G,5,FALSE),"")</f>
        <v/>
      </c>
      <c r="D563" s="9" t="str">
        <f ca="1">IFERROR((IF(VLOOKUP(A563,'ECN-ECO_DATA'!B:G,6,FALSE)=0/1/1900,TODAY(),VLOOKUP(A563,'ECN-ECO_DATA'!B:G,6,FALSE))),"")</f>
        <v/>
      </c>
      <c r="E563" s="9" t="str">
        <f>IFERROR((IF(VLOOKUP(A563,'ECN-ECO_DATA'!B:G,6,FALSE)=0/1/1900,"",VLOOKUP(A563,'ECN-ECO_DATA'!B:G,6,FALSE))),"")</f>
        <v/>
      </c>
      <c r="F563" s="9" t="str">
        <f>IFERROR((IF(VLOOKUP(A563,'ECN-ECO_DATA'!B:J,7,FALSE)=0/1/1900,"",VLOOKUP(A563,'ECN-ECO_DATA'!B:J,7,FALSE))),"")</f>
        <v/>
      </c>
      <c r="G563" s="9" t="str">
        <f>IFERROR((IF(VLOOKUP(A563,'ECN-ECO_DATA'!B:J,8,FALSE)=0/1/1900,"",VLOOKUP(A563,'ECN-ECO_DATA'!B:J,8,FALSE))),"")</f>
        <v/>
      </c>
      <c r="H563" s="9" t="str">
        <f>IFERROR((IF(VLOOKUP(A563,'ECN-ECO_DATA'!B:J,9,FALSE)=0/1/1900,"",VLOOKUP(A563,'ECN-ECO_DATA'!B:J,9,FALSE))),"")</f>
        <v/>
      </c>
      <c r="I563" s="10" t="str">
        <f>IFERROR((IF(VLOOKUP(A563,'ECN-ECO_DATA'!B:Q,13,FALSE)="","",VLOOKUP(A563,'ECN-ECO_DATA'!B:Q,13,FALSE))),"")</f>
        <v/>
      </c>
      <c r="J563" s="10" t="str">
        <f>IFERROR((IF(VLOOKUP(A563,'ECN-ECO_DATA'!B:Q,14,FALSE)="","",VLOOKUP(A563,'ECN-ECO_DATA'!B:Q,14,FALSE))),"")</f>
        <v/>
      </c>
      <c r="K563" s="10" t="str">
        <f>IFERROR((IF(VLOOKUP(A563,'ECN-ECO_DATA'!B:Q,15,FALSE)="","",VLOOKUP(A563,'ECN-ECO_DATA'!B:Q,15,FALSE))),"")</f>
        <v/>
      </c>
      <c r="L563" s="10" t="str">
        <f>IFERROR((IF(VLOOKUP(A563,'ECN-ECO_DATA'!B:Q,16,FALSE)="","",VLOOKUP(A563,'ECN-ECO_DATA'!B:Q,16,FALSE))),"")</f>
        <v/>
      </c>
      <c r="M563" s="9" t="str">
        <f>IFERROR((IF(VLOOKUP(A563,'ECN-ECO_DATA'!B:V,18,FALSE)=0/1/1900,"",VLOOKUP(A563,'ECN-ECO_DATA'!B:V,18,FALSE))),"")</f>
        <v/>
      </c>
      <c r="N563" s="9" t="str">
        <f>IFERROR((IF(VLOOKUP(A563,'ECN-ECO_DATA'!B:V,19,FALSE)=0/1/1900,"",VLOOKUP(A563,'ECN-ECO_DATA'!B:V,19,FALSE))),"")</f>
        <v/>
      </c>
      <c r="O563" s="9" t="str">
        <f>IFERROR((IF(VLOOKUP(A563,'ECN-ECO_DATA'!B:V,20,FALSE)=0/1/1900,"",VLOOKUP(A563,'ECN-ECO_DATA'!B:V,20,FALSE))),"")</f>
        <v/>
      </c>
      <c r="P563" s="9" t="str">
        <f>IFERROR((IF(VLOOKUP(A563,'ECN-ECO_DATA'!B:V,21,FALSE)=0/1/1900,"",VLOOKUP(A563,'ECN-ECO_DATA'!B:V,21,FALSE))),"")</f>
        <v/>
      </c>
      <c r="Q563" s="10" t="str">
        <f t="shared" ca="1" si="40"/>
        <v/>
      </c>
      <c r="R563" s="4" t="str">
        <f t="shared" si="41"/>
        <v/>
      </c>
      <c r="S563" s="4" t="str">
        <f t="shared" si="42"/>
        <v/>
      </c>
      <c r="T563" s="4" t="str">
        <f t="shared" si="43"/>
        <v/>
      </c>
      <c r="U563" s="10" t="str">
        <f t="shared" si="44"/>
        <v/>
      </c>
      <c r="V563" s="4"/>
    </row>
    <row r="564" spans="2:22" x14ac:dyDescent="0.25">
      <c r="B564" s="4" t="str">
        <f>IFERROR(VLOOKUP(A564,'ECN-ECO_DATA'!B:G,4,FALSE),"")</f>
        <v/>
      </c>
      <c r="C564" s="9" t="str">
        <f>IFERROR(VLOOKUP(A564,'ECN-ECO_DATA'!B:G,5,FALSE),"")</f>
        <v/>
      </c>
      <c r="D564" s="9" t="str">
        <f ca="1">IFERROR((IF(VLOOKUP(A564,'ECN-ECO_DATA'!B:G,6,FALSE)=0/1/1900,TODAY(),VLOOKUP(A564,'ECN-ECO_DATA'!B:G,6,FALSE))),"")</f>
        <v/>
      </c>
      <c r="E564" s="9" t="str">
        <f>IFERROR((IF(VLOOKUP(A564,'ECN-ECO_DATA'!B:G,6,FALSE)=0/1/1900,"",VLOOKUP(A564,'ECN-ECO_DATA'!B:G,6,FALSE))),"")</f>
        <v/>
      </c>
      <c r="F564" s="9" t="str">
        <f>IFERROR((IF(VLOOKUP(A564,'ECN-ECO_DATA'!B:J,7,FALSE)=0/1/1900,"",VLOOKUP(A564,'ECN-ECO_DATA'!B:J,7,FALSE))),"")</f>
        <v/>
      </c>
      <c r="G564" s="9" t="str">
        <f>IFERROR((IF(VLOOKUP(A564,'ECN-ECO_DATA'!B:J,8,FALSE)=0/1/1900,"",VLOOKUP(A564,'ECN-ECO_DATA'!B:J,8,FALSE))),"")</f>
        <v/>
      </c>
      <c r="H564" s="9" t="str">
        <f>IFERROR((IF(VLOOKUP(A564,'ECN-ECO_DATA'!B:J,9,FALSE)=0/1/1900,"",VLOOKUP(A564,'ECN-ECO_DATA'!B:J,9,FALSE))),"")</f>
        <v/>
      </c>
      <c r="I564" s="10" t="str">
        <f>IFERROR((IF(VLOOKUP(A564,'ECN-ECO_DATA'!B:Q,13,FALSE)="","",VLOOKUP(A564,'ECN-ECO_DATA'!B:Q,13,FALSE))),"")</f>
        <v/>
      </c>
      <c r="J564" s="10" t="str">
        <f>IFERROR((IF(VLOOKUP(A564,'ECN-ECO_DATA'!B:Q,14,FALSE)="","",VLOOKUP(A564,'ECN-ECO_DATA'!B:Q,14,FALSE))),"")</f>
        <v/>
      </c>
      <c r="K564" s="10" t="str">
        <f>IFERROR((IF(VLOOKUP(A564,'ECN-ECO_DATA'!B:Q,15,FALSE)="","",VLOOKUP(A564,'ECN-ECO_DATA'!B:Q,15,FALSE))),"")</f>
        <v/>
      </c>
      <c r="L564" s="10" t="str">
        <f>IFERROR((IF(VLOOKUP(A564,'ECN-ECO_DATA'!B:Q,16,FALSE)="","",VLOOKUP(A564,'ECN-ECO_DATA'!B:Q,16,FALSE))),"")</f>
        <v/>
      </c>
      <c r="M564" s="9" t="str">
        <f>IFERROR((IF(VLOOKUP(A564,'ECN-ECO_DATA'!B:V,18,FALSE)=0/1/1900,"",VLOOKUP(A564,'ECN-ECO_DATA'!B:V,18,FALSE))),"")</f>
        <v/>
      </c>
      <c r="N564" s="9" t="str">
        <f>IFERROR((IF(VLOOKUP(A564,'ECN-ECO_DATA'!B:V,19,FALSE)=0/1/1900,"",VLOOKUP(A564,'ECN-ECO_DATA'!B:V,19,FALSE))),"")</f>
        <v/>
      </c>
      <c r="O564" s="9" t="str">
        <f>IFERROR((IF(VLOOKUP(A564,'ECN-ECO_DATA'!B:V,20,FALSE)=0/1/1900,"",VLOOKUP(A564,'ECN-ECO_DATA'!B:V,20,FALSE))),"")</f>
        <v/>
      </c>
      <c r="P564" s="9" t="str">
        <f>IFERROR((IF(VLOOKUP(A564,'ECN-ECO_DATA'!B:V,21,FALSE)=0/1/1900,"",VLOOKUP(A564,'ECN-ECO_DATA'!B:V,21,FALSE))),"")</f>
        <v/>
      </c>
      <c r="Q564" s="10" t="str">
        <f t="shared" ca="1" si="40"/>
        <v/>
      </c>
      <c r="R564" s="4" t="str">
        <f t="shared" si="41"/>
        <v/>
      </c>
      <c r="S564" s="4" t="str">
        <f t="shared" si="42"/>
        <v/>
      </c>
      <c r="T564" s="4" t="str">
        <f t="shared" si="43"/>
        <v/>
      </c>
      <c r="U564" s="10" t="str">
        <f t="shared" si="44"/>
        <v/>
      </c>
      <c r="V564" s="4"/>
    </row>
    <row r="565" spans="2:22" x14ac:dyDescent="0.25">
      <c r="B565" s="4" t="str">
        <f>IFERROR(VLOOKUP(A565,'ECN-ECO_DATA'!B:G,4,FALSE),"")</f>
        <v/>
      </c>
      <c r="C565" s="9" t="str">
        <f>IFERROR(VLOOKUP(A565,'ECN-ECO_DATA'!B:G,5,FALSE),"")</f>
        <v/>
      </c>
      <c r="D565" s="9" t="str">
        <f ca="1">IFERROR((IF(VLOOKUP(A565,'ECN-ECO_DATA'!B:G,6,FALSE)=0/1/1900,TODAY(),VLOOKUP(A565,'ECN-ECO_DATA'!B:G,6,FALSE))),"")</f>
        <v/>
      </c>
      <c r="E565" s="9" t="str">
        <f>IFERROR((IF(VLOOKUP(A565,'ECN-ECO_DATA'!B:G,6,FALSE)=0/1/1900,"",VLOOKUP(A565,'ECN-ECO_DATA'!B:G,6,FALSE))),"")</f>
        <v/>
      </c>
      <c r="F565" s="9" t="str">
        <f>IFERROR((IF(VLOOKUP(A565,'ECN-ECO_DATA'!B:J,7,FALSE)=0/1/1900,"",VLOOKUP(A565,'ECN-ECO_DATA'!B:J,7,FALSE))),"")</f>
        <v/>
      </c>
      <c r="G565" s="9" t="str">
        <f>IFERROR((IF(VLOOKUP(A565,'ECN-ECO_DATA'!B:J,8,FALSE)=0/1/1900,"",VLOOKUP(A565,'ECN-ECO_DATA'!B:J,8,FALSE))),"")</f>
        <v/>
      </c>
      <c r="H565" s="9" t="str">
        <f>IFERROR((IF(VLOOKUP(A565,'ECN-ECO_DATA'!B:J,9,FALSE)=0/1/1900,"",VLOOKUP(A565,'ECN-ECO_DATA'!B:J,9,FALSE))),"")</f>
        <v/>
      </c>
      <c r="I565" s="10" t="str">
        <f>IFERROR((IF(VLOOKUP(A565,'ECN-ECO_DATA'!B:Q,13,FALSE)="","",VLOOKUP(A565,'ECN-ECO_DATA'!B:Q,13,FALSE))),"")</f>
        <v/>
      </c>
      <c r="J565" s="10" t="str">
        <f>IFERROR((IF(VLOOKUP(A565,'ECN-ECO_DATA'!B:Q,14,FALSE)="","",VLOOKUP(A565,'ECN-ECO_DATA'!B:Q,14,FALSE))),"")</f>
        <v/>
      </c>
      <c r="K565" s="10" t="str">
        <f>IFERROR((IF(VLOOKUP(A565,'ECN-ECO_DATA'!B:Q,15,FALSE)="","",VLOOKUP(A565,'ECN-ECO_DATA'!B:Q,15,FALSE))),"")</f>
        <v/>
      </c>
      <c r="L565" s="10" t="str">
        <f>IFERROR((IF(VLOOKUP(A565,'ECN-ECO_DATA'!B:Q,16,FALSE)="","",VLOOKUP(A565,'ECN-ECO_DATA'!B:Q,16,FALSE))),"")</f>
        <v/>
      </c>
      <c r="M565" s="9" t="str">
        <f>IFERROR((IF(VLOOKUP(A565,'ECN-ECO_DATA'!B:V,18,FALSE)=0/1/1900,"",VLOOKUP(A565,'ECN-ECO_DATA'!B:V,18,FALSE))),"")</f>
        <v/>
      </c>
      <c r="N565" s="9" t="str">
        <f>IFERROR((IF(VLOOKUP(A565,'ECN-ECO_DATA'!B:V,19,FALSE)=0/1/1900,"",VLOOKUP(A565,'ECN-ECO_DATA'!B:V,19,FALSE))),"")</f>
        <v/>
      </c>
      <c r="O565" s="9" t="str">
        <f>IFERROR((IF(VLOOKUP(A565,'ECN-ECO_DATA'!B:V,20,FALSE)=0/1/1900,"",VLOOKUP(A565,'ECN-ECO_DATA'!B:V,20,FALSE))),"")</f>
        <v/>
      </c>
      <c r="P565" s="9" t="str">
        <f>IFERROR((IF(VLOOKUP(A565,'ECN-ECO_DATA'!B:V,21,FALSE)=0/1/1900,"",VLOOKUP(A565,'ECN-ECO_DATA'!B:V,21,FALSE))),"")</f>
        <v/>
      </c>
      <c r="Q565" s="10" t="str">
        <f t="shared" ca="1" si="40"/>
        <v/>
      </c>
      <c r="R565" s="4" t="str">
        <f t="shared" si="41"/>
        <v/>
      </c>
      <c r="S565" s="4" t="str">
        <f t="shared" si="42"/>
        <v/>
      </c>
      <c r="T565" s="4" t="str">
        <f t="shared" si="43"/>
        <v/>
      </c>
      <c r="U565" s="10" t="str">
        <f t="shared" si="44"/>
        <v/>
      </c>
      <c r="V565" s="4"/>
    </row>
    <row r="566" spans="2:22" x14ac:dyDescent="0.25">
      <c r="B566" s="4" t="str">
        <f>IFERROR(VLOOKUP(A566,'ECN-ECO_DATA'!B:G,4,FALSE),"")</f>
        <v/>
      </c>
      <c r="C566" s="9" t="str">
        <f>IFERROR(VLOOKUP(A566,'ECN-ECO_DATA'!B:G,5,FALSE),"")</f>
        <v/>
      </c>
      <c r="D566" s="9" t="str">
        <f ca="1">IFERROR((IF(VLOOKUP(A566,'ECN-ECO_DATA'!B:G,6,FALSE)=0/1/1900,TODAY(),VLOOKUP(A566,'ECN-ECO_DATA'!B:G,6,FALSE))),"")</f>
        <v/>
      </c>
      <c r="E566" s="9" t="str">
        <f>IFERROR((IF(VLOOKUP(A566,'ECN-ECO_DATA'!B:G,6,FALSE)=0/1/1900,"",VLOOKUP(A566,'ECN-ECO_DATA'!B:G,6,FALSE))),"")</f>
        <v/>
      </c>
      <c r="F566" s="9" t="str">
        <f>IFERROR((IF(VLOOKUP(A566,'ECN-ECO_DATA'!B:J,7,FALSE)=0/1/1900,"",VLOOKUP(A566,'ECN-ECO_DATA'!B:J,7,FALSE))),"")</f>
        <v/>
      </c>
      <c r="G566" s="9" t="str">
        <f>IFERROR((IF(VLOOKUP(A566,'ECN-ECO_DATA'!B:J,8,FALSE)=0/1/1900,"",VLOOKUP(A566,'ECN-ECO_DATA'!B:J,8,FALSE))),"")</f>
        <v/>
      </c>
      <c r="H566" s="9" t="str">
        <f>IFERROR((IF(VLOOKUP(A566,'ECN-ECO_DATA'!B:J,9,FALSE)=0/1/1900,"",VLOOKUP(A566,'ECN-ECO_DATA'!B:J,9,FALSE))),"")</f>
        <v/>
      </c>
      <c r="I566" s="10" t="str">
        <f>IFERROR((IF(VLOOKUP(A566,'ECN-ECO_DATA'!B:Q,13,FALSE)="","",VLOOKUP(A566,'ECN-ECO_DATA'!B:Q,13,FALSE))),"")</f>
        <v/>
      </c>
      <c r="J566" s="10" t="str">
        <f>IFERROR((IF(VLOOKUP(A566,'ECN-ECO_DATA'!B:Q,14,FALSE)="","",VLOOKUP(A566,'ECN-ECO_DATA'!B:Q,14,FALSE))),"")</f>
        <v/>
      </c>
      <c r="K566" s="10" t="str">
        <f>IFERROR((IF(VLOOKUP(A566,'ECN-ECO_DATA'!B:Q,15,FALSE)="","",VLOOKUP(A566,'ECN-ECO_DATA'!B:Q,15,FALSE))),"")</f>
        <v/>
      </c>
      <c r="L566" s="10" t="str">
        <f>IFERROR((IF(VLOOKUP(A566,'ECN-ECO_DATA'!B:Q,16,FALSE)="","",VLOOKUP(A566,'ECN-ECO_DATA'!B:Q,16,FALSE))),"")</f>
        <v/>
      </c>
      <c r="M566" s="9" t="str">
        <f>IFERROR((IF(VLOOKUP(A566,'ECN-ECO_DATA'!B:V,18,FALSE)=0/1/1900,"",VLOOKUP(A566,'ECN-ECO_DATA'!B:V,18,FALSE))),"")</f>
        <v/>
      </c>
      <c r="N566" s="9" t="str">
        <f>IFERROR((IF(VLOOKUP(A566,'ECN-ECO_DATA'!B:V,19,FALSE)=0/1/1900,"",VLOOKUP(A566,'ECN-ECO_DATA'!B:V,19,FALSE))),"")</f>
        <v/>
      </c>
      <c r="O566" s="9" t="str">
        <f>IFERROR((IF(VLOOKUP(A566,'ECN-ECO_DATA'!B:V,20,FALSE)=0/1/1900,"",VLOOKUP(A566,'ECN-ECO_DATA'!B:V,20,FALSE))),"")</f>
        <v/>
      </c>
      <c r="P566" s="9" t="str">
        <f>IFERROR((IF(VLOOKUP(A566,'ECN-ECO_DATA'!B:V,21,FALSE)=0/1/1900,"",VLOOKUP(A566,'ECN-ECO_DATA'!B:V,21,FALSE))),"")</f>
        <v/>
      </c>
      <c r="Q566" s="10" t="str">
        <f t="shared" ca="1" si="40"/>
        <v/>
      </c>
      <c r="R566" s="4" t="str">
        <f t="shared" si="41"/>
        <v/>
      </c>
      <c r="S566" s="4" t="str">
        <f t="shared" si="42"/>
        <v/>
      </c>
      <c r="T566" s="4" t="str">
        <f t="shared" si="43"/>
        <v/>
      </c>
      <c r="U566" s="10" t="str">
        <f t="shared" si="44"/>
        <v/>
      </c>
      <c r="V566" s="4"/>
    </row>
    <row r="567" spans="2:22" x14ac:dyDescent="0.25">
      <c r="B567" s="4" t="str">
        <f>IFERROR(VLOOKUP(A567,'ECN-ECO_DATA'!B:G,4,FALSE),"")</f>
        <v/>
      </c>
      <c r="C567" s="9" t="str">
        <f>IFERROR(VLOOKUP(A567,'ECN-ECO_DATA'!B:G,5,FALSE),"")</f>
        <v/>
      </c>
      <c r="D567" s="9" t="str">
        <f ca="1">IFERROR((IF(VLOOKUP(A567,'ECN-ECO_DATA'!B:G,6,FALSE)=0/1/1900,TODAY(),VLOOKUP(A567,'ECN-ECO_DATA'!B:G,6,FALSE))),"")</f>
        <v/>
      </c>
      <c r="E567" s="9" t="str">
        <f>IFERROR((IF(VLOOKUP(A567,'ECN-ECO_DATA'!B:G,6,FALSE)=0/1/1900,"",VLOOKUP(A567,'ECN-ECO_DATA'!B:G,6,FALSE))),"")</f>
        <v/>
      </c>
      <c r="F567" s="9" t="str">
        <f>IFERROR((IF(VLOOKUP(A567,'ECN-ECO_DATA'!B:J,7,FALSE)=0/1/1900,"",VLOOKUP(A567,'ECN-ECO_DATA'!B:J,7,FALSE))),"")</f>
        <v/>
      </c>
      <c r="G567" s="9" t="str">
        <f>IFERROR((IF(VLOOKUP(A567,'ECN-ECO_DATA'!B:J,8,FALSE)=0/1/1900,"",VLOOKUP(A567,'ECN-ECO_DATA'!B:J,8,FALSE))),"")</f>
        <v/>
      </c>
      <c r="H567" s="9" t="str">
        <f>IFERROR((IF(VLOOKUP(A567,'ECN-ECO_DATA'!B:J,9,FALSE)=0/1/1900,"",VLOOKUP(A567,'ECN-ECO_DATA'!B:J,9,FALSE))),"")</f>
        <v/>
      </c>
      <c r="I567" s="10" t="str">
        <f>IFERROR((IF(VLOOKUP(A567,'ECN-ECO_DATA'!B:Q,13,FALSE)="","",VLOOKUP(A567,'ECN-ECO_DATA'!B:Q,13,FALSE))),"")</f>
        <v/>
      </c>
      <c r="J567" s="10" t="str">
        <f>IFERROR((IF(VLOOKUP(A567,'ECN-ECO_DATA'!B:Q,14,FALSE)="","",VLOOKUP(A567,'ECN-ECO_DATA'!B:Q,14,FALSE))),"")</f>
        <v/>
      </c>
      <c r="K567" s="10" t="str">
        <f>IFERROR((IF(VLOOKUP(A567,'ECN-ECO_DATA'!B:Q,15,FALSE)="","",VLOOKUP(A567,'ECN-ECO_DATA'!B:Q,15,FALSE))),"")</f>
        <v/>
      </c>
      <c r="L567" s="10" t="str">
        <f>IFERROR((IF(VLOOKUP(A567,'ECN-ECO_DATA'!B:Q,16,FALSE)="","",VLOOKUP(A567,'ECN-ECO_DATA'!B:Q,16,FALSE))),"")</f>
        <v/>
      </c>
      <c r="M567" s="9" t="str">
        <f>IFERROR((IF(VLOOKUP(A567,'ECN-ECO_DATA'!B:V,18,FALSE)=0/1/1900,"",VLOOKUP(A567,'ECN-ECO_DATA'!B:V,18,FALSE))),"")</f>
        <v/>
      </c>
      <c r="N567" s="9" t="str">
        <f>IFERROR((IF(VLOOKUP(A567,'ECN-ECO_DATA'!B:V,19,FALSE)=0/1/1900,"",VLOOKUP(A567,'ECN-ECO_DATA'!B:V,19,FALSE))),"")</f>
        <v/>
      </c>
      <c r="O567" s="9" t="str">
        <f>IFERROR((IF(VLOOKUP(A567,'ECN-ECO_DATA'!B:V,20,FALSE)=0/1/1900,"",VLOOKUP(A567,'ECN-ECO_DATA'!B:V,20,FALSE))),"")</f>
        <v/>
      </c>
      <c r="P567" s="9" t="str">
        <f>IFERROR((IF(VLOOKUP(A567,'ECN-ECO_DATA'!B:V,21,FALSE)=0/1/1900,"",VLOOKUP(A567,'ECN-ECO_DATA'!B:V,21,FALSE))),"")</f>
        <v/>
      </c>
      <c r="Q567" s="10" t="str">
        <f t="shared" ca="1" si="40"/>
        <v/>
      </c>
      <c r="R567" s="4" t="str">
        <f t="shared" si="41"/>
        <v/>
      </c>
      <c r="S567" s="4" t="str">
        <f t="shared" si="42"/>
        <v/>
      </c>
      <c r="T567" s="4" t="str">
        <f t="shared" si="43"/>
        <v/>
      </c>
      <c r="U567" s="10" t="str">
        <f t="shared" si="44"/>
        <v/>
      </c>
      <c r="V567" s="4"/>
    </row>
    <row r="568" spans="2:22" x14ac:dyDescent="0.25">
      <c r="B568" s="4" t="str">
        <f>IFERROR(VLOOKUP(A568,'ECN-ECO_DATA'!B:G,4,FALSE),"")</f>
        <v/>
      </c>
      <c r="C568" s="9" t="str">
        <f>IFERROR(VLOOKUP(A568,'ECN-ECO_DATA'!B:G,5,FALSE),"")</f>
        <v/>
      </c>
      <c r="D568" s="9" t="str">
        <f ca="1">IFERROR((IF(VLOOKUP(A568,'ECN-ECO_DATA'!B:G,6,FALSE)=0/1/1900,TODAY(),VLOOKUP(A568,'ECN-ECO_DATA'!B:G,6,FALSE))),"")</f>
        <v/>
      </c>
      <c r="E568" s="9" t="str">
        <f>IFERROR((IF(VLOOKUP(A568,'ECN-ECO_DATA'!B:G,6,FALSE)=0/1/1900,"",VLOOKUP(A568,'ECN-ECO_DATA'!B:G,6,FALSE))),"")</f>
        <v/>
      </c>
      <c r="F568" s="9" t="str">
        <f>IFERROR((IF(VLOOKUP(A568,'ECN-ECO_DATA'!B:J,7,FALSE)=0/1/1900,"",VLOOKUP(A568,'ECN-ECO_DATA'!B:J,7,FALSE))),"")</f>
        <v/>
      </c>
      <c r="G568" s="9" t="str">
        <f>IFERROR((IF(VLOOKUP(A568,'ECN-ECO_DATA'!B:J,8,FALSE)=0/1/1900,"",VLOOKUP(A568,'ECN-ECO_DATA'!B:J,8,FALSE))),"")</f>
        <v/>
      </c>
      <c r="H568" s="9" t="str">
        <f>IFERROR((IF(VLOOKUP(A568,'ECN-ECO_DATA'!B:J,9,FALSE)=0/1/1900,"",VLOOKUP(A568,'ECN-ECO_DATA'!B:J,9,FALSE))),"")</f>
        <v/>
      </c>
      <c r="I568" s="10" t="str">
        <f>IFERROR((IF(VLOOKUP(A568,'ECN-ECO_DATA'!B:Q,13,FALSE)="","",VLOOKUP(A568,'ECN-ECO_DATA'!B:Q,13,FALSE))),"")</f>
        <v/>
      </c>
      <c r="J568" s="10" t="str">
        <f>IFERROR((IF(VLOOKUP(A568,'ECN-ECO_DATA'!B:Q,14,FALSE)="","",VLOOKUP(A568,'ECN-ECO_DATA'!B:Q,14,FALSE))),"")</f>
        <v/>
      </c>
      <c r="K568" s="10" t="str">
        <f>IFERROR((IF(VLOOKUP(A568,'ECN-ECO_DATA'!B:Q,15,FALSE)="","",VLOOKUP(A568,'ECN-ECO_DATA'!B:Q,15,FALSE))),"")</f>
        <v/>
      </c>
      <c r="L568" s="10" t="str">
        <f>IFERROR((IF(VLOOKUP(A568,'ECN-ECO_DATA'!B:Q,16,FALSE)="","",VLOOKUP(A568,'ECN-ECO_DATA'!B:Q,16,FALSE))),"")</f>
        <v/>
      </c>
      <c r="M568" s="9" t="str">
        <f>IFERROR((IF(VLOOKUP(A568,'ECN-ECO_DATA'!B:V,18,FALSE)=0/1/1900,"",VLOOKUP(A568,'ECN-ECO_DATA'!B:V,18,FALSE))),"")</f>
        <v/>
      </c>
      <c r="N568" s="9" t="str">
        <f>IFERROR((IF(VLOOKUP(A568,'ECN-ECO_DATA'!B:V,19,FALSE)=0/1/1900,"",VLOOKUP(A568,'ECN-ECO_DATA'!B:V,19,FALSE))),"")</f>
        <v/>
      </c>
      <c r="O568" s="9" t="str">
        <f>IFERROR((IF(VLOOKUP(A568,'ECN-ECO_DATA'!B:V,20,FALSE)=0/1/1900,"",VLOOKUP(A568,'ECN-ECO_DATA'!B:V,20,FALSE))),"")</f>
        <v/>
      </c>
      <c r="P568" s="9" t="str">
        <f>IFERROR((IF(VLOOKUP(A568,'ECN-ECO_DATA'!B:V,21,FALSE)=0/1/1900,"",VLOOKUP(A568,'ECN-ECO_DATA'!B:V,21,FALSE))),"")</f>
        <v/>
      </c>
      <c r="Q568" s="10" t="str">
        <f t="shared" ca="1" si="40"/>
        <v/>
      </c>
      <c r="R568" s="4" t="str">
        <f t="shared" si="41"/>
        <v/>
      </c>
      <c r="S568" s="4" t="str">
        <f t="shared" si="42"/>
        <v/>
      </c>
      <c r="T568" s="4" t="str">
        <f t="shared" si="43"/>
        <v/>
      </c>
      <c r="U568" s="10" t="str">
        <f t="shared" si="44"/>
        <v/>
      </c>
      <c r="V568" s="4"/>
    </row>
    <row r="569" spans="2:22" x14ac:dyDescent="0.25">
      <c r="B569" s="4" t="str">
        <f>IFERROR(VLOOKUP(A569,'ECN-ECO_DATA'!B:G,4,FALSE),"")</f>
        <v/>
      </c>
      <c r="C569" s="9" t="str">
        <f>IFERROR(VLOOKUP(A569,'ECN-ECO_DATA'!B:G,5,FALSE),"")</f>
        <v/>
      </c>
      <c r="D569" s="9" t="str">
        <f ca="1">IFERROR((IF(VLOOKUP(A569,'ECN-ECO_DATA'!B:G,6,FALSE)=0/1/1900,TODAY(),VLOOKUP(A569,'ECN-ECO_DATA'!B:G,6,FALSE))),"")</f>
        <v/>
      </c>
      <c r="E569" s="9" t="str">
        <f>IFERROR((IF(VLOOKUP(A569,'ECN-ECO_DATA'!B:G,6,FALSE)=0/1/1900,"",VLOOKUP(A569,'ECN-ECO_DATA'!B:G,6,FALSE))),"")</f>
        <v/>
      </c>
      <c r="F569" s="9" t="str">
        <f>IFERROR((IF(VLOOKUP(A569,'ECN-ECO_DATA'!B:J,7,FALSE)=0/1/1900,"",VLOOKUP(A569,'ECN-ECO_DATA'!B:J,7,FALSE))),"")</f>
        <v/>
      </c>
      <c r="G569" s="9" t="str">
        <f>IFERROR((IF(VLOOKUP(A569,'ECN-ECO_DATA'!B:J,8,FALSE)=0/1/1900,"",VLOOKUP(A569,'ECN-ECO_DATA'!B:J,8,FALSE))),"")</f>
        <v/>
      </c>
      <c r="H569" s="9" t="str">
        <f>IFERROR((IF(VLOOKUP(A569,'ECN-ECO_DATA'!B:J,9,FALSE)=0/1/1900,"",VLOOKUP(A569,'ECN-ECO_DATA'!B:J,9,FALSE))),"")</f>
        <v/>
      </c>
      <c r="I569" s="10" t="str">
        <f>IFERROR((IF(VLOOKUP(A569,'ECN-ECO_DATA'!B:Q,13,FALSE)="","",VLOOKUP(A569,'ECN-ECO_DATA'!B:Q,13,FALSE))),"")</f>
        <v/>
      </c>
      <c r="J569" s="10" t="str">
        <f>IFERROR((IF(VLOOKUP(A569,'ECN-ECO_DATA'!B:Q,14,FALSE)="","",VLOOKUP(A569,'ECN-ECO_DATA'!B:Q,14,FALSE))),"")</f>
        <v/>
      </c>
      <c r="K569" s="10" t="str">
        <f>IFERROR((IF(VLOOKUP(A569,'ECN-ECO_DATA'!B:Q,15,FALSE)="","",VLOOKUP(A569,'ECN-ECO_DATA'!B:Q,15,FALSE))),"")</f>
        <v/>
      </c>
      <c r="L569" s="10" t="str">
        <f>IFERROR((IF(VLOOKUP(A569,'ECN-ECO_DATA'!B:Q,16,FALSE)="","",VLOOKUP(A569,'ECN-ECO_DATA'!B:Q,16,FALSE))),"")</f>
        <v/>
      </c>
      <c r="M569" s="9" t="str">
        <f>IFERROR((IF(VLOOKUP(A569,'ECN-ECO_DATA'!B:V,18,FALSE)=0/1/1900,"",VLOOKUP(A569,'ECN-ECO_DATA'!B:V,18,FALSE))),"")</f>
        <v/>
      </c>
      <c r="N569" s="9" t="str">
        <f>IFERROR((IF(VLOOKUP(A569,'ECN-ECO_DATA'!B:V,19,FALSE)=0/1/1900,"",VLOOKUP(A569,'ECN-ECO_DATA'!B:V,19,FALSE))),"")</f>
        <v/>
      </c>
      <c r="O569" s="9" t="str">
        <f>IFERROR((IF(VLOOKUP(A569,'ECN-ECO_DATA'!B:V,20,FALSE)=0/1/1900,"",VLOOKUP(A569,'ECN-ECO_DATA'!B:V,20,FALSE))),"")</f>
        <v/>
      </c>
      <c r="P569" s="9" t="str">
        <f>IFERROR((IF(VLOOKUP(A569,'ECN-ECO_DATA'!B:V,21,FALSE)=0/1/1900,"",VLOOKUP(A569,'ECN-ECO_DATA'!B:V,21,FALSE))),"")</f>
        <v/>
      </c>
      <c r="Q569" s="10" t="str">
        <f t="shared" ca="1" si="40"/>
        <v/>
      </c>
      <c r="R569" s="4" t="str">
        <f t="shared" si="41"/>
        <v/>
      </c>
      <c r="S569" s="4" t="str">
        <f t="shared" si="42"/>
        <v/>
      </c>
      <c r="T569" s="4" t="str">
        <f t="shared" si="43"/>
        <v/>
      </c>
      <c r="U569" s="10" t="str">
        <f t="shared" si="44"/>
        <v/>
      </c>
      <c r="V569" s="4"/>
    </row>
    <row r="570" spans="2:22" x14ac:dyDescent="0.25">
      <c r="B570" s="4" t="str">
        <f>IFERROR(VLOOKUP(A570,'ECN-ECO_DATA'!B:G,4,FALSE),"")</f>
        <v/>
      </c>
      <c r="C570" s="9" t="str">
        <f>IFERROR(VLOOKUP(A570,'ECN-ECO_DATA'!B:G,5,FALSE),"")</f>
        <v/>
      </c>
      <c r="D570" s="9" t="str">
        <f ca="1">IFERROR((IF(VLOOKUP(A570,'ECN-ECO_DATA'!B:G,6,FALSE)=0/1/1900,TODAY(),VLOOKUP(A570,'ECN-ECO_DATA'!B:G,6,FALSE))),"")</f>
        <v/>
      </c>
      <c r="E570" s="9" t="str">
        <f>IFERROR((IF(VLOOKUP(A570,'ECN-ECO_DATA'!B:G,6,FALSE)=0/1/1900,"",VLOOKUP(A570,'ECN-ECO_DATA'!B:G,6,FALSE))),"")</f>
        <v/>
      </c>
      <c r="F570" s="9" t="str">
        <f>IFERROR((IF(VLOOKUP(A570,'ECN-ECO_DATA'!B:J,7,FALSE)=0/1/1900,"",VLOOKUP(A570,'ECN-ECO_DATA'!B:J,7,FALSE))),"")</f>
        <v/>
      </c>
      <c r="G570" s="9" t="str">
        <f>IFERROR((IF(VLOOKUP(A570,'ECN-ECO_DATA'!B:J,8,FALSE)=0/1/1900,"",VLOOKUP(A570,'ECN-ECO_DATA'!B:J,8,FALSE))),"")</f>
        <v/>
      </c>
      <c r="H570" s="9" t="str">
        <f>IFERROR((IF(VLOOKUP(A570,'ECN-ECO_DATA'!B:J,9,FALSE)=0/1/1900,"",VLOOKUP(A570,'ECN-ECO_DATA'!B:J,9,FALSE))),"")</f>
        <v/>
      </c>
      <c r="I570" s="10" t="str">
        <f>IFERROR((IF(VLOOKUP(A570,'ECN-ECO_DATA'!B:Q,13,FALSE)="","",VLOOKUP(A570,'ECN-ECO_DATA'!B:Q,13,FALSE))),"")</f>
        <v/>
      </c>
      <c r="J570" s="10" t="str">
        <f>IFERROR((IF(VLOOKUP(A570,'ECN-ECO_DATA'!B:Q,14,FALSE)="","",VLOOKUP(A570,'ECN-ECO_DATA'!B:Q,14,FALSE))),"")</f>
        <v/>
      </c>
      <c r="K570" s="10" t="str">
        <f>IFERROR((IF(VLOOKUP(A570,'ECN-ECO_DATA'!B:Q,15,FALSE)="","",VLOOKUP(A570,'ECN-ECO_DATA'!B:Q,15,FALSE))),"")</f>
        <v/>
      </c>
      <c r="L570" s="10" t="str">
        <f>IFERROR((IF(VLOOKUP(A570,'ECN-ECO_DATA'!B:Q,16,FALSE)="","",VLOOKUP(A570,'ECN-ECO_DATA'!B:Q,16,FALSE))),"")</f>
        <v/>
      </c>
      <c r="M570" s="9" t="str">
        <f>IFERROR((IF(VLOOKUP(A570,'ECN-ECO_DATA'!B:V,18,FALSE)=0/1/1900,"",VLOOKUP(A570,'ECN-ECO_DATA'!B:V,18,FALSE))),"")</f>
        <v/>
      </c>
      <c r="N570" s="9" t="str">
        <f>IFERROR((IF(VLOOKUP(A570,'ECN-ECO_DATA'!B:V,19,FALSE)=0/1/1900,"",VLOOKUP(A570,'ECN-ECO_DATA'!B:V,19,FALSE))),"")</f>
        <v/>
      </c>
      <c r="O570" s="9" t="str">
        <f>IFERROR((IF(VLOOKUP(A570,'ECN-ECO_DATA'!B:V,20,FALSE)=0/1/1900,"",VLOOKUP(A570,'ECN-ECO_DATA'!B:V,20,FALSE))),"")</f>
        <v/>
      </c>
      <c r="P570" s="9" t="str">
        <f>IFERROR((IF(VLOOKUP(A570,'ECN-ECO_DATA'!B:V,21,FALSE)=0/1/1900,"",VLOOKUP(A570,'ECN-ECO_DATA'!B:V,21,FALSE))),"")</f>
        <v/>
      </c>
      <c r="Q570" s="10" t="str">
        <f t="shared" ca="1" si="40"/>
        <v/>
      </c>
      <c r="R570" s="4" t="str">
        <f t="shared" si="41"/>
        <v/>
      </c>
      <c r="S570" s="4" t="str">
        <f t="shared" si="42"/>
        <v/>
      </c>
      <c r="T570" s="4" t="str">
        <f t="shared" si="43"/>
        <v/>
      </c>
      <c r="U570" s="10" t="str">
        <f t="shared" si="44"/>
        <v/>
      </c>
      <c r="V570" s="4"/>
    </row>
    <row r="571" spans="2:22" x14ac:dyDescent="0.25">
      <c r="B571" s="4" t="str">
        <f>IFERROR(VLOOKUP(A571,'ECN-ECO_DATA'!B:G,4,FALSE),"")</f>
        <v/>
      </c>
      <c r="C571" s="9" t="str">
        <f>IFERROR(VLOOKUP(A571,'ECN-ECO_DATA'!B:G,5,FALSE),"")</f>
        <v/>
      </c>
      <c r="D571" s="9" t="str">
        <f ca="1">IFERROR((IF(VLOOKUP(A571,'ECN-ECO_DATA'!B:G,6,FALSE)=0/1/1900,TODAY(),VLOOKUP(A571,'ECN-ECO_DATA'!B:G,6,FALSE))),"")</f>
        <v/>
      </c>
      <c r="E571" s="9" t="str">
        <f>IFERROR((IF(VLOOKUP(A571,'ECN-ECO_DATA'!B:G,6,FALSE)=0/1/1900,"",VLOOKUP(A571,'ECN-ECO_DATA'!B:G,6,FALSE))),"")</f>
        <v/>
      </c>
      <c r="F571" s="9" t="str">
        <f>IFERROR((IF(VLOOKUP(A571,'ECN-ECO_DATA'!B:J,7,FALSE)=0/1/1900,"",VLOOKUP(A571,'ECN-ECO_DATA'!B:J,7,FALSE))),"")</f>
        <v/>
      </c>
      <c r="G571" s="9" t="str">
        <f>IFERROR((IF(VLOOKUP(A571,'ECN-ECO_DATA'!B:J,8,FALSE)=0/1/1900,"",VLOOKUP(A571,'ECN-ECO_DATA'!B:J,8,FALSE))),"")</f>
        <v/>
      </c>
      <c r="H571" s="9" t="str">
        <f>IFERROR((IF(VLOOKUP(A571,'ECN-ECO_DATA'!B:J,9,FALSE)=0/1/1900,"",VLOOKUP(A571,'ECN-ECO_DATA'!B:J,9,FALSE))),"")</f>
        <v/>
      </c>
      <c r="I571" s="10" t="str">
        <f>IFERROR((IF(VLOOKUP(A571,'ECN-ECO_DATA'!B:Q,13,FALSE)="","",VLOOKUP(A571,'ECN-ECO_DATA'!B:Q,13,FALSE))),"")</f>
        <v/>
      </c>
      <c r="J571" s="10" t="str">
        <f>IFERROR((IF(VLOOKUP(A571,'ECN-ECO_DATA'!B:Q,14,FALSE)="","",VLOOKUP(A571,'ECN-ECO_DATA'!B:Q,14,FALSE))),"")</f>
        <v/>
      </c>
      <c r="K571" s="10" t="str">
        <f>IFERROR((IF(VLOOKUP(A571,'ECN-ECO_DATA'!B:Q,15,FALSE)="","",VLOOKUP(A571,'ECN-ECO_DATA'!B:Q,15,FALSE))),"")</f>
        <v/>
      </c>
      <c r="L571" s="10" t="str">
        <f>IFERROR((IF(VLOOKUP(A571,'ECN-ECO_DATA'!B:Q,16,FALSE)="","",VLOOKUP(A571,'ECN-ECO_DATA'!B:Q,16,FALSE))),"")</f>
        <v/>
      </c>
      <c r="M571" s="9" t="str">
        <f>IFERROR((IF(VLOOKUP(A571,'ECN-ECO_DATA'!B:V,18,FALSE)=0/1/1900,"",VLOOKUP(A571,'ECN-ECO_DATA'!B:V,18,FALSE))),"")</f>
        <v/>
      </c>
      <c r="N571" s="9" t="str">
        <f>IFERROR((IF(VLOOKUP(A571,'ECN-ECO_DATA'!B:V,19,FALSE)=0/1/1900,"",VLOOKUP(A571,'ECN-ECO_DATA'!B:V,19,FALSE))),"")</f>
        <v/>
      </c>
      <c r="O571" s="9" t="str">
        <f>IFERROR((IF(VLOOKUP(A571,'ECN-ECO_DATA'!B:V,20,FALSE)=0/1/1900,"",VLOOKUP(A571,'ECN-ECO_DATA'!B:V,20,FALSE))),"")</f>
        <v/>
      </c>
      <c r="P571" s="9" t="str">
        <f>IFERROR((IF(VLOOKUP(A571,'ECN-ECO_DATA'!B:V,21,FALSE)=0/1/1900,"",VLOOKUP(A571,'ECN-ECO_DATA'!B:V,21,FALSE))),"")</f>
        <v/>
      </c>
      <c r="Q571" s="10" t="str">
        <f t="shared" ca="1" si="40"/>
        <v/>
      </c>
      <c r="R571" s="4" t="str">
        <f t="shared" si="41"/>
        <v/>
      </c>
      <c r="S571" s="4" t="str">
        <f t="shared" si="42"/>
        <v/>
      </c>
      <c r="T571" s="4" t="str">
        <f t="shared" si="43"/>
        <v/>
      </c>
      <c r="U571" s="10" t="str">
        <f t="shared" si="44"/>
        <v/>
      </c>
      <c r="V571" s="4"/>
    </row>
    <row r="572" spans="2:22" x14ac:dyDescent="0.25">
      <c r="B572" s="4" t="str">
        <f>IFERROR(VLOOKUP(A572,'ECN-ECO_DATA'!B:G,4,FALSE),"")</f>
        <v/>
      </c>
      <c r="C572" s="9" t="str">
        <f>IFERROR(VLOOKUP(A572,'ECN-ECO_DATA'!B:G,5,FALSE),"")</f>
        <v/>
      </c>
      <c r="D572" s="9" t="str">
        <f ca="1">IFERROR((IF(VLOOKUP(A572,'ECN-ECO_DATA'!B:G,6,FALSE)=0/1/1900,TODAY(),VLOOKUP(A572,'ECN-ECO_DATA'!B:G,6,FALSE))),"")</f>
        <v/>
      </c>
      <c r="E572" s="9" t="str">
        <f>IFERROR((IF(VLOOKUP(A572,'ECN-ECO_DATA'!B:G,6,FALSE)=0/1/1900,"",VLOOKUP(A572,'ECN-ECO_DATA'!B:G,6,FALSE))),"")</f>
        <v/>
      </c>
      <c r="F572" s="9" t="str">
        <f>IFERROR((IF(VLOOKUP(A572,'ECN-ECO_DATA'!B:J,7,FALSE)=0/1/1900,"",VLOOKUP(A572,'ECN-ECO_DATA'!B:J,7,FALSE))),"")</f>
        <v/>
      </c>
      <c r="G572" s="9" t="str">
        <f>IFERROR((IF(VLOOKUP(A572,'ECN-ECO_DATA'!B:J,8,FALSE)=0/1/1900,"",VLOOKUP(A572,'ECN-ECO_DATA'!B:J,8,FALSE))),"")</f>
        <v/>
      </c>
      <c r="H572" s="9" t="str">
        <f>IFERROR((IF(VLOOKUP(A572,'ECN-ECO_DATA'!B:J,9,FALSE)=0/1/1900,"",VLOOKUP(A572,'ECN-ECO_DATA'!B:J,9,FALSE))),"")</f>
        <v/>
      </c>
      <c r="I572" s="10" t="str">
        <f>IFERROR((IF(VLOOKUP(A572,'ECN-ECO_DATA'!B:Q,13,FALSE)="","",VLOOKUP(A572,'ECN-ECO_DATA'!B:Q,13,FALSE))),"")</f>
        <v/>
      </c>
      <c r="J572" s="10" t="str">
        <f>IFERROR((IF(VLOOKUP(A572,'ECN-ECO_DATA'!B:Q,14,FALSE)="","",VLOOKUP(A572,'ECN-ECO_DATA'!B:Q,14,FALSE))),"")</f>
        <v/>
      </c>
      <c r="K572" s="10" t="str">
        <f>IFERROR((IF(VLOOKUP(A572,'ECN-ECO_DATA'!B:Q,15,FALSE)="","",VLOOKUP(A572,'ECN-ECO_DATA'!B:Q,15,FALSE))),"")</f>
        <v/>
      </c>
      <c r="L572" s="10" t="str">
        <f>IFERROR((IF(VLOOKUP(A572,'ECN-ECO_DATA'!B:Q,16,FALSE)="","",VLOOKUP(A572,'ECN-ECO_DATA'!B:Q,16,FALSE))),"")</f>
        <v/>
      </c>
      <c r="M572" s="9" t="str">
        <f>IFERROR((IF(VLOOKUP(A572,'ECN-ECO_DATA'!B:V,18,FALSE)=0/1/1900,"",VLOOKUP(A572,'ECN-ECO_DATA'!B:V,18,FALSE))),"")</f>
        <v/>
      </c>
      <c r="N572" s="9" t="str">
        <f>IFERROR((IF(VLOOKUP(A572,'ECN-ECO_DATA'!B:V,19,FALSE)=0/1/1900,"",VLOOKUP(A572,'ECN-ECO_DATA'!B:V,19,FALSE))),"")</f>
        <v/>
      </c>
      <c r="O572" s="9" t="str">
        <f>IFERROR((IF(VLOOKUP(A572,'ECN-ECO_DATA'!B:V,20,FALSE)=0/1/1900,"",VLOOKUP(A572,'ECN-ECO_DATA'!B:V,20,FALSE))),"")</f>
        <v/>
      </c>
      <c r="P572" s="9" t="str">
        <f>IFERROR((IF(VLOOKUP(A572,'ECN-ECO_DATA'!B:V,21,FALSE)=0/1/1900,"",VLOOKUP(A572,'ECN-ECO_DATA'!B:V,21,FALSE))),"")</f>
        <v/>
      </c>
      <c r="Q572" s="10" t="str">
        <f t="shared" ca="1" si="40"/>
        <v/>
      </c>
      <c r="R572" s="4" t="str">
        <f t="shared" si="41"/>
        <v/>
      </c>
      <c r="S572" s="4" t="str">
        <f t="shared" si="42"/>
        <v/>
      </c>
      <c r="T572" s="4" t="str">
        <f t="shared" si="43"/>
        <v/>
      </c>
      <c r="U572" s="10" t="str">
        <f t="shared" si="44"/>
        <v/>
      </c>
      <c r="V572" s="4"/>
    </row>
    <row r="573" spans="2:22" x14ac:dyDescent="0.25">
      <c r="B573" s="4" t="str">
        <f>IFERROR(VLOOKUP(A573,'ECN-ECO_DATA'!B:G,4,FALSE),"")</f>
        <v/>
      </c>
      <c r="C573" s="9" t="str">
        <f>IFERROR(VLOOKUP(A573,'ECN-ECO_DATA'!B:G,5,FALSE),"")</f>
        <v/>
      </c>
      <c r="D573" s="9" t="str">
        <f ca="1">IFERROR((IF(VLOOKUP(A573,'ECN-ECO_DATA'!B:G,6,FALSE)=0/1/1900,TODAY(),VLOOKUP(A573,'ECN-ECO_DATA'!B:G,6,FALSE))),"")</f>
        <v/>
      </c>
      <c r="E573" s="9" t="str">
        <f>IFERROR((IF(VLOOKUP(A573,'ECN-ECO_DATA'!B:G,6,FALSE)=0/1/1900,"",VLOOKUP(A573,'ECN-ECO_DATA'!B:G,6,FALSE))),"")</f>
        <v/>
      </c>
      <c r="F573" s="9" t="str">
        <f>IFERROR((IF(VLOOKUP(A573,'ECN-ECO_DATA'!B:J,7,FALSE)=0/1/1900,"",VLOOKUP(A573,'ECN-ECO_DATA'!B:J,7,FALSE))),"")</f>
        <v/>
      </c>
      <c r="G573" s="9" t="str">
        <f>IFERROR((IF(VLOOKUP(A573,'ECN-ECO_DATA'!B:J,8,FALSE)=0/1/1900,"",VLOOKUP(A573,'ECN-ECO_DATA'!B:J,8,FALSE))),"")</f>
        <v/>
      </c>
      <c r="H573" s="9" t="str">
        <f>IFERROR((IF(VLOOKUP(A573,'ECN-ECO_DATA'!B:J,9,FALSE)=0/1/1900,"",VLOOKUP(A573,'ECN-ECO_DATA'!B:J,9,FALSE))),"")</f>
        <v/>
      </c>
      <c r="I573" s="10" t="str">
        <f>IFERROR((IF(VLOOKUP(A573,'ECN-ECO_DATA'!B:Q,13,FALSE)="","",VLOOKUP(A573,'ECN-ECO_DATA'!B:Q,13,FALSE))),"")</f>
        <v/>
      </c>
      <c r="J573" s="10" t="str">
        <f>IFERROR((IF(VLOOKUP(A573,'ECN-ECO_DATA'!B:Q,14,FALSE)="","",VLOOKUP(A573,'ECN-ECO_DATA'!B:Q,14,FALSE))),"")</f>
        <v/>
      </c>
      <c r="K573" s="10" t="str">
        <f>IFERROR((IF(VLOOKUP(A573,'ECN-ECO_DATA'!B:Q,15,FALSE)="","",VLOOKUP(A573,'ECN-ECO_DATA'!B:Q,15,FALSE))),"")</f>
        <v/>
      </c>
      <c r="L573" s="10" t="str">
        <f>IFERROR((IF(VLOOKUP(A573,'ECN-ECO_DATA'!B:Q,16,FALSE)="","",VLOOKUP(A573,'ECN-ECO_DATA'!B:Q,16,FALSE))),"")</f>
        <v/>
      </c>
      <c r="M573" s="9" t="str">
        <f>IFERROR((IF(VLOOKUP(A573,'ECN-ECO_DATA'!B:V,18,FALSE)=0/1/1900,"",VLOOKUP(A573,'ECN-ECO_DATA'!B:V,18,FALSE))),"")</f>
        <v/>
      </c>
      <c r="N573" s="9" t="str">
        <f>IFERROR((IF(VLOOKUP(A573,'ECN-ECO_DATA'!B:V,19,FALSE)=0/1/1900,"",VLOOKUP(A573,'ECN-ECO_DATA'!B:V,19,FALSE))),"")</f>
        <v/>
      </c>
      <c r="O573" s="9" t="str">
        <f>IFERROR((IF(VLOOKUP(A573,'ECN-ECO_DATA'!B:V,20,FALSE)=0/1/1900,"",VLOOKUP(A573,'ECN-ECO_DATA'!B:V,20,FALSE))),"")</f>
        <v/>
      </c>
      <c r="P573" s="9" t="str">
        <f>IFERROR((IF(VLOOKUP(A573,'ECN-ECO_DATA'!B:V,21,FALSE)=0/1/1900,"",VLOOKUP(A573,'ECN-ECO_DATA'!B:V,21,FALSE))),"")</f>
        <v/>
      </c>
      <c r="Q573" s="10" t="str">
        <f t="shared" ca="1" si="40"/>
        <v/>
      </c>
      <c r="R573" s="4" t="str">
        <f t="shared" si="41"/>
        <v/>
      </c>
      <c r="S573" s="4" t="str">
        <f t="shared" si="42"/>
        <v/>
      </c>
      <c r="T573" s="4" t="str">
        <f t="shared" si="43"/>
        <v/>
      </c>
      <c r="U573" s="10" t="str">
        <f t="shared" si="44"/>
        <v/>
      </c>
      <c r="V573" s="4"/>
    </row>
    <row r="574" spans="2:22" x14ac:dyDescent="0.25">
      <c r="B574" s="4" t="str">
        <f>IFERROR(VLOOKUP(A574,'ECN-ECO_DATA'!B:G,4,FALSE),"")</f>
        <v/>
      </c>
      <c r="C574" s="9" t="str">
        <f>IFERROR(VLOOKUP(A574,'ECN-ECO_DATA'!B:G,5,FALSE),"")</f>
        <v/>
      </c>
      <c r="D574" s="9" t="str">
        <f ca="1">IFERROR((IF(VLOOKUP(A574,'ECN-ECO_DATA'!B:G,6,FALSE)=0/1/1900,TODAY(),VLOOKUP(A574,'ECN-ECO_DATA'!B:G,6,FALSE))),"")</f>
        <v/>
      </c>
      <c r="E574" s="9" t="str">
        <f>IFERROR((IF(VLOOKUP(A574,'ECN-ECO_DATA'!B:G,6,FALSE)=0/1/1900,"",VLOOKUP(A574,'ECN-ECO_DATA'!B:G,6,FALSE))),"")</f>
        <v/>
      </c>
      <c r="F574" s="9" t="str">
        <f>IFERROR((IF(VLOOKUP(A574,'ECN-ECO_DATA'!B:J,7,FALSE)=0/1/1900,"",VLOOKUP(A574,'ECN-ECO_DATA'!B:J,7,FALSE))),"")</f>
        <v/>
      </c>
      <c r="G574" s="9" t="str">
        <f>IFERROR((IF(VLOOKUP(A574,'ECN-ECO_DATA'!B:J,8,FALSE)=0/1/1900,"",VLOOKUP(A574,'ECN-ECO_DATA'!B:J,8,FALSE))),"")</f>
        <v/>
      </c>
      <c r="H574" s="9" t="str">
        <f>IFERROR((IF(VLOOKUP(A574,'ECN-ECO_DATA'!B:J,9,FALSE)=0/1/1900,"",VLOOKUP(A574,'ECN-ECO_DATA'!B:J,9,FALSE))),"")</f>
        <v/>
      </c>
      <c r="I574" s="10" t="str">
        <f>IFERROR((IF(VLOOKUP(A574,'ECN-ECO_DATA'!B:Q,13,FALSE)="","",VLOOKUP(A574,'ECN-ECO_DATA'!B:Q,13,FALSE))),"")</f>
        <v/>
      </c>
      <c r="J574" s="10" t="str">
        <f>IFERROR((IF(VLOOKUP(A574,'ECN-ECO_DATA'!B:Q,14,FALSE)="","",VLOOKUP(A574,'ECN-ECO_DATA'!B:Q,14,FALSE))),"")</f>
        <v/>
      </c>
      <c r="K574" s="10" t="str">
        <f>IFERROR((IF(VLOOKUP(A574,'ECN-ECO_DATA'!B:Q,15,FALSE)="","",VLOOKUP(A574,'ECN-ECO_DATA'!B:Q,15,FALSE))),"")</f>
        <v/>
      </c>
      <c r="L574" s="10" t="str">
        <f>IFERROR((IF(VLOOKUP(A574,'ECN-ECO_DATA'!B:Q,16,FALSE)="","",VLOOKUP(A574,'ECN-ECO_DATA'!B:Q,16,FALSE))),"")</f>
        <v/>
      </c>
      <c r="M574" s="9" t="str">
        <f>IFERROR((IF(VLOOKUP(A574,'ECN-ECO_DATA'!B:V,18,FALSE)=0/1/1900,"",VLOOKUP(A574,'ECN-ECO_DATA'!B:V,18,FALSE))),"")</f>
        <v/>
      </c>
      <c r="N574" s="9" t="str">
        <f>IFERROR((IF(VLOOKUP(A574,'ECN-ECO_DATA'!B:V,19,FALSE)=0/1/1900,"",VLOOKUP(A574,'ECN-ECO_DATA'!B:V,19,FALSE))),"")</f>
        <v/>
      </c>
      <c r="O574" s="9" t="str">
        <f>IFERROR((IF(VLOOKUP(A574,'ECN-ECO_DATA'!B:V,20,FALSE)=0/1/1900,"",VLOOKUP(A574,'ECN-ECO_DATA'!B:V,20,FALSE))),"")</f>
        <v/>
      </c>
      <c r="P574" s="9" t="str">
        <f>IFERROR((IF(VLOOKUP(A574,'ECN-ECO_DATA'!B:V,21,FALSE)=0/1/1900,"",VLOOKUP(A574,'ECN-ECO_DATA'!B:V,21,FALSE))),"")</f>
        <v/>
      </c>
      <c r="Q574" s="10" t="str">
        <f t="shared" ca="1" si="40"/>
        <v/>
      </c>
      <c r="R574" s="4" t="str">
        <f t="shared" si="41"/>
        <v/>
      </c>
      <c r="S574" s="4" t="str">
        <f t="shared" si="42"/>
        <v/>
      </c>
      <c r="T574" s="4" t="str">
        <f t="shared" si="43"/>
        <v/>
      </c>
      <c r="U574" s="10" t="str">
        <f t="shared" si="44"/>
        <v/>
      </c>
      <c r="V574" s="4"/>
    </row>
    <row r="575" spans="2:22" x14ac:dyDescent="0.25">
      <c r="B575" s="4" t="str">
        <f>IFERROR(VLOOKUP(A575,'ECN-ECO_DATA'!B:G,4,FALSE),"")</f>
        <v/>
      </c>
      <c r="C575" s="9" t="str">
        <f>IFERROR(VLOOKUP(A575,'ECN-ECO_DATA'!B:G,5,FALSE),"")</f>
        <v/>
      </c>
      <c r="D575" s="9" t="str">
        <f ca="1">IFERROR((IF(VLOOKUP(A575,'ECN-ECO_DATA'!B:G,6,FALSE)=0/1/1900,TODAY(),VLOOKUP(A575,'ECN-ECO_DATA'!B:G,6,FALSE))),"")</f>
        <v/>
      </c>
      <c r="E575" s="9" t="str">
        <f>IFERROR((IF(VLOOKUP(A575,'ECN-ECO_DATA'!B:G,6,FALSE)=0/1/1900,"",VLOOKUP(A575,'ECN-ECO_DATA'!B:G,6,FALSE))),"")</f>
        <v/>
      </c>
      <c r="F575" s="9" t="str">
        <f>IFERROR((IF(VLOOKUP(A575,'ECN-ECO_DATA'!B:J,7,FALSE)=0/1/1900,"",VLOOKUP(A575,'ECN-ECO_DATA'!B:J,7,FALSE))),"")</f>
        <v/>
      </c>
      <c r="G575" s="9" t="str">
        <f>IFERROR((IF(VLOOKUP(A575,'ECN-ECO_DATA'!B:J,8,FALSE)=0/1/1900,"",VLOOKUP(A575,'ECN-ECO_DATA'!B:J,8,FALSE))),"")</f>
        <v/>
      </c>
      <c r="H575" s="9" t="str">
        <f>IFERROR((IF(VLOOKUP(A575,'ECN-ECO_DATA'!B:J,9,FALSE)=0/1/1900,"",VLOOKUP(A575,'ECN-ECO_DATA'!B:J,9,FALSE))),"")</f>
        <v/>
      </c>
      <c r="I575" s="10" t="str">
        <f>IFERROR((IF(VLOOKUP(A575,'ECN-ECO_DATA'!B:Q,13,FALSE)="","",VLOOKUP(A575,'ECN-ECO_DATA'!B:Q,13,FALSE))),"")</f>
        <v/>
      </c>
      <c r="J575" s="10" t="str">
        <f>IFERROR((IF(VLOOKUP(A575,'ECN-ECO_DATA'!B:Q,14,FALSE)="","",VLOOKUP(A575,'ECN-ECO_DATA'!B:Q,14,FALSE))),"")</f>
        <v/>
      </c>
      <c r="K575" s="10" t="str">
        <f>IFERROR((IF(VLOOKUP(A575,'ECN-ECO_DATA'!B:Q,15,FALSE)="","",VLOOKUP(A575,'ECN-ECO_DATA'!B:Q,15,FALSE))),"")</f>
        <v/>
      </c>
      <c r="L575" s="10" t="str">
        <f>IFERROR((IF(VLOOKUP(A575,'ECN-ECO_DATA'!B:Q,16,FALSE)="","",VLOOKUP(A575,'ECN-ECO_DATA'!B:Q,16,FALSE))),"")</f>
        <v/>
      </c>
      <c r="M575" s="9" t="str">
        <f>IFERROR((IF(VLOOKUP(A575,'ECN-ECO_DATA'!B:V,18,FALSE)=0/1/1900,"",VLOOKUP(A575,'ECN-ECO_DATA'!B:V,18,FALSE))),"")</f>
        <v/>
      </c>
      <c r="N575" s="9" t="str">
        <f>IFERROR((IF(VLOOKUP(A575,'ECN-ECO_DATA'!B:V,19,FALSE)=0/1/1900,"",VLOOKUP(A575,'ECN-ECO_DATA'!B:V,19,FALSE))),"")</f>
        <v/>
      </c>
      <c r="O575" s="9" t="str">
        <f>IFERROR((IF(VLOOKUP(A575,'ECN-ECO_DATA'!B:V,20,FALSE)=0/1/1900,"",VLOOKUP(A575,'ECN-ECO_DATA'!B:V,20,FALSE))),"")</f>
        <v/>
      </c>
      <c r="P575" s="9" t="str">
        <f>IFERROR((IF(VLOOKUP(A575,'ECN-ECO_DATA'!B:V,21,FALSE)=0/1/1900,"",VLOOKUP(A575,'ECN-ECO_DATA'!B:V,21,FALSE))),"")</f>
        <v/>
      </c>
      <c r="Q575" s="10" t="str">
        <f t="shared" ca="1" si="40"/>
        <v/>
      </c>
      <c r="R575" s="4" t="str">
        <f t="shared" si="41"/>
        <v/>
      </c>
      <c r="S575" s="4" t="str">
        <f t="shared" si="42"/>
        <v/>
      </c>
      <c r="T575" s="4" t="str">
        <f t="shared" si="43"/>
        <v/>
      </c>
      <c r="U575" s="10" t="str">
        <f t="shared" si="44"/>
        <v/>
      </c>
      <c r="V575" s="4"/>
    </row>
    <row r="576" spans="2:22" x14ac:dyDescent="0.25">
      <c r="B576" s="4" t="str">
        <f>IFERROR(VLOOKUP(A576,'ECN-ECO_DATA'!B:G,4,FALSE),"")</f>
        <v/>
      </c>
      <c r="C576" s="9" t="str">
        <f>IFERROR(VLOOKUP(A576,'ECN-ECO_DATA'!B:G,5,FALSE),"")</f>
        <v/>
      </c>
      <c r="D576" s="9" t="str">
        <f ca="1">IFERROR((IF(VLOOKUP(A576,'ECN-ECO_DATA'!B:G,6,FALSE)=0/1/1900,TODAY(),VLOOKUP(A576,'ECN-ECO_DATA'!B:G,6,FALSE))),"")</f>
        <v/>
      </c>
      <c r="E576" s="9" t="str">
        <f>IFERROR((IF(VLOOKUP(A576,'ECN-ECO_DATA'!B:G,6,FALSE)=0/1/1900,"",VLOOKUP(A576,'ECN-ECO_DATA'!B:G,6,FALSE))),"")</f>
        <v/>
      </c>
      <c r="F576" s="9" t="str">
        <f>IFERROR((IF(VLOOKUP(A576,'ECN-ECO_DATA'!B:J,7,FALSE)=0/1/1900,"",VLOOKUP(A576,'ECN-ECO_DATA'!B:J,7,FALSE))),"")</f>
        <v/>
      </c>
      <c r="G576" s="9" t="str">
        <f>IFERROR((IF(VLOOKUP(A576,'ECN-ECO_DATA'!B:J,8,FALSE)=0/1/1900,"",VLOOKUP(A576,'ECN-ECO_DATA'!B:J,8,FALSE))),"")</f>
        <v/>
      </c>
      <c r="H576" s="9" t="str">
        <f>IFERROR((IF(VLOOKUP(A576,'ECN-ECO_DATA'!B:J,9,FALSE)=0/1/1900,"",VLOOKUP(A576,'ECN-ECO_DATA'!B:J,9,FALSE))),"")</f>
        <v/>
      </c>
      <c r="I576" s="10" t="str">
        <f>IFERROR((IF(VLOOKUP(A576,'ECN-ECO_DATA'!B:Q,13,FALSE)="","",VLOOKUP(A576,'ECN-ECO_DATA'!B:Q,13,FALSE))),"")</f>
        <v/>
      </c>
      <c r="J576" s="10" t="str">
        <f>IFERROR((IF(VLOOKUP(A576,'ECN-ECO_DATA'!B:Q,14,FALSE)="","",VLOOKUP(A576,'ECN-ECO_DATA'!B:Q,14,FALSE))),"")</f>
        <v/>
      </c>
      <c r="K576" s="10" t="str">
        <f>IFERROR((IF(VLOOKUP(A576,'ECN-ECO_DATA'!B:Q,15,FALSE)="","",VLOOKUP(A576,'ECN-ECO_DATA'!B:Q,15,FALSE))),"")</f>
        <v/>
      </c>
      <c r="L576" s="10" t="str">
        <f>IFERROR((IF(VLOOKUP(A576,'ECN-ECO_DATA'!B:Q,16,FALSE)="","",VLOOKUP(A576,'ECN-ECO_DATA'!B:Q,16,FALSE))),"")</f>
        <v/>
      </c>
      <c r="M576" s="9" t="str">
        <f>IFERROR((IF(VLOOKUP(A576,'ECN-ECO_DATA'!B:V,18,FALSE)=0/1/1900,"",VLOOKUP(A576,'ECN-ECO_DATA'!B:V,18,FALSE))),"")</f>
        <v/>
      </c>
      <c r="N576" s="9" t="str">
        <f>IFERROR((IF(VLOOKUP(A576,'ECN-ECO_DATA'!B:V,19,FALSE)=0/1/1900,"",VLOOKUP(A576,'ECN-ECO_DATA'!B:V,19,FALSE))),"")</f>
        <v/>
      </c>
      <c r="O576" s="9" t="str">
        <f>IFERROR((IF(VLOOKUP(A576,'ECN-ECO_DATA'!B:V,20,FALSE)=0/1/1900,"",VLOOKUP(A576,'ECN-ECO_DATA'!B:V,20,FALSE))),"")</f>
        <v/>
      </c>
      <c r="P576" s="9" t="str">
        <f>IFERROR((IF(VLOOKUP(A576,'ECN-ECO_DATA'!B:V,21,FALSE)=0/1/1900,"",VLOOKUP(A576,'ECN-ECO_DATA'!B:V,21,FALSE))),"")</f>
        <v/>
      </c>
      <c r="Q576" s="10" t="str">
        <f t="shared" ca="1" si="40"/>
        <v/>
      </c>
      <c r="R576" s="4" t="str">
        <f t="shared" si="41"/>
        <v/>
      </c>
      <c r="S576" s="4" t="str">
        <f t="shared" si="42"/>
        <v/>
      </c>
      <c r="T576" s="4" t="str">
        <f t="shared" si="43"/>
        <v/>
      </c>
      <c r="U576" s="10" t="str">
        <f t="shared" si="44"/>
        <v/>
      </c>
      <c r="V576" s="4"/>
    </row>
    <row r="577" spans="2:22" x14ac:dyDescent="0.25">
      <c r="B577" s="4" t="str">
        <f>IFERROR(VLOOKUP(A577,'ECN-ECO_DATA'!B:G,4,FALSE),"")</f>
        <v/>
      </c>
      <c r="C577" s="9" t="str">
        <f>IFERROR(VLOOKUP(A577,'ECN-ECO_DATA'!B:G,5,FALSE),"")</f>
        <v/>
      </c>
      <c r="D577" s="9" t="str">
        <f ca="1">IFERROR((IF(VLOOKUP(A577,'ECN-ECO_DATA'!B:G,6,FALSE)=0/1/1900,TODAY(),VLOOKUP(A577,'ECN-ECO_DATA'!B:G,6,FALSE))),"")</f>
        <v/>
      </c>
      <c r="E577" s="9" t="str">
        <f>IFERROR((IF(VLOOKUP(A577,'ECN-ECO_DATA'!B:G,6,FALSE)=0/1/1900,"",VLOOKUP(A577,'ECN-ECO_DATA'!B:G,6,FALSE))),"")</f>
        <v/>
      </c>
      <c r="F577" s="9" t="str">
        <f>IFERROR((IF(VLOOKUP(A577,'ECN-ECO_DATA'!B:J,7,FALSE)=0/1/1900,"",VLOOKUP(A577,'ECN-ECO_DATA'!B:J,7,FALSE))),"")</f>
        <v/>
      </c>
      <c r="G577" s="9" t="str">
        <f>IFERROR((IF(VLOOKUP(A577,'ECN-ECO_DATA'!B:J,8,FALSE)=0/1/1900,"",VLOOKUP(A577,'ECN-ECO_DATA'!B:J,8,FALSE))),"")</f>
        <v/>
      </c>
      <c r="H577" s="9" t="str">
        <f>IFERROR((IF(VLOOKUP(A577,'ECN-ECO_DATA'!B:J,9,FALSE)=0/1/1900,"",VLOOKUP(A577,'ECN-ECO_DATA'!B:J,9,FALSE))),"")</f>
        <v/>
      </c>
      <c r="I577" s="10" t="str">
        <f>IFERROR((IF(VLOOKUP(A577,'ECN-ECO_DATA'!B:Q,13,FALSE)="","",VLOOKUP(A577,'ECN-ECO_DATA'!B:Q,13,FALSE))),"")</f>
        <v/>
      </c>
      <c r="J577" s="10" t="str">
        <f>IFERROR((IF(VLOOKUP(A577,'ECN-ECO_DATA'!B:Q,14,FALSE)="","",VLOOKUP(A577,'ECN-ECO_DATA'!B:Q,14,FALSE))),"")</f>
        <v/>
      </c>
      <c r="K577" s="10" t="str">
        <f>IFERROR((IF(VLOOKUP(A577,'ECN-ECO_DATA'!B:Q,15,FALSE)="","",VLOOKUP(A577,'ECN-ECO_DATA'!B:Q,15,FALSE))),"")</f>
        <v/>
      </c>
      <c r="L577" s="10" t="str">
        <f>IFERROR((IF(VLOOKUP(A577,'ECN-ECO_DATA'!B:Q,16,FALSE)="","",VLOOKUP(A577,'ECN-ECO_DATA'!B:Q,16,FALSE))),"")</f>
        <v/>
      </c>
      <c r="M577" s="9" t="str">
        <f>IFERROR((IF(VLOOKUP(A577,'ECN-ECO_DATA'!B:V,18,FALSE)=0/1/1900,"",VLOOKUP(A577,'ECN-ECO_DATA'!B:V,18,FALSE))),"")</f>
        <v/>
      </c>
      <c r="N577" s="9" t="str">
        <f>IFERROR((IF(VLOOKUP(A577,'ECN-ECO_DATA'!B:V,19,FALSE)=0/1/1900,"",VLOOKUP(A577,'ECN-ECO_DATA'!B:V,19,FALSE))),"")</f>
        <v/>
      </c>
      <c r="O577" s="9" t="str">
        <f>IFERROR((IF(VLOOKUP(A577,'ECN-ECO_DATA'!B:V,20,FALSE)=0/1/1900,"",VLOOKUP(A577,'ECN-ECO_DATA'!B:V,20,FALSE))),"")</f>
        <v/>
      </c>
      <c r="P577" s="9" t="str">
        <f>IFERROR((IF(VLOOKUP(A577,'ECN-ECO_DATA'!B:V,21,FALSE)=0/1/1900,"",VLOOKUP(A577,'ECN-ECO_DATA'!B:V,21,FALSE))),"")</f>
        <v/>
      </c>
      <c r="Q577" s="10" t="str">
        <f t="shared" ca="1" si="40"/>
        <v/>
      </c>
      <c r="R577" s="4" t="str">
        <f t="shared" si="41"/>
        <v/>
      </c>
      <c r="S577" s="4" t="str">
        <f t="shared" si="42"/>
        <v/>
      </c>
      <c r="T577" s="4" t="str">
        <f t="shared" si="43"/>
        <v/>
      </c>
      <c r="U577" s="10" t="str">
        <f t="shared" si="44"/>
        <v/>
      </c>
      <c r="V577" s="4"/>
    </row>
    <row r="578" spans="2:22" x14ac:dyDescent="0.25">
      <c r="B578" s="4" t="str">
        <f>IFERROR(VLOOKUP(A578,'ECN-ECO_DATA'!B:G,4,FALSE),"")</f>
        <v/>
      </c>
      <c r="C578" s="9" t="str">
        <f>IFERROR(VLOOKUP(A578,'ECN-ECO_DATA'!B:G,5,FALSE),"")</f>
        <v/>
      </c>
      <c r="D578" s="9" t="str">
        <f ca="1">IFERROR((IF(VLOOKUP(A578,'ECN-ECO_DATA'!B:G,6,FALSE)=0/1/1900,TODAY(),VLOOKUP(A578,'ECN-ECO_DATA'!B:G,6,FALSE))),"")</f>
        <v/>
      </c>
      <c r="E578" s="9" t="str">
        <f>IFERROR((IF(VLOOKUP(A578,'ECN-ECO_DATA'!B:G,6,FALSE)=0/1/1900,"",VLOOKUP(A578,'ECN-ECO_DATA'!B:G,6,FALSE))),"")</f>
        <v/>
      </c>
      <c r="F578" s="9" t="str">
        <f>IFERROR((IF(VLOOKUP(A578,'ECN-ECO_DATA'!B:J,7,FALSE)=0/1/1900,"",VLOOKUP(A578,'ECN-ECO_DATA'!B:J,7,FALSE))),"")</f>
        <v/>
      </c>
      <c r="G578" s="9" t="str">
        <f>IFERROR((IF(VLOOKUP(A578,'ECN-ECO_DATA'!B:J,8,FALSE)=0/1/1900,"",VLOOKUP(A578,'ECN-ECO_DATA'!B:J,8,FALSE))),"")</f>
        <v/>
      </c>
      <c r="H578" s="9" t="str">
        <f>IFERROR((IF(VLOOKUP(A578,'ECN-ECO_DATA'!B:J,9,FALSE)=0/1/1900,"",VLOOKUP(A578,'ECN-ECO_DATA'!B:J,9,FALSE))),"")</f>
        <v/>
      </c>
      <c r="I578" s="10" t="str">
        <f>IFERROR((IF(VLOOKUP(A578,'ECN-ECO_DATA'!B:Q,13,FALSE)="","",VLOOKUP(A578,'ECN-ECO_DATA'!B:Q,13,FALSE))),"")</f>
        <v/>
      </c>
      <c r="J578" s="10" t="str">
        <f>IFERROR((IF(VLOOKUP(A578,'ECN-ECO_DATA'!B:Q,14,FALSE)="","",VLOOKUP(A578,'ECN-ECO_DATA'!B:Q,14,FALSE))),"")</f>
        <v/>
      </c>
      <c r="K578" s="10" t="str">
        <f>IFERROR((IF(VLOOKUP(A578,'ECN-ECO_DATA'!B:Q,15,FALSE)="","",VLOOKUP(A578,'ECN-ECO_DATA'!B:Q,15,FALSE))),"")</f>
        <v/>
      </c>
      <c r="L578" s="10" t="str">
        <f>IFERROR((IF(VLOOKUP(A578,'ECN-ECO_DATA'!B:Q,16,FALSE)="","",VLOOKUP(A578,'ECN-ECO_DATA'!B:Q,16,FALSE))),"")</f>
        <v/>
      </c>
      <c r="M578" s="9" t="str">
        <f>IFERROR((IF(VLOOKUP(A578,'ECN-ECO_DATA'!B:V,18,FALSE)=0/1/1900,"",VLOOKUP(A578,'ECN-ECO_DATA'!B:V,18,FALSE))),"")</f>
        <v/>
      </c>
      <c r="N578" s="9" t="str">
        <f>IFERROR((IF(VLOOKUP(A578,'ECN-ECO_DATA'!B:V,19,FALSE)=0/1/1900,"",VLOOKUP(A578,'ECN-ECO_DATA'!B:V,19,FALSE))),"")</f>
        <v/>
      </c>
      <c r="O578" s="9" t="str">
        <f>IFERROR((IF(VLOOKUP(A578,'ECN-ECO_DATA'!B:V,20,FALSE)=0/1/1900,"",VLOOKUP(A578,'ECN-ECO_DATA'!B:V,20,FALSE))),"")</f>
        <v/>
      </c>
      <c r="P578" s="9" t="str">
        <f>IFERROR((IF(VLOOKUP(A578,'ECN-ECO_DATA'!B:V,21,FALSE)=0/1/1900,"",VLOOKUP(A578,'ECN-ECO_DATA'!B:V,21,FALSE))),"")</f>
        <v/>
      </c>
      <c r="Q578" s="10" t="str">
        <f t="shared" ca="1" si="40"/>
        <v/>
      </c>
      <c r="R578" s="4" t="str">
        <f t="shared" si="41"/>
        <v/>
      </c>
      <c r="S578" s="4" t="str">
        <f t="shared" si="42"/>
        <v/>
      </c>
      <c r="T578" s="4" t="str">
        <f t="shared" si="43"/>
        <v/>
      </c>
      <c r="U578" s="10" t="str">
        <f t="shared" si="44"/>
        <v/>
      </c>
      <c r="V578" s="4"/>
    </row>
    <row r="579" spans="2:22" x14ac:dyDescent="0.25">
      <c r="B579" s="4" t="str">
        <f>IFERROR(VLOOKUP(A579,'ECN-ECO_DATA'!B:G,4,FALSE),"")</f>
        <v/>
      </c>
      <c r="C579" s="9" t="str">
        <f>IFERROR(VLOOKUP(A579,'ECN-ECO_DATA'!B:G,5,FALSE),"")</f>
        <v/>
      </c>
      <c r="D579" s="9" t="str">
        <f ca="1">IFERROR((IF(VLOOKUP(A579,'ECN-ECO_DATA'!B:G,6,FALSE)=0/1/1900,TODAY(),VLOOKUP(A579,'ECN-ECO_DATA'!B:G,6,FALSE))),"")</f>
        <v/>
      </c>
      <c r="E579" s="9" t="str">
        <f>IFERROR((IF(VLOOKUP(A579,'ECN-ECO_DATA'!B:G,6,FALSE)=0/1/1900,"",VLOOKUP(A579,'ECN-ECO_DATA'!B:G,6,FALSE))),"")</f>
        <v/>
      </c>
      <c r="F579" s="9" t="str">
        <f>IFERROR((IF(VLOOKUP(A579,'ECN-ECO_DATA'!B:J,7,FALSE)=0/1/1900,"",VLOOKUP(A579,'ECN-ECO_DATA'!B:J,7,FALSE))),"")</f>
        <v/>
      </c>
      <c r="G579" s="9" t="str">
        <f>IFERROR((IF(VLOOKUP(A579,'ECN-ECO_DATA'!B:J,8,FALSE)=0/1/1900,"",VLOOKUP(A579,'ECN-ECO_DATA'!B:J,8,FALSE))),"")</f>
        <v/>
      </c>
      <c r="H579" s="9" t="str">
        <f>IFERROR((IF(VLOOKUP(A579,'ECN-ECO_DATA'!B:J,9,FALSE)=0/1/1900,"",VLOOKUP(A579,'ECN-ECO_DATA'!B:J,9,FALSE))),"")</f>
        <v/>
      </c>
      <c r="I579" s="10" t="str">
        <f>IFERROR((IF(VLOOKUP(A579,'ECN-ECO_DATA'!B:Q,13,FALSE)="","",VLOOKUP(A579,'ECN-ECO_DATA'!B:Q,13,FALSE))),"")</f>
        <v/>
      </c>
      <c r="J579" s="10" t="str">
        <f>IFERROR((IF(VLOOKUP(A579,'ECN-ECO_DATA'!B:Q,14,FALSE)="","",VLOOKUP(A579,'ECN-ECO_DATA'!B:Q,14,FALSE))),"")</f>
        <v/>
      </c>
      <c r="K579" s="10" t="str">
        <f>IFERROR((IF(VLOOKUP(A579,'ECN-ECO_DATA'!B:Q,15,FALSE)="","",VLOOKUP(A579,'ECN-ECO_DATA'!B:Q,15,FALSE))),"")</f>
        <v/>
      </c>
      <c r="L579" s="10" t="str">
        <f>IFERROR((IF(VLOOKUP(A579,'ECN-ECO_DATA'!B:Q,16,FALSE)="","",VLOOKUP(A579,'ECN-ECO_DATA'!B:Q,16,FALSE))),"")</f>
        <v/>
      </c>
      <c r="M579" s="9" t="str">
        <f>IFERROR((IF(VLOOKUP(A579,'ECN-ECO_DATA'!B:V,18,FALSE)=0/1/1900,"",VLOOKUP(A579,'ECN-ECO_DATA'!B:V,18,FALSE))),"")</f>
        <v/>
      </c>
      <c r="N579" s="9" t="str">
        <f>IFERROR((IF(VLOOKUP(A579,'ECN-ECO_DATA'!B:V,19,FALSE)=0/1/1900,"",VLOOKUP(A579,'ECN-ECO_DATA'!B:V,19,FALSE))),"")</f>
        <v/>
      </c>
      <c r="O579" s="9" t="str">
        <f>IFERROR((IF(VLOOKUP(A579,'ECN-ECO_DATA'!B:V,20,FALSE)=0/1/1900,"",VLOOKUP(A579,'ECN-ECO_DATA'!B:V,20,FALSE))),"")</f>
        <v/>
      </c>
      <c r="P579" s="9" t="str">
        <f>IFERROR((IF(VLOOKUP(A579,'ECN-ECO_DATA'!B:V,21,FALSE)=0/1/1900,"",VLOOKUP(A579,'ECN-ECO_DATA'!B:V,21,FALSE))),"")</f>
        <v/>
      </c>
      <c r="Q579" s="10" t="str">
        <f t="shared" ref="Q579:Q642" ca="1" si="45">IFERROR(D579-C579,"")</f>
        <v/>
      </c>
      <c r="R579" s="4" t="str">
        <f t="shared" ref="R579:R642" si="46">IFERROR(H579-E579,"")</f>
        <v/>
      </c>
      <c r="S579" s="4" t="str">
        <f t="shared" ref="S579:S642" si="47">IFERROR(N579-H579,"")</f>
        <v/>
      </c>
      <c r="T579" s="4" t="str">
        <f t="shared" ref="T579:T642" si="48">IFERROR(O579-N579,"")</f>
        <v/>
      </c>
      <c r="U579" s="10" t="str">
        <f t="shared" ref="U579:U642" si="49">IF(O579="","",IF(SUM(Q579:T579)=0,"",SUM(Q579:T579)))</f>
        <v/>
      </c>
      <c r="V579" s="4"/>
    </row>
    <row r="580" spans="2:22" x14ac:dyDescent="0.25">
      <c r="B580" s="4" t="str">
        <f>IFERROR(VLOOKUP(A580,'ECN-ECO_DATA'!B:G,4,FALSE),"")</f>
        <v/>
      </c>
      <c r="C580" s="9" t="str">
        <f>IFERROR(VLOOKUP(A580,'ECN-ECO_DATA'!B:G,5,FALSE),"")</f>
        <v/>
      </c>
      <c r="D580" s="9" t="str">
        <f ca="1">IFERROR((IF(VLOOKUP(A580,'ECN-ECO_DATA'!B:G,6,FALSE)=0/1/1900,TODAY(),VLOOKUP(A580,'ECN-ECO_DATA'!B:G,6,FALSE))),"")</f>
        <v/>
      </c>
      <c r="E580" s="9" t="str">
        <f>IFERROR((IF(VLOOKUP(A580,'ECN-ECO_DATA'!B:G,6,FALSE)=0/1/1900,"",VLOOKUP(A580,'ECN-ECO_DATA'!B:G,6,FALSE))),"")</f>
        <v/>
      </c>
      <c r="F580" s="9" t="str">
        <f>IFERROR((IF(VLOOKUP(A580,'ECN-ECO_DATA'!B:J,7,FALSE)=0/1/1900,"",VLOOKUP(A580,'ECN-ECO_DATA'!B:J,7,FALSE))),"")</f>
        <v/>
      </c>
      <c r="G580" s="9" t="str">
        <f>IFERROR((IF(VLOOKUP(A580,'ECN-ECO_DATA'!B:J,8,FALSE)=0/1/1900,"",VLOOKUP(A580,'ECN-ECO_DATA'!B:J,8,FALSE))),"")</f>
        <v/>
      </c>
      <c r="H580" s="9" t="str">
        <f>IFERROR((IF(VLOOKUP(A580,'ECN-ECO_DATA'!B:J,9,FALSE)=0/1/1900,"",VLOOKUP(A580,'ECN-ECO_DATA'!B:J,9,FALSE))),"")</f>
        <v/>
      </c>
      <c r="I580" s="10" t="str">
        <f>IFERROR((IF(VLOOKUP(A580,'ECN-ECO_DATA'!B:Q,13,FALSE)="","",VLOOKUP(A580,'ECN-ECO_DATA'!B:Q,13,FALSE))),"")</f>
        <v/>
      </c>
      <c r="J580" s="10" t="str">
        <f>IFERROR((IF(VLOOKUP(A580,'ECN-ECO_DATA'!B:Q,14,FALSE)="","",VLOOKUP(A580,'ECN-ECO_DATA'!B:Q,14,FALSE))),"")</f>
        <v/>
      </c>
      <c r="K580" s="10" t="str">
        <f>IFERROR((IF(VLOOKUP(A580,'ECN-ECO_DATA'!B:Q,15,FALSE)="","",VLOOKUP(A580,'ECN-ECO_DATA'!B:Q,15,FALSE))),"")</f>
        <v/>
      </c>
      <c r="L580" s="10" t="str">
        <f>IFERROR((IF(VLOOKUP(A580,'ECN-ECO_DATA'!B:Q,16,FALSE)="","",VLOOKUP(A580,'ECN-ECO_DATA'!B:Q,16,FALSE))),"")</f>
        <v/>
      </c>
      <c r="M580" s="9" t="str">
        <f>IFERROR((IF(VLOOKUP(A580,'ECN-ECO_DATA'!B:V,18,FALSE)=0/1/1900,"",VLOOKUP(A580,'ECN-ECO_DATA'!B:V,18,FALSE))),"")</f>
        <v/>
      </c>
      <c r="N580" s="9" t="str">
        <f>IFERROR((IF(VLOOKUP(A580,'ECN-ECO_DATA'!B:V,19,FALSE)=0/1/1900,"",VLOOKUP(A580,'ECN-ECO_DATA'!B:V,19,FALSE))),"")</f>
        <v/>
      </c>
      <c r="O580" s="9" t="str">
        <f>IFERROR((IF(VLOOKUP(A580,'ECN-ECO_DATA'!B:V,20,FALSE)=0/1/1900,"",VLOOKUP(A580,'ECN-ECO_DATA'!B:V,20,FALSE))),"")</f>
        <v/>
      </c>
      <c r="P580" s="9" t="str">
        <f>IFERROR((IF(VLOOKUP(A580,'ECN-ECO_DATA'!B:V,21,FALSE)=0/1/1900,"",VLOOKUP(A580,'ECN-ECO_DATA'!B:V,21,FALSE))),"")</f>
        <v/>
      </c>
      <c r="Q580" s="10" t="str">
        <f t="shared" ca="1" si="45"/>
        <v/>
      </c>
      <c r="R580" s="4" t="str">
        <f t="shared" si="46"/>
        <v/>
      </c>
      <c r="S580" s="4" t="str">
        <f t="shared" si="47"/>
        <v/>
      </c>
      <c r="T580" s="4" t="str">
        <f t="shared" si="48"/>
        <v/>
      </c>
      <c r="U580" s="10" t="str">
        <f t="shared" si="49"/>
        <v/>
      </c>
      <c r="V580" s="4"/>
    </row>
    <row r="581" spans="2:22" x14ac:dyDescent="0.25">
      <c r="B581" s="4" t="str">
        <f>IFERROR(VLOOKUP(A581,'ECN-ECO_DATA'!B:G,4,FALSE),"")</f>
        <v/>
      </c>
      <c r="C581" s="9" t="str">
        <f>IFERROR(VLOOKUP(A581,'ECN-ECO_DATA'!B:G,5,FALSE),"")</f>
        <v/>
      </c>
      <c r="D581" s="9" t="str">
        <f ca="1">IFERROR((IF(VLOOKUP(A581,'ECN-ECO_DATA'!B:G,6,FALSE)=0/1/1900,TODAY(),VLOOKUP(A581,'ECN-ECO_DATA'!B:G,6,FALSE))),"")</f>
        <v/>
      </c>
      <c r="E581" s="9" t="str">
        <f>IFERROR((IF(VLOOKUP(A581,'ECN-ECO_DATA'!B:G,6,FALSE)=0/1/1900,"",VLOOKUP(A581,'ECN-ECO_DATA'!B:G,6,FALSE))),"")</f>
        <v/>
      </c>
      <c r="F581" s="9" t="str">
        <f>IFERROR((IF(VLOOKUP(A581,'ECN-ECO_DATA'!B:J,7,FALSE)=0/1/1900,"",VLOOKUP(A581,'ECN-ECO_DATA'!B:J,7,FALSE))),"")</f>
        <v/>
      </c>
      <c r="G581" s="9" t="str">
        <f>IFERROR((IF(VLOOKUP(A581,'ECN-ECO_DATA'!B:J,8,FALSE)=0/1/1900,"",VLOOKUP(A581,'ECN-ECO_DATA'!B:J,8,FALSE))),"")</f>
        <v/>
      </c>
      <c r="H581" s="9" t="str">
        <f>IFERROR((IF(VLOOKUP(A581,'ECN-ECO_DATA'!B:J,9,FALSE)=0/1/1900,"",VLOOKUP(A581,'ECN-ECO_DATA'!B:J,9,FALSE))),"")</f>
        <v/>
      </c>
      <c r="I581" s="10" t="str">
        <f>IFERROR((IF(VLOOKUP(A581,'ECN-ECO_DATA'!B:Q,13,FALSE)="","",VLOOKUP(A581,'ECN-ECO_DATA'!B:Q,13,FALSE))),"")</f>
        <v/>
      </c>
      <c r="J581" s="10" t="str">
        <f>IFERROR((IF(VLOOKUP(A581,'ECN-ECO_DATA'!B:Q,14,FALSE)="","",VLOOKUP(A581,'ECN-ECO_DATA'!B:Q,14,FALSE))),"")</f>
        <v/>
      </c>
      <c r="K581" s="10" t="str">
        <f>IFERROR((IF(VLOOKUP(A581,'ECN-ECO_DATA'!B:Q,15,FALSE)="","",VLOOKUP(A581,'ECN-ECO_DATA'!B:Q,15,FALSE))),"")</f>
        <v/>
      </c>
      <c r="L581" s="10" t="str">
        <f>IFERROR((IF(VLOOKUP(A581,'ECN-ECO_DATA'!B:Q,16,FALSE)="","",VLOOKUP(A581,'ECN-ECO_DATA'!B:Q,16,FALSE))),"")</f>
        <v/>
      </c>
      <c r="M581" s="9" t="str">
        <f>IFERROR((IF(VLOOKUP(A581,'ECN-ECO_DATA'!B:V,18,FALSE)=0/1/1900,"",VLOOKUP(A581,'ECN-ECO_DATA'!B:V,18,FALSE))),"")</f>
        <v/>
      </c>
      <c r="N581" s="9" t="str">
        <f>IFERROR((IF(VLOOKUP(A581,'ECN-ECO_DATA'!B:V,19,FALSE)=0/1/1900,"",VLOOKUP(A581,'ECN-ECO_DATA'!B:V,19,FALSE))),"")</f>
        <v/>
      </c>
      <c r="O581" s="9" t="str">
        <f>IFERROR((IF(VLOOKUP(A581,'ECN-ECO_DATA'!B:V,20,FALSE)=0/1/1900,"",VLOOKUP(A581,'ECN-ECO_DATA'!B:V,20,FALSE))),"")</f>
        <v/>
      </c>
      <c r="P581" s="9" t="str">
        <f>IFERROR((IF(VLOOKUP(A581,'ECN-ECO_DATA'!B:V,21,FALSE)=0/1/1900,"",VLOOKUP(A581,'ECN-ECO_DATA'!B:V,21,FALSE))),"")</f>
        <v/>
      </c>
      <c r="Q581" s="10" t="str">
        <f t="shared" ca="1" si="45"/>
        <v/>
      </c>
      <c r="R581" s="4" t="str">
        <f t="shared" si="46"/>
        <v/>
      </c>
      <c r="S581" s="4" t="str">
        <f t="shared" si="47"/>
        <v/>
      </c>
      <c r="T581" s="4" t="str">
        <f t="shared" si="48"/>
        <v/>
      </c>
      <c r="U581" s="10" t="str">
        <f t="shared" si="49"/>
        <v/>
      </c>
      <c r="V581" s="4"/>
    </row>
    <row r="582" spans="2:22" x14ac:dyDescent="0.25">
      <c r="B582" s="4" t="str">
        <f>IFERROR(VLOOKUP(A582,'ECN-ECO_DATA'!B:G,4,FALSE),"")</f>
        <v/>
      </c>
      <c r="C582" s="9" t="str">
        <f>IFERROR(VLOOKUP(A582,'ECN-ECO_DATA'!B:G,5,FALSE),"")</f>
        <v/>
      </c>
      <c r="D582" s="9" t="str">
        <f ca="1">IFERROR((IF(VLOOKUP(A582,'ECN-ECO_DATA'!B:G,6,FALSE)=0/1/1900,TODAY(),VLOOKUP(A582,'ECN-ECO_DATA'!B:G,6,FALSE))),"")</f>
        <v/>
      </c>
      <c r="E582" s="9" t="str">
        <f>IFERROR((IF(VLOOKUP(A582,'ECN-ECO_DATA'!B:G,6,FALSE)=0/1/1900,"",VLOOKUP(A582,'ECN-ECO_DATA'!B:G,6,FALSE))),"")</f>
        <v/>
      </c>
      <c r="F582" s="9" t="str">
        <f>IFERROR((IF(VLOOKUP(A582,'ECN-ECO_DATA'!B:J,7,FALSE)=0/1/1900,"",VLOOKUP(A582,'ECN-ECO_DATA'!B:J,7,FALSE))),"")</f>
        <v/>
      </c>
      <c r="G582" s="9" t="str">
        <f>IFERROR((IF(VLOOKUP(A582,'ECN-ECO_DATA'!B:J,8,FALSE)=0/1/1900,"",VLOOKUP(A582,'ECN-ECO_DATA'!B:J,8,FALSE))),"")</f>
        <v/>
      </c>
      <c r="H582" s="9" t="str">
        <f>IFERROR((IF(VLOOKUP(A582,'ECN-ECO_DATA'!B:J,9,FALSE)=0/1/1900,"",VLOOKUP(A582,'ECN-ECO_DATA'!B:J,9,FALSE))),"")</f>
        <v/>
      </c>
      <c r="I582" s="10" t="str">
        <f>IFERROR((IF(VLOOKUP(A582,'ECN-ECO_DATA'!B:Q,13,FALSE)="","",VLOOKUP(A582,'ECN-ECO_DATA'!B:Q,13,FALSE))),"")</f>
        <v/>
      </c>
      <c r="J582" s="10" t="str">
        <f>IFERROR((IF(VLOOKUP(A582,'ECN-ECO_DATA'!B:Q,14,FALSE)="","",VLOOKUP(A582,'ECN-ECO_DATA'!B:Q,14,FALSE))),"")</f>
        <v/>
      </c>
      <c r="K582" s="10" t="str">
        <f>IFERROR((IF(VLOOKUP(A582,'ECN-ECO_DATA'!B:Q,15,FALSE)="","",VLOOKUP(A582,'ECN-ECO_DATA'!B:Q,15,FALSE))),"")</f>
        <v/>
      </c>
      <c r="L582" s="10" t="str">
        <f>IFERROR((IF(VLOOKUP(A582,'ECN-ECO_DATA'!B:Q,16,FALSE)="","",VLOOKUP(A582,'ECN-ECO_DATA'!B:Q,16,FALSE))),"")</f>
        <v/>
      </c>
      <c r="M582" s="9" t="str">
        <f>IFERROR((IF(VLOOKUP(A582,'ECN-ECO_DATA'!B:V,18,FALSE)=0/1/1900,"",VLOOKUP(A582,'ECN-ECO_DATA'!B:V,18,FALSE))),"")</f>
        <v/>
      </c>
      <c r="N582" s="9" t="str">
        <f>IFERROR((IF(VLOOKUP(A582,'ECN-ECO_DATA'!B:V,19,FALSE)=0/1/1900,"",VLOOKUP(A582,'ECN-ECO_DATA'!B:V,19,FALSE))),"")</f>
        <v/>
      </c>
      <c r="O582" s="9" t="str">
        <f>IFERROR((IF(VLOOKUP(A582,'ECN-ECO_DATA'!B:V,20,FALSE)=0/1/1900,"",VLOOKUP(A582,'ECN-ECO_DATA'!B:V,20,FALSE))),"")</f>
        <v/>
      </c>
      <c r="P582" s="9" t="str">
        <f>IFERROR((IF(VLOOKUP(A582,'ECN-ECO_DATA'!B:V,21,FALSE)=0/1/1900,"",VLOOKUP(A582,'ECN-ECO_DATA'!B:V,21,FALSE))),"")</f>
        <v/>
      </c>
      <c r="Q582" s="10" t="str">
        <f t="shared" ca="1" si="45"/>
        <v/>
      </c>
      <c r="R582" s="4" t="str">
        <f t="shared" si="46"/>
        <v/>
      </c>
      <c r="S582" s="4" t="str">
        <f t="shared" si="47"/>
        <v/>
      </c>
      <c r="T582" s="4" t="str">
        <f t="shared" si="48"/>
        <v/>
      </c>
      <c r="U582" s="10" t="str">
        <f t="shared" si="49"/>
        <v/>
      </c>
      <c r="V582" s="4"/>
    </row>
    <row r="583" spans="2:22" x14ac:dyDescent="0.25">
      <c r="B583" s="4" t="str">
        <f>IFERROR(VLOOKUP(A583,'ECN-ECO_DATA'!B:G,4,FALSE),"")</f>
        <v/>
      </c>
      <c r="C583" s="9" t="str">
        <f>IFERROR(VLOOKUP(A583,'ECN-ECO_DATA'!B:G,5,FALSE),"")</f>
        <v/>
      </c>
      <c r="D583" s="9" t="str">
        <f ca="1">IFERROR((IF(VLOOKUP(A583,'ECN-ECO_DATA'!B:G,6,FALSE)=0/1/1900,TODAY(),VLOOKUP(A583,'ECN-ECO_DATA'!B:G,6,FALSE))),"")</f>
        <v/>
      </c>
      <c r="E583" s="9" t="str">
        <f>IFERROR((IF(VLOOKUP(A583,'ECN-ECO_DATA'!B:G,6,FALSE)=0/1/1900,"",VLOOKUP(A583,'ECN-ECO_DATA'!B:G,6,FALSE))),"")</f>
        <v/>
      </c>
      <c r="F583" s="9" t="str">
        <f>IFERROR((IF(VLOOKUP(A583,'ECN-ECO_DATA'!B:J,7,FALSE)=0/1/1900,"",VLOOKUP(A583,'ECN-ECO_DATA'!B:J,7,FALSE))),"")</f>
        <v/>
      </c>
      <c r="G583" s="9" t="str">
        <f>IFERROR((IF(VLOOKUP(A583,'ECN-ECO_DATA'!B:J,8,FALSE)=0/1/1900,"",VLOOKUP(A583,'ECN-ECO_DATA'!B:J,8,FALSE))),"")</f>
        <v/>
      </c>
      <c r="H583" s="9" t="str">
        <f>IFERROR((IF(VLOOKUP(A583,'ECN-ECO_DATA'!B:J,9,FALSE)=0/1/1900,"",VLOOKUP(A583,'ECN-ECO_DATA'!B:J,9,FALSE))),"")</f>
        <v/>
      </c>
      <c r="I583" s="10" t="str">
        <f>IFERROR((IF(VLOOKUP(A583,'ECN-ECO_DATA'!B:Q,13,FALSE)="","",VLOOKUP(A583,'ECN-ECO_DATA'!B:Q,13,FALSE))),"")</f>
        <v/>
      </c>
      <c r="J583" s="10" t="str">
        <f>IFERROR((IF(VLOOKUP(A583,'ECN-ECO_DATA'!B:Q,14,FALSE)="","",VLOOKUP(A583,'ECN-ECO_DATA'!B:Q,14,FALSE))),"")</f>
        <v/>
      </c>
      <c r="K583" s="10" t="str">
        <f>IFERROR((IF(VLOOKUP(A583,'ECN-ECO_DATA'!B:Q,15,FALSE)="","",VLOOKUP(A583,'ECN-ECO_DATA'!B:Q,15,FALSE))),"")</f>
        <v/>
      </c>
      <c r="L583" s="10" t="str">
        <f>IFERROR((IF(VLOOKUP(A583,'ECN-ECO_DATA'!B:Q,16,FALSE)="","",VLOOKUP(A583,'ECN-ECO_DATA'!B:Q,16,FALSE))),"")</f>
        <v/>
      </c>
      <c r="M583" s="9" t="str">
        <f>IFERROR((IF(VLOOKUP(A583,'ECN-ECO_DATA'!B:V,18,FALSE)=0/1/1900,"",VLOOKUP(A583,'ECN-ECO_DATA'!B:V,18,FALSE))),"")</f>
        <v/>
      </c>
      <c r="N583" s="9" t="str">
        <f>IFERROR((IF(VLOOKUP(A583,'ECN-ECO_DATA'!B:V,19,FALSE)=0/1/1900,"",VLOOKUP(A583,'ECN-ECO_DATA'!B:V,19,FALSE))),"")</f>
        <v/>
      </c>
      <c r="O583" s="9" t="str">
        <f>IFERROR((IF(VLOOKUP(A583,'ECN-ECO_DATA'!B:V,20,FALSE)=0/1/1900,"",VLOOKUP(A583,'ECN-ECO_DATA'!B:V,20,FALSE))),"")</f>
        <v/>
      </c>
      <c r="P583" s="9" t="str">
        <f>IFERROR((IF(VLOOKUP(A583,'ECN-ECO_DATA'!B:V,21,FALSE)=0/1/1900,"",VLOOKUP(A583,'ECN-ECO_DATA'!B:V,21,FALSE))),"")</f>
        <v/>
      </c>
      <c r="Q583" s="10" t="str">
        <f t="shared" ca="1" si="45"/>
        <v/>
      </c>
      <c r="R583" s="4" t="str">
        <f t="shared" si="46"/>
        <v/>
      </c>
      <c r="S583" s="4" t="str">
        <f t="shared" si="47"/>
        <v/>
      </c>
      <c r="T583" s="4" t="str">
        <f t="shared" si="48"/>
        <v/>
      </c>
      <c r="U583" s="10" t="str">
        <f t="shared" si="49"/>
        <v/>
      </c>
      <c r="V583" s="4"/>
    </row>
    <row r="584" spans="2:22" x14ac:dyDescent="0.25">
      <c r="B584" s="4" t="str">
        <f>IFERROR(VLOOKUP(A584,'ECN-ECO_DATA'!B:G,4,FALSE),"")</f>
        <v/>
      </c>
      <c r="C584" s="9" t="str">
        <f>IFERROR(VLOOKUP(A584,'ECN-ECO_DATA'!B:G,5,FALSE),"")</f>
        <v/>
      </c>
      <c r="D584" s="9" t="str">
        <f ca="1">IFERROR((IF(VLOOKUP(A584,'ECN-ECO_DATA'!B:G,6,FALSE)=0/1/1900,TODAY(),VLOOKUP(A584,'ECN-ECO_DATA'!B:G,6,FALSE))),"")</f>
        <v/>
      </c>
      <c r="E584" s="9" t="str">
        <f>IFERROR((IF(VLOOKUP(A584,'ECN-ECO_DATA'!B:G,6,FALSE)=0/1/1900,"",VLOOKUP(A584,'ECN-ECO_DATA'!B:G,6,FALSE))),"")</f>
        <v/>
      </c>
      <c r="F584" s="9" t="str">
        <f>IFERROR((IF(VLOOKUP(A584,'ECN-ECO_DATA'!B:J,7,FALSE)=0/1/1900,"",VLOOKUP(A584,'ECN-ECO_DATA'!B:J,7,FALSE))),"")</f>
        <v/>
      </c>
      <c r="G584" s="9" t="str">
        <f>IFERROR((IF(VLOOKUP(A584,'ECN-ECO_DATA'!B:J,8,FALSE)=0/1/1900,"",VLOOKUP(A584,'ECN-ECO_DATA'!B:J,8,FALSE))),"")</f>
        <v/>
      </c>
      <c r="H584" s="9" t="str">
        <f>IFERROR((IF(VLOOKUP(A584,'ECN-ECO_DATA'!B:J,9,FALSE)=0/1/1900,"",VLOOKUP(A584,'ECN-ECO_DATA'!B:J,9,FALSE))),"")</f>
        <v/>
      </c>
      <c r="I584" s="10" t="str">
        <f>IFERROR((IF(VLOOKUP(A584,'ECN-ECO_DATA'!B:Q,13,FALSE)="","",VLOOKUP(A584,'ECN-ECO_DATA'!B:Q,13,FALSE))),"")</f>
        <v/>
      </c>
      <c r="J584" s="10" t="str">
        <f>IFERROR((IF(VLOOKUP(A584,'ECN-ECO_DATA'!B:Q,14,FALSE)="","",VLOOKUP(A584,'ECN-ECO_DATA'!B:Q,14,FALSE))),"")</f>
        <v/>
      </c>
      <c r="K584" s="10" t="str">
        <f>IFERROR((IF(VLOOKUP(A584,'ECN-ECO_DATA'!B:Q,15,FALSE)="","",VLOOKUP(A584,'ECN-ECO_DATA'!B:Q,15,FALSE))),"")</f>
        <v/>
      </c>
      <c r="L584" s="10" t="str">
        <f>IFERROR((IF(VLOOKUP(A584,'ECN-ECO_DATA'!B:Q,16,FALSE)="","",VLOOKUP(A584,'ECN-ECO_DATA'!B:Q,16,FALSE))),"")</f>
        <v/>
      </c>
      <c r="M584" s="9" t="str">
        <f>IFERROR((IF(VLOOKUP(A584,'ECN-ECO_DATA'!B:V,18,FALSE)=0/1/1900,"",VLOOKUP(A584,'ECN-ECO_DATA'!B:V,18,FALSE))),"")</f>
        <v/>
      </c>
      <c r="N584" s="9" t="str">
        <f>IFERROR((IF(VLOOKUP(A584,'ECN-ECO_DATA'!B:V,19,FALSE)=0/1/1900,"",VLOOKUP(A584,'ECN-ECO_DATA'!B:V,19,FALSE))),"")</f>
        <v/>
      </c>
      <c r="O584" s="9" t="str">
        <f>IFERROR((IF(VLOOKUP(A584,'ECN-ECO_DATA'!B:V,20,FALSE)=0/1/1900,"",VLOOKUP(A584,'ECN-ECO_DATA'!B:V,20,FALSE))),"")</f>
        <v/>
      </c>
      <c r="P584" s="9" t="str">
        <f>IFERROR((IF(VLOOKUP(A584,'ECN-ECO_DATA'!B:V,21,FALSE)=0/1/1900,"",VLOOKUP(A584,'ECN-ECO_DATA'!B:V,21,FALSE))),"")</f>
        <v/>
      </c>
      <c r="Q584" s="10" t="str">
        <f t="shared" ca="1" si="45"/>
        <v/>
      </c>
      <c r="R584" s="4" t="str">
        <f t="shared" si="46"/>
        <v/>
      </c>
      <c r="S584" s="4" t="str">
        <f t="shared" si="47"/>
        <v/>
      </c>
      <c r="T584" s="4" t="str">
        <f t="shared" si="48"/>
        <v/>
      </c>
      <c r="U584" s="10" t="str">
        <f t="shared" si="49"/>
        <v/>
      </c>
      <c r="V584" s="4"/>
    </row>
    <row r="585" spans="2:22" x14ac:dyDescent="0.25">
      <c r="B585" s="4" t="str">
        <f>IFERROR(VLOOKUP(A585,'ECN-ECO_DATA'!B:G,4,FALSE),"")</f>
        <v/>
      </c>
      <c r="C585" s="9" t="str">
        <f>IFERROR(VLOOKUP(A585,'ECN-ECO_DATA'!B:G,5,FALSE),"")</f>
        <v/>
      </c>
      <c r="D585" s="9" t="str">
        <f ca="1">IFERROR((IF(VLOOKUP(A585,'ECN-ECO_DATA'!B:G,6,FALSE)=0/1/1900,TODAY(),VLOOKUP(A585,'ECN-ECO_DATA'!B:G,6,FALSE))),"")</f>
        <v/>
      </c>
      <c r="E585" s="9" t="str">
        <f>IFERROR((IF(VLOOKUP(A585,'ECN-ECO_DATA'!B:G,6,FALSE)=0/1/1900,"",VLOOKUP(A585,'ECN-ECO_DATA'!B:G,6,FALSE))),"")</f>
        <v/>
      </c>
      <c r="F585" s="9" t="str">
        <f>IFERROR((IF(VLOOKUP(A585,'ECN-ECO_DATA'!B:J,7,FALSE)=0/1/1900,"",VLOOKUP(A585,'ECN-ECO_DATA'!B:J,7,FALSE))),"")</f>
        <v/>
      </c>
      <c r="G585" s="9" t="str">
        <f>IFERROR((IF(VLOOKUP(A585,'ECN-ECO_DATA'!B:J,8,FALSE)=0/1/1900,"",VLOOKUP(A585,'ECN-ECO_DATA'!B:J,8,FALSE))),"")</f>
        <v/>
      </c>
      <c r="H585" s="9" t="str">
        <f>IFERROR((IF(VLOOKUP(A585,'ECN-ECO_DATA'!B:J,9,FALSE)=0/1/1900,"",VLOOKUP(A585,'ECN-ECO_DATA'!B:J,9,FALSE))),"")</f>
        <v/>
      </c>
      <c r="I585" s="10" t="str">
        <f>IFERROR((IF(VLOOKUP(A585,'ECN-ECO_DATA'!B:Q,13,FALSE)="","",VLOOKUP(A585,'ECN-ECO_DATA'!B:Q,13,FALSE))),"")</f>
        <v/>
      </c>
      <c r="J585" s="10" t="str">
        <f>IFERROR((IF(VLOOKUP(A585,'ECN-ECO_DATA'!B:Q,14,FALSE)="","",VLOOKUP(A585,'ECN-ECO_DATA'!B:Q,14,FALSE))),"")</f>
        <v/>
      </c>
      <c r="K585" s="10" t="str">
        <f>IFERROR((IF(VLOOKUP(A585,'ECN-ECO_DATA'!B:Q,15,FALSE)="","",VLOOKUP(A585,'ECN-ECO_DATA'!B:Q,15,FALSE))),"")</f>
        <v/>
      </c>
      <c r="L585" s="10" t="str">
        <f>IFERROR((IF(VLOOKUP(A585,'ECN-ECO_DATA'!B:Q,16,FALSE)="","",VLOOKUP(A585,'ECN-ECO_DATA'!B:Q,16,FALSE))),"")</f>
        <v/>
      </c>
      <c r="M585" s="9" t="str">
        <f>IFERROR((IF(VLOOKUP(A585,'ECN-ECO_DATA'!B:V,18,FALSE)=0/1/1900,"",VLOOKUP(A585,'ECN-ECO_DATA'!B:V,18,FALSE))),"")</f>
        <v/>
      </c>
      <c r="N585" s="9" t="str">
        <f>IFERROR((IF(VLOOKUP(A585,'ECN-ECO_DATA'!B:V,19,FALSE)=0/1/1900,"",VLOOKUP(A585,'ECN-ECO_DATA'!B:V,19,FALSE))),"")</f>
        <v/>
      </c>
      <c r="O585" s="9" t="str">
        <f>IFERROR((IF(VLOOKUP(A585,'ECN-ECO_DATA'!B:V,20,FALSE)=0/1/1900,"",VLOOKUP(A585,'ECN-ECO_DATA'!B:V,20,FALSE))),"")</f>
        <v/>
      </c>
      <c r="P585" s="9" t="str">
        <f>IFERROR((IF(VLOOKUP(A585,'ECN-ECO_DATA'!B:V,21,FALSE)=0/1/1900,"",VLOOKUP(A585,'ECN-ECO_DATA'!B:V,21,FALSE))),"")</f>
        <v/>
      </c>
      <c r="Q585" s="10" t="str">
        <f t="shared" ca="1" si="45"/>
        <v/>
      </c>
      <c r="R585" s="4" t="str">
        <f t="shared" si="46"/>
        <v/>
      </c>
      <c r="S585" s="4" t="str">
        <f t="shared" si="47"/>
        <v/>
      </c>
      <c r="T585" s="4" t="str">
        <f t="shared" si="48"/>
        <v/>
      </c>
      <c r="U585" s="10" t="str">
        <f t="shared" si="49"/>
        <v/>
      </c>
      <c r="V585" s="4"/>
    </row>
    <row r="586" spans="2:22" x14ac:dyDescent="0.25">
      <c r="B586" s="4" t="str">
        <f>IFERROR(VLOOKUP(A586,'ECN-ECO_DATA'!B:G,4,FALSE),"")</f>
        <v/>
      </c>
      <c r="C586" s="9" t="str">
        <f>IFERROR(VLOOKUP(A586,'ECN-ECO_DATA'!B:G,5,FALSE),"")</f>
        <v/>
      </c>
      <c r="D586" s="9" t="str">
        <f ca="1">IFERROR((IF(VLOOKUP(A586,'ECN-ECO_DATA'!B:G,6,FALSE)=0/1/1900,TODAY(),VLOOKUP(A586,'ECN-ECO_DATA'!B:G,6,FALSE))),"")</f>
        <v/>
      </c>
      <c r="E586" s="9" t="str">
        <f>IFERROR((IF(VLOOKUP(A586,'ECN-ECO_DATA'!B:G,6,FALSE)=0/1/1900,"",VLOOKUP(A586,'ECN-ECO_DATA'!B:G,6,FALSE))),"")</f>
        <v/>
      </c>
      <c r="F586" s="9" t="str">
        <f>IFERROR((IF(VLOOKUP(A586,'ECN-ECO_DATA'!B:J,7,FALSE)=0/1/1900,"",VLOOKUP(A586,'ECN-ECO_DATA'!B:J,7,FALSE))),"")</f>
        <v/>
      </c>
      <c r="G586" s="9" t="str">
        <f>IFERROR((IF(VLOOKUP(A586,'ECN-ECO_DATA'!B:J,8,FALSE)=0/1/1900,"",VLOOKUP(A586,'ECN-ECO_DATA'!B:J,8,FALSE))),"")</f>
        <v/>
      </c>
      <c r="H586" s="9" t="str">
        <f>IFERROR((IF(VLOOKUP(A586,'ECN-ECO_DATA'!B:J,9,FALSE)=0/1/1900,"",VLOOKUP(A586,'ECN-ECO_DATA'!B:J,9,FALSE))),"")</f>
        <v/>
      </c>
      <c r="I586" s="10" t="str">
        <f>IFERROR((IF(VLOOKUP(A586,'ECN-ECO_DATA'!B:Q,13,FALSE)="","",VLOOKUP(A586,'ECN-ECO_DATA'!B:Q,13,FALSE))),"")</f>
        <v/>
      </c>
      <c r="J586" s="10" t="str">
        <f>IFERROR((IF(VLOOKUP(A586,'ECN-ECO_DATA'!B:Q,14,FALSE)="","",VLOOKUP(A586,'ECN-ECO_DATA'!B:Q,14,FALSE))),"")</f>
        <v/>
      </c>
      <c r="K586" s="10" t="str">
        <f>IFERROR((IF(VLOOKUP(A586,'ECN-ECO_DATA'!B:Q,15,FALSE)="","",VLOOKUP(A586,'ECN-ECO_DATA'!B:Q,15,FALSE))),"")</f>
        <v/>
      </c>
      <c r="L586" s="10" t="str">
        <f>IFERROR((IF(VLOOKUP(A586,'ECN-ECO_DATA'!B:Q,16,FALSE)="","",VLOOKUP(A586,'ECN-ECO_DATA'!B:Q,16,FALSE))),"")</f>
        <v/>
      </c>
      <c r="M586" s="9" t="str">
        <f>IFERROR((IF(VLOOKUP(A586,'ECN-ECO_DATA'!B:V,18,FALSE)=0/1/1900,"",VLOOKUP(A586,'ECN-ECO_DATA'!B:V,18,FALSE))),"")</f>
        <v/>
      </c>
      <c r="N586" s="9" t="str">
        <f>IFERROR((IF(VLOOKUP(A586,'ECN-ECO_DATA'!B:V,19,FALSE)=0/1/1900,"",VLOOKUP(A586,'ECN-ECO_DATA'!B:V,19,FALSE))),"")</f>
        <v/>
      </c>
      <c r="O586" s="9" t="str">
        <f>IFERROR((IF(VLOOKUP(A586,'ECN-ECO_DATA'!B:V,20,FALSE)=0/1/1900,"",VLOOKUP(A586,'ECN-ECO_DATA'!B:V,20,FALSE))),"")</f>
        <v/>
      </c>
      <c r="P586" s="9" t="str">
        <f>IFERROR((IF(VLOOKUP(A586,'ECN-ECO_DATA'!B:V,21,FALSE)=0/1/1900,"",VLOOKUP(A586,'ECN-ECO_DATA'!B:V,21,FALSE))),"")</f>
        <v/>
      </c>
      <c r="Q586" s="10" t="str">
        <f t="shared" ca="1" si="45"/>
        <v/>
      </c>
      <c r="R586" s="4" t="str">
        <f t="shared" si="46"/>
        <v/>
      </c>
      <c r="S586" s="4" t="str">
        <f t="shared" si="47"/>
        <v/>
      </c>
      <c r="T586" s="4" t="str">
        <f t="shared" si="48"/>
        <v/>
      </c>
      <c r="U586" s="10" t="str">
        <f t="shared" si="49"/>
        <v/>
      </c>
      <c r="V586" s="4"/>
    </row>
    <row r="587" spans="2:22" x14ac:dyDescent="0.25">
      <c r="B587" s="4" t="str">
        <f>IFERROR(VLOOKUP(A587,'ECN-ECO_DATA'!B:G,4,FALSE),"")</f>
        <v/>
      </c>
      <c r="C587" s="9" t="str">
        <f>IFERROR(VLOOKUP(A587,'ECN-ECO_DATA'!B:G,5,FALSE),"")</f>
        <v/>
      </c>
      <c r="D587" s="9" t="str">
        <f ca="1">IFERROR((IF(VLOOKUP(A587,'ECN-ECO_DATA'!B:G,6,FALSE)=0/1/1900,TODAY(),VLOOKUP(A587,'ECN-ECO_DATA'!B:G,6,FALSE))),"")</f>
        <v/>
      </c>
      <c r="E587" s="9" t="str">
        <f>IFERROR((IF(VLOOKUP(A587,'ECN-ECO_DATA'!B:G,6,FALSE)=0/1/1900,"",VLOOKUP(A587,'ECN-ECO_DATA'!B:G,6,FALSE))),"")</f>
        <v/>
      </c>
      <c r="F587" s="9" t="str">
        <f>IFERROR((IF(VLOOKUP(A587,'ECN-ECO_DATA'!B:J,7,FALSE)=0/1/1900,"",VLOOKUP(A587,'ECN-ECO_DATA'!B:J,7,FALSE))),"")</f>
        <v/>
      </c>
      <c r="G587" s="9" t="str">
        <f>IFERROR((IF(VLOOKUP(A587,'ECN-ECO_DATA'!B:J,8,FALSE)=0/1/1900,"",VLOOKUP(A587,'ECN-ECO_DATA'!B:J,8,FALSE))),"")</f>
        <v/>
      </c>
      <c r="H587" s="9" t="str">
        <f>IFERROR((IF(VLOOKUP(A587,'ECN-ECO_DATA'!B:J,9,FALSE)=0/1/1900,"",VLOOKUP(A587,'ECN-ECO_DATA'!B:J,9,FALSE))),"")</f>
        <v/>
      </c>
      <c r="I587" s="10" t="str">
        <f>IFERROR((IF(VLOOKUP(A587,'ECN-ECO_DATA'!B:Q,13,FALSE)="","",VLOOKUP(A587,'ECN-ECO_DATA'!B:Q,13,FALSE))),"")</f>
        <v/>
      </c>
      <c r="J587" s="10" t="str">
        <f>IFERROR((IF(VLOOKUP(A587,'ECN-ECO_DATA'!B:Q,14,FALSE)="","",VLOOKUP(A587,'ECN-ECO_DATA'!B:Q,14,FALSE))),"")</f>
        <v/>
      </c>
      <c r="K587" s="10" t="str">
        <f>IFERROR((IF(VLOOKUP(A587,'ECN-ECO_DATA'!B:Q,15,FALSE)="","",VLOOKUP(A587,'ECN-ECO_DATA'!B:Q,15,FALSE))),"")</f>
        <v/>
      </c>
      <c r="L587" s="10" t="str">
        <f>IFERROR((IF(VLOOKUP(A587,'ECN-ECO_DATA'!B:Q,16,FALSE)="","",VLOOKUP(A587,'ECN-ECO_DATA'!B:Q,16,FALSE))),"")</f>
        <v/>
      </c>
      <c r="M587" s="9" t="str">
        <f>IFERROR((IF(VLOOKUP(A587,'ECN-ECO_DATA'!B:V,18,FALSE)=0/1/1900,"",VLOOKUP(A587,'ECN-ECO_DATA'!B:V,18,FALSE))),"")</f>
        <v/>
      </c>
      <c r="N587" s="9" t="str">
        <f>IFERROR((IF(VLOOKUP(A587,'ECN-ECO_DATA'!B:V,19,FALSE)=0/1/1900,"",VLOOKUP(A587,'ECN-ECO_DATA'!B:V,19,FALSE))),"")</f>
        <v/>
      </c>
      <c r="O587" s="9" t="str">
        <f>IFERROR((IF(VLOOKUP(A587,'ECN-ECO_DATA'!B:V,20,FALSE)=0/1/1900,"",VLOOKUP(A587,'ECN-ECO_DATA'!B:V,20,FALSE))),"")</f>
        <v/>
      </c>
      <c r="P587" s="9" t="str">
        <f>IFERROR((IF(VLOOKUP(A587,'ECN-ECO_DATA'!B:V,21,FALSE)=0/1/1900,"",VLOOKUP(A587,'ECN-ECO_DATA'!B:V,21,FALSE))),"")</f>
        <v/>
      </c>
      <c r="Q587" s="10" t="str">
        <f t="shared" ca="1" si="45"/>
        <v/>
      </c>
      <c r="R587" s="4" t="str">
        <f t="shared" si="46"/>
        <v/>
      </c>
      <c r="S587" s="4" t="str">
        <f t="shared" si="47"/>
        <v/>
      </c>
      <c r="T587" s="4" t="str">
        <f t="shared" si="48"/>
        <v/>
      </c>
      <c r="U587" s="10" t="str">
        <f t="shared" si="49"/>
        <v/>
      </c>
      <c r="V587" s="4"/>
    </row>
    <row r="588" spans="2:22" x14ac:dyDescent="0.25">
      <c r="B588" s="4" t="str">
        <f>IFERROR(VLOOKUP(A588,'ECN-ECO_DATA'!B:G,4,FALSE),"")</f>
        <v/>
      </c>
      <c r="C588" s="9" t="str">
        <f>IFERROR(VLOOKUP(A588,'ECN-ECO_DATA'!B:G,5,FALSE),"")</f>
        <v/>
      </c>
      <c r="D588" s="9" t="str">
        <f ca="1">IFERROR((IF(VLOOKUP(A588,'ECN-ECO_DATA'!B:G,6,FALSE)=0/1/1900,TODAY(),VLOOKUP(A588,'ECN-ECO_DATA'!B:G,6,FALSE))),"")</f>
        <v/>
      </c>
      <c r="E588" s="9" t="str">
        <f>IFERROR((IF(VLOOKUP(A588,'ECN-ECO_DATA'!B:G,6,FALSE)=0/1/1900,"",VLOOKUP(A588,'ECN-ECO_DATA'!B:G,6,FALSE))),"")</f>
        <v/>
      </c>
      <c r="F588" s="9" t="str">
        <f>IFERROR((IF(VLOOKUP(A588,'ECN-ECO_DATA'!B:J,7,FALSE)=0/1/1900,"",VLOOKUP(A588,'ECN-ECO_DATA'!B:J,7,FALSE))),"")</f>
        <v/>
      </c>
      <c r="G588" s="9" t="str">
        <f>IFERROR((IF(VLOOKUP(A588,'ECN-ECO_DATA'!B:J,8,FALSE)=0/1/1900,"",VLOOKUP(A588,'ECN-ECO_DATA'!B:J,8,FALSE))),"")</f>
        <v/>
      </c>
      <c r="H588" s="9" t="str">
        <f>IFERROR((IF(VLOOKUP(A588,'ECN-ECO_DATA'!B:J,9,FALSE)=0/1/1900,"",VLOOKUP(A588,'ECN-ECO_DATA'!B:J,9,FALSE))),"")</f>
        <v/>
      </c>
      <c r="I588" s="10" t="str">
        <f>IFERROR((IF(VLOOKUP(A588,'ECN-ECO_DATA'!B:Q,13,FALSE)="","",VLOOKUP(A588,'ECN-ECO_DATA'!B:Q,13,FALSE))),"")</f>
        <v/>
      </c>
      <c r="J588" s="10" t="str">
        <f>IFERROR((IF(VLOOKUP(A588,'ECN-ECO_DATA'!B:Q,14,FALSE)="","",VLOOKUP(A588,'ECN-ECO_DATA'!B:Q,14,FALSE))),"")</f>
        <v/>
      </c>
      <c r="K588" s="10" t="str">
        <f>IFERROR((IF(VLOOKUP(A588,'ECN-ECO_DATA'!B:Q,15,FALSE)="","",VLOOKUP(A588,'ECN-ECO_DATA'!B:Q,15,FALSE))),"")</f>
        <v/>
      </c>
      <c r="L588" s="10" t="str">
        <f>IFERROR((IF(VLOOKUP(A588,'ECN-ECO_DATA'!B:Q,16,FALSE)="","",VLOOKUP(A588,'ECN-ECO_DATA'!B:Q,16,FALSE))),"")</f>
        <v/>
      </c>
      <c r="M588" s="9" t="str">
        <f>IFERROR((IF(VLOOKUP(A588,'ECN-ECO_DATA'!B:V,18,FALSE)=0/1/1900,"",VLOOKUP(A588,'ECN-ECO_DATA'!B:V,18,FALSE))),"")</f>
        <v/>
      </c>
      <c r="N588" s="9" t="str">
        <f>IFERROR((IF(VLOOKUP(A588,'ECN-ECO_DATA'!B:V,19,FALSE)=0/1/1900,"",VLOOKUP(A588,'ECN-ECO_DATA'!B:V,19,FALSE))),"")</f>
        <v/>
      </c>
      <c r="O588" s="9" t="str">
        <f>IFERROR((IF(VLOOKUP(A588,'ECN-ECO_DATA'!B:V,20,FALSE)=0/1/1900,"",VLOOKUP(A588,'ECN-ECO_DATA'!B:V,20,FALSE))),"")</f>
        <v/>
      </c>
      <c r="P588" s="9" t="str">
        <f>IFERROR((IF(VLOOKUP(A588,'ECN-ECO_DATA'!B:V,21,FALSE)=0/1/1900,"",VLOOKUP(A588,'ECN-ECO_DATA'!B:V,21,FALSE))),"")</f>
        <v/>
      </c>
      <c r="Q588" s="10" t="str">
        <f t="shared" ca="1" si="45"/>
        <v/>
      </c>
      <c r="R588" s="4" t="str">
        <f t="shared" si="46"/>
        <v/>
      </c>
      <c r="S588" s="4" t="str">
        <f t="shared" si="47"/>
        <v/>
      </c>
      <c r="T588" s="4" t="str">
        <f t="shared" si="48"/>
        <v/>
      </c>
      <c r="U588" s="10" t="str">
        <f t="shared" si="49"/>
        <v/>
      </c>
      <c r="V588" s="4"/>
    </row>
    <row r="589" spans="2:22" x14ac:dyDescent="0.25">
      <c r="B589" s="4" t="str">
        <f>IFERROR(VLOOKUP(A589,'ECN-ECO_DATA'!B:G,4,FALSE),"")</f>
        <v/>
      </c>
      <c r="C589" s="9" t="str">
        <f>IFERROR(VLOOKUP(A589,'ECN-ECO_DATA'!B:G,5,FALSE),"")</f>
        <v/>
      </c>
      <c r="D589" s="9" t="str">
        <f ca="1">IFERROR((IF(VLOOKUP(A589,'ECN-ECO_DATA'!B:G,6,FALSE)=0/1/1900,TODAY(),VLOOKUP(A589,'ECN-ECO_DATA'!B:G,6,FALSE))),"")</f>
        <v/>
      </c>
      <c r="E589" s="9" t="str">
        <f>IFERROR((IF(VLOOKUP(A589,'ECN-ECO_DATA'!B:G,6,FALSE)=0/1/1900,"",VLOOKUP(A589,'ECN-ECO_DATA'!B:G,6,FALSE))),"")</f>
        <v/>
      </c>
      <c r="F589" s="9" t="str">
        <f>IFERROR((IF(VLOOKUP(A589,'ECN-ECO_DATA'!B:J,7,FALSE)=0/1/1900,"",VLOOKUP(A589,'ECN-ECO_DATA'!B:J,7,FALSE))),"")</f>
        <v/>
      </c>
      <c r="G589" s="9" t="str">
        <f>IFERROR((IF(VLOOKUP(A589,'ECN-ECO_DATA'!B:J,8,FALSE)=0/1/1900,"",VLOOKUP(A589,'ECN-ECO_DATA'!B:J,8,FALSE))),"")</f>
        <v/>
      </c>
      <c r="H589" s="9" t="str">
        <f>IFERROR((IF(VLOOKUP(A589,'ECN-ECO_DATA'!B:J,9,FALSE)=0/1/1900,"",VLOOKUP(A589,'ECN-ECO_DATA'!B:J,9,FALSE))),"")</f>
        <v/>
      </c>
      <c r="I589" s="10" t="str">
        <f>IFERROR((IF(VLOOKUP(A589,'ECN-ECO_DATA'!B:Q,13,FALSE)="","",VLOOKUP(A589,'ECN-ECO_DATA'!B:Q,13,FALSE))),"")</f>
        <v/>
      </c>
      <c r="J589" s="10" t="str">
        <f>IFERROR((IF(VLOOKUP(A589,'ECN-ECO_DATA'!B:Q,14,FALSE)="","",VLOOKUP(A589,'ECN-ECO_DATA'!B:Q,14,FALSE))),"")</f>
        <v/>
      </c>
      <c r="K589" s="10" t="str">
        <f>IFERROR((IF(VLOOKUP(A589,'ECN-ECO_DATA'!B:Q,15,FALSE)="","",VLOOKUP(A589,'ECN-ECO_DATA'!B:Q,15,FALSE))),"")</f>
        <v/>
      </c>
      <c r="L589" s="10" t="str">
        <f>IFERROR((IF(VLOOKUP(A589,'ECN-ECO_DATA'!B:Q,16,FALSE)="","",VLOOKUP(A589,'ECN-ECO_DATA'!B:Q,16,FALSE))),"")</f>
        <v/>
      </c>
      <c r="M589" s="9" t="str">
        <f>IFERROR((IF(VLOOKUP(A589,'ECN-ECO_DATA'!B:V,18,FALSE)=0/1/1900,"",VLOOKUP(A589,'ECN-ECO_DATA'!B:V,18,FALSE))),"")</f>
        <v/>
      </c>
      <c r="N589" s="9" t="str">
        <f>IFERROR((IF(VLOOKUP(A589,'ECN-ECO_DATA'!B:V,19,FALSE)=0/1/1900,"",VLOOKUP(A589,'ECN-ECO_DATA'!B:V,19,FALSE))),"")</f>
        <v/>
      </c>
      <c r="O589" s="9" t="str">
        <f>IFERROR((IF(VLOOKUP(A589,'ECN-ECO_DATA'!B:V,20,FALSE)=0/1/1900,"",VLOOKUP(A589,'ECN-ECO_DATA'!B:V,20,FALSE))),"")</f>
        <v/>
      </c>
      <c r="P589" s="9" t="str">
        <f>IFERROR((IF(VLOOKUP(A589,'ECN-ECO_DATA'!B:V,21,FALSE)=0/1/1900,"",VLOOKUP(A589,'ECN-ECO_DATA'!B:V,21,FALSE))),"")</f>
        <v/>
      </c>
      <c r="Q589" s="10" t="str">
        <f t="shared" ca="1" si="45"/>
        <v/>
      </c>
      <c r="R589" s="4" t="str">
        <f t="shared" si="46"/>
        <v/>
      </c>
      <c r="S589" s="4" t="str">
        <f t="shared" si="47"/>
        <v/>
      </c>
      <c r="T589" s="4" t="str">
        <f t="shared" si="48"/>
        <v/>
      </c>
      <c r="U589" s="10" t="str">
        <f t="shared" si="49"/>
        <v/>
      </c>
      <c r="V589" s="4"/>
    </row>
    <row r="590" spans="2:22" x14ac:dyDescent="0.25">
      <c r="B590" s="4" t="str">
        <f>IFERROR(VLOOKUP(A590,'ECN-ECO_DATA'!B:G,4,FALSE),"")</f>
        <v/>
      </c>
      <c r="C590" s="9" t="str">
        <f>IFERROR(VLOOKUP(A590,'ECN-ECO_DATA'!B:G,5,FALSE),"")</f>
        <v/>
      </c>
      <c r="D590" s="9" t="str">
        <f ca="1">IFERROR((IF(VLOOKUP(A590,'ECN-ECO_DATA'!B:G,6,FALSE)=0/1/1900,TODAY(),VLOOKUP(A590,'ECN-ECO_DATA'!B:G,6,FALSE))),"")</f>
        <v/>
      </c>
      <c r="E590" s="9" t="str">
        <f>IFERROR((IF(VLOOKUP(A590,'ECN-ECO_DATA'!B:G,6,FALSE)=0/1/1900,"",VLOOKUP(A590,'ECN-ECO_DATA'!B:G,6,FALSE))),"")</f>
        <v/>
      </c>
      <c r="F590" s="9" t="str">
        <f>IFERROR((IF(VLOOKUP(A590,'ECN-ECO_DATA'!B:J,7,FALSE)=0/1/1900,"",VLOOKUP(A590,'ECN-ECO_DATA'!B:J,7,FALSE))),"")</f>
        <v/>
      </c>
      <c r="G590" s="9" t="str">
        <f>IFERROR((IF(VLOOKUP(A590,'ECN-ECO_DATA'!B:J,8,FALSE)=0/1/1900,"",VLOOKUP(A590,'ECN-ECO_DATA'!B:J,8,FALSE))),"")</f>
        <v/>
      </c>
      <c r="H590" s="9" t="str">
        <f>IFERROR((IF(VLOOKUP(A590,'ECN-ECO_DATA'!B:J,9,FALSE)=0/1/1900,"",VLOOKUP(A590,'ECN-ECO_DATA'!B:J,9,FALSE))),"")</f>
        <v/>
      </c>
      <c r="I590" s="10" t="str">
        <f>IFERROR((IF(VLOOKUP(A590,'ECN-ECO_DATA'!B:Q,13,FALSE)="","",VLOOKUP(A590,'ECN-ECO_DATA'!B:Q,13,FALSE))),"")</f>
        <v/>
      </c>
      <c r="J590" s="10" t="str">
        <f>IFERROR((IF(VLOOKUP(A590,'ECN-ECO_DATA'!B:Q,14,FALSE)="","",VLOOKUP(A590,'ECN-ECO_DATA'!B:Q,14,FALSE))),"")</f>
        <v/>
      </c>
      <c r="K590" s="10" t="str">
        <f>IFERROR((IF(VLOOKUP(A590,'ECN-ECO_DATA'!B:Q,15,FALSE)="","",VLOOKUP(A590,'ECN-ECO_DATA'!B:Q,15,FALSE))),"")</f>
        <v/>
      </c>
      <c r="L590" s="10" t="str">
        <f>IFERROR((IF(VLOOKUP(A590,'ECN-ECO_DATA'!B:Q,16,FALSE)="","",VLOOKUP(A590,'ECN-ECO_DATA'!B:Q,16,FALSE))),"")</f>
        <v/>
      </c>
      <c r="M590" s="9" t="str">
        <f>IFERROR((IF(VLOOKUP(A590,'ECN-ECO_DATA'!B:V,18,FALSE)=0/1/1900,"",VLOOKUP(A590,'ECN-ECO_DATA'!B:V,18,FALSE))),"")</f>
        <v/>
      </c>
      <c r="N590" s="9" t="str">
        <f>IFERROR((IF(VLOOKUP(A590,'ECN-ECO_DATA'!B:V,19,FALSE)=0/1/1900,"",VLOOKUP(A590,'ECN-ECO_DATA'!B:V,19,FALSE))),"")</f>
        <v/>
      </c>
      <c r="O590" s="9" t="str">
        <f>IFERROR((IF(VLOOKUP(A590,'ECN-ECO_DATA'!B:V,20,FALSE)=0/1/1900,"",VLOOKUP(A590,'ECN-ECO_DATA'!B:V,20,FALSE))),"")</f>
        <v/>
      </c>
      <c r="P590" s="9" t="str">
        <f>IFERROR((IF(VLOOKUP(A590,'ECN-ECO_DATA'!B:V,21,FALSE)=0/1/1900,"",VLOOKUP(A590,'ECN-ECO_DATA'!B:V,21,FALSE))),"")</f>
        <v/>
      </c>
      <c r="Q590" s="10" t="str">
        <f t="shared" ca="1" si="45"/>
        <v/>
      </c>
      <c r="R590" s="4" t="str">
        <f t="shared" si="46"/>
        <v/>
      </c>
      <c r="S590" s="4" t="str">
        <f t="shared" si="47"/>
        <v/>
      </c>
      <c r="T590" s="4" t="str">
        <f t="shared" si="48"/>
        <v/>
      </c>
      <c r="U590" s="10" t="str">
        <f t="shared" si="49"/>
        <v/>
      </c>
      <c r="V590" s="4"/>
    </row>
    <row r="591" spans="2:22" x14ac:dyDescent="0.25">
      <c r="B591" s="4" t="str">
        <f>IFERROR(VLOOKUP(A591,'ECN-ECO_DATA'!B:G,4,FALSE),"")</f>
        <v/>
      </c>
      <c r="C591" s="9" t="str">
        <f>IFERROR(VLOOKUP(A591,'ECN-ECO_DATA'!B:G,5,FALSE),"")</f>
        <v/>
      </c>
      <c r="D591" s="9" t="str">
        <f ca="1">IFERROR((IF(VLOOKUP(A591,'ECN-ECO_DATA'!B:G,6,FALSE)=0/1/1900,TODAY(),VLOOKUP(A591,'ECN-ECO_DATA'!B:G,6,FALSE))),"")</f>
        <v/>
      </c>
      <c r="E591" s="9" t="str">
        <f>IFERROR((IF(VLOOKUP(A591,'ECN-ECO_DATA'!B:G,6,FALSE)=0/1/1900,"",VLOOKUP(A591,'ECN-ECO_DATA'!B:G,6,FALSE))),"")</f>
        <v/>
      </c>
      <c r="F591" s="9" t="str">
        <f>IFERROR((IF(VLOOKUP(A591,'ECN-ECO_DATA'!B:J,7,FALSE)=0/1/1900,"",VLOOKUP(A591,'ECN-ECO_DATA'!B:J,7,FALSE))),"")</f>
        <v/>
      </c>
      <c r="G591" s="9" t="str">
        <f>IFERROR((IF(VLOOKUP(A591,'ECN-ECO_DATA'!B:J,8,FALSE)=0/1/1900,"",VLOOKUP(A591,'ECN-ECO_DATA'!B:J,8,FALSE))),"")</f>
        <v/>
      </c>
      <c r="H591" s="9" t="str">
        <f>IFERROR((IF(VLOOKUP(A591,'ECN-ECO_DATA'!B:J,9,FALSE)=0/1/1900,"",VLOOKUP(A591,'ECN-ECO_DATA'!B:J,9,FALSE))),"")</f>
        <v/>
      </c>
      <c r="I591" s="10" t="str">
        <f>IFERROR((IF(VLOOKUP(A591,'ECN-ECO_DATA'!B:Q,13,FALSE)="","",VLOOKUP(A591,'ECN-ECO_DATA'!B:Q,13,FALSE))),"")</f>
        <v/>
      </c>
      <c r="J591" s="10" t="str">
        <f>IFERROR((IF(VLOOKUP(A591,'ECN-ECO_DATA'!B:Q,14,FALSE)="","",VLOOKUP(A591,'ECN-ECO_DATA'!B:Q,14,FALSE))),"")</f>
        <v/>
      </c>
      <c r="K591" s="10" t="str">
        <f>IFERROR((IF(VLOOKUP(A591,'ECN-ECO_DATA'!B:Q,15,FALSE)="","",VLOOKUP(A591,'ECN-ECO_DATA'!B:Q,15,FALSE))),"")</f>
        <v/>
      </c>
      <c r="L591" s="10" t="str">
        <f>IFERROR((IF(VLOOKUP(A591,'ECN-ECO_DATA'!B:Q,16,FALSE)="","",VLOOKUP(A591,'ECN-ECO_DATA'!B:Q,16,FALSE))),"")</f>
        <v/>
      </c>
      <c r="M591" s="9" t="str">
        <f>IFERROR((IF(VLOOKUP(A591,'ECN-ECO_DATA'!B:V,18,FALSE)=0/1/1900,"",VLOOKUP(A591,'ECN-ECO_DATA'!B:V,18,FALSE))),"")</f>
        <v/>
      </c>
      <c r="N591" s="9" t="str">
        <f>IFERROR((IF(VLOOKUP(A591,'ECN-ECO_DATA'!B:V,19,FALSE)=0/1/1900,"",VLOOKUP(A591,'ECN-ECO_DATA'!B:V,19,FALSE))),"")</f>
        <v/>
      </c>
      <c r="O591" s="9" t="str">
        <f>IFERROR((IF(VLOOKUP(A591,'ECN-ECO_DATA'!B:V,20,FALSE)=0/1/1900,"",VLOOKUP(A591,'ECN-ECO_DATA'!B:V,20,FALSE))),"")</f>
        <v/>
      </c>
      <c r="P591" s="9" t="str">
        <f>IFERROR((IF(VLOOKUP(A591,'ECN-ECO_DATA'!B:V,21,FALSE)=0/1/1900,"",VLOOKUP(A591,'ECN-ECO_DATA'!B:V,21,FALSE))),"")</f>
        <v/>
      </c>
      <c r="Q591" s="10" t="str">
        <f t="shared" ca="1" si="45"/>
        <v/>
      </c>
      <c r="R591" s="4" t="str">
        <f t="shared" si="46"/>
        <v/>
      </c>
      <c r="S591" s="4" t="str">
        <f t="shared" si="47"/>
        <v/>
      </c>
      <c r="T591" s="4" t="str">
        <f t="shared" si="48"/>
        <v/>
      </c>
      <c r="U591" s="10" t="str">
        <f t="shared" si="49"/>
        <v/>
      </c>
      <c r="V591" s="4"/>
    </row>
    <row r="592" spans="2:22" x14ac:dyDescent="0.25">
      <c r="B592" s="4" t="str">
        <f>IFERROR(VLOOKUP(A592,'ECN-ECO_DATA'!B:G,4,FALSE),"")</f>
        <v/>
      </c>
      <c r="C592" s="9" t="str">
        <f>IFERROR(VLOOKUP(A592,'ECN-ECO_DATA'!B:G,5,FALSE),"")</f>
        <v/>
      </c>
      <c r="D592" s="9" t="str">
        <f ca="1">IFERROR((IF(VLOOKUP(A592,'ECN-ECO_DATA'!B:G,6,FALSE)=0/1/1900,TODAY(),VLOOKUP(A592,'ECN-ECO_DATA'!B:G,6,FALSE))),"")</f>
        <v/>
      </c>
      <c r="E592" s="9" t="str">
        <f>IFERROR((IF(VLOOKUP(A592,'ECN-ECO_DATA'!B:G,6,FALSE)=0/1/1900,"",VLOOKUP(A592,'ECN-ECO_DATA'!B:G,6,FALSE))),"")</f>
        <v/>
      </c>
      <c r="F592" s="9" t="str">
        <f>IFERROR((IF(VLOOKUP(A592,'ECN-ECO_DATA'!B:J,7,FALSE)=0/1/1900,"",VLOOKUP(A592,'ECN-ECO_DATA'!B:J,7,FALSE))),"")</f>
        <v/>
      </c>
      <c r="G592" s="9" t="str">
        <f>IFERROR((IF(VLOOKUP(A592,'ECN-ECO_DATA'!B:J,8,FALSE)=0/1/1900,"",VLOOKUP(A592,'ECN-ECO_DATA'!B:J,8,FALSE))),"")</f>
        <v/>
      </c>
      <c r="H592" s="9" t="str">
        <f>IFERROR((IF(VLOOKUP(A592,'ECN-ECO_DATA'!B:J,9,FALSE)=0/1/1900,"",VLOOKUP(A592,'ECN-ECO_DATA'!B:J,9,FALSE))),"")</f>
        <v/>
      </c>
      <c r="I592" s="10" t="str">
        <f>IFERROR((IF(VLOOKUP(A592,'ECN-ECO_DATA'!B:Q,13,FALSE)="","",VLOOKUP(A592,'ECN-ECO_DATA'!B:Q,13,FALSE))),"")</f>
        <v/>
      </c>
      <c r="J592" s="10" t="str">
        <f>IFERROR((IF(VLOOKUP(A592,'ECN-ECO_DATA'!B:Q,14,FALSE)="","",VLOOKUP(A592,'ECN-ECO_DATA'!B:Q,14,FALSE))),"")</f>
        <v/>
      </c>
      <c r="K592" s="10" t="str">
        <f>IFERROR((IF(VLOOKUP(A592,'ECN-ECO_DATA'!B:Q,15,FALSE)="","",VLOOKUP(A592,'ECN-ECO_DATA'!B:Q,15,FALSE))),"")</f>
        <v/>
      </c>
      <c r="L592" s="10" t="str">
        <f>IFERROR((IF(VLOOKUP(A592,'ECN-ECO_DATA'!B:Q,16,FALSE)="","",VLOOKUP(A592,'ECN-ECO_DATA'!B:Q,16,FALSE))),"")</f>
        <v/>
      </c>
      <c r="M592" s="9" t="str">
        <f>IFERROR((IF(VLOOKUP(A592,'ECN-ECO_DATA'!B:V,18,FALSE)=0/1/1900,"",VLOOKUP(A592,'ECN-ECO_DATA'!B:V,18,FALSE))),"")</f>
        <v/>
      </c>
      <c r="N592" s="9" t="str">
        <f>IFERROR((IF(VLOOKUP(A592,'ECN-ECO_DATA'!B:V,19,FALSE)=0/1/1900,"",VLOOKUP(A592,'ECN-ECO_DATA'!B:V,19,FALSE))),"")</f>
        <v/>
      </c>
      <c r="O592" s="9" t="str">
        <f>IFERROR((IF(VLOOKUP(A592,'ECN-ECO_DATA'!B:V,20,FALSE)=0/1/1900,"",VLOOKUP(A592,'ECN-ECO_DATA'!B:V,20,FALSE))),"")</f>
        <v/>
      </c>
      <c r="P592" s="9" t="str">
        <f>IFERROR((IF(VLOOKUP(A592,'ECN-ECO_DATA'!B:V,21,FALSE)=0/1/1900,"",VLOOKUP(A592,'ECN-ECO_DATA'!B:V,21,FALSE))),"")</f>
        <v/>
      </c>
      <c r="Q592" s="10" t="str">
        <f t="shared" ca="1" si="45"/>
        <v/>
      </c>
      <c r="R592" s="4" t="str">
        <f t="shared" si="46"/>
        <v/>
      </c>
      <c r="S592" s="4" t="str">
        <f t="shared" si="47"/>
        <v/>
      </c>
      <c r="T592" s="4" t="str">
        <f t="shared" si="48"/>
        <v/>
      </c>
      <c r="U592" s="10" t="str">
        <f t="shared" si="49"/>
        <v/>
      </c>
      <c r="V592" s="4"/>
    </row>
    <row r="593" spans="2:22" x14ac:dyDescent="0.25">
      <c r="B593" s="4" t="str">
        <f>IFERROR(VLOOKUP(A593,'ECN-ECO_DATA'!B:G,4,FALSE),"")</f>
        <v/>
      </c>
      <c r="C593" s="9" t="str">
        <f>IFERROR(VLOOKUP(A593,'ECN-ECO_DATA'!B:G,5,FALSE),"")</f>
        <v/>
      </c>
      <c r="D593" s="9" t="str">
        <f ca="1">IFERROR((IF(VLOOKUP(A593,'ECN-ECO_DATA'!B:G,6,FALSE)=0/1/1900,TODAY(),VLOOKUP(A593,'ECN-ECO_DATA'!B:G,6,FALSE))),"")</f>
        <v/>
      </c>
      <c r="E593" s="9" t="str">
        <f>IFERROR((IF(VLOOKUP(A593,'ECN-ECO_DATA'!B:G,6,FALSE)=0/1/1900,"",VLOOKUP(A593,'ECN-ECO_DATA'!B:G,6,FALSE))),"")</f>
        <v/>
      </c>
      <c r="F593" s="9" t="str">
        <f>IFERROR((IF(VLOOKUP(A593,'ECN-ECO_DATA'!B:J,7,FALSE)=0/1/1900,"",VLOOKUP(A593,'ECN-ECO_DATA'!B:J,7,FALSE))),"")</f>
        <v/>
      </c>
      <c r="G593" s="9" t="str">
        <f>IFERROR((IF(VLOOKUP(A593,'ECN-ECO_DATA'!B:J,8,FALSE)=0/1/1900,"",VLOOKUP(A593,'ECN-ECO_DATA'!B:J,8,FALSE))),"")</f>
        <v/>
      </c>
      <c r="H593" s="9" t="str">
        <f>IFERROR((IF(VLOOKUP(A593,'ECN-ECO_DATA'!B:J,9,FALSE)=0/1/1900,"",VLOOKUP(A593,'ECN-ECO_DATA'!B:J,9,FALSE))),"")</f>
        <v/>
      </c>
      <c r="I593" s="10" t="str">
        <f>IFERROR((IF(VLOOKUP(A593,'ECN-ECO_DATA'!B:Q,13,FALSE)="","",VLOOKUP(A593,'ECN-ECO_DATA'!B:Q,13,FALSE))),"")</f>
        <v/>
      </c>
      <c r="J593" s="10" t="str">
        <f>IFERROR((IF(VLOOKUP(A593,'ECN-ECO_DATA'!B:Q,14,FALSE)="","",VLOOKUP(A593,'ECN-ECO_DATA'!B:Q,14,FALSE))),"")</f>
        <v/>
      </c>
      <c r="K593" s="10" t="str">
        <f>IFERROR((IF(VLOOKUP(A593,'ECN-ECO_DATA'!B:Q,15,FALSE)="","",VLOOKUP(A593,'ECN-ECO_DATA'!B:Q,15,FALSE))),"")</f>
        <v/>
      </c>
      <c r="L593" s="10" t="str">
        <f>IFERROR((IF(VLOOKUP(A593,'ECN-ECO_DATA'!B:Q,16,FALSE)="","",VLOOKUP(A593,'ECN-ECO_DATA'!B:Q,16,FALSE))),"")</f>
        <v/>
      </c>
      <c r="M593" s="9" t="str">
        <f>IFERROR((IF(VLOOKUP(A593,'ECN-ECO_DATA'!B:V,18,FALSE)=0/1/1900,"",VLOOKUP(A593,'ECN-ECO_DATA'!B:V,18,FALSE))),"")</f>
        <v/>
      </c>
      <c r="N593" s="9" t="str">
        <f>IFERROR((IF(VLOOKUP(A593,'ECN-ECO_DATA'!B:V,19,FALSE)=0/1/1900,"",VLOOKUP(A593,'ECN-ECO_DATA'!B:V,19,FALSE))),"")</f>
        <v/>
      </c>
      <c r="O593" s="9" t="str">
        <f>IFERROR((IF(VLOOKUP(A593,'ECN-ECO_DATA'!B:V,20,FALSE)=0/1/1900,"",VLOOKUP(A593,'ECN-ECO_DATA'!B:V,20,FALSE))),"")</f>
        <v/>
      </c>
      <c r="P593" s="9" t="str">
        <f>IFERROR((IF(VLOOKUP(A593,'ECN-ECO_DATA'!B:V,21,FALSE)=0/1/1900,"",VLOOKUP(A593,'ECN-ECO_DATA'!B:V,21,FALSE))),"")</f>
        <v/>
      </c>
      <c r="Q593" s="10" t="str">
        <f t="shared" ca="1" si="45"/>
        <v/>
      </c>
      <c r="R593" s="4" t="str">
        <f t="shared" si="46"/>
        <v/>
      </c>
      <c r="S593" s="4" t="str">
        <f t="shared" si="47"/>
        <v/>
      </c>
      <c r="T593" s="4" t="str">
        <f t="shared" si="48"/>
        <v/>
      </c>
      <c r="U593" s="10" t="str">
        <f t="shared" si="49"/>
        <v/>
      </c>
      <c r="V593" s="4"/>
    </row>
    <row r="594" spans="2:22" x14ac:dyDescent="0.25">
      <c r="B594" s="4" t="str">
        <f>IFERROR(VLOOKUP(A594,'ECN-ECO_DATA'!B:G,4,FALSE),"")</f>
        <v/>
      </c>
      <c r="C594" s="9" t="str">
        <f>IFERROR(VLOOKUP(A594,'ECN-ECO_DATA'!B:G,5,FALSE),"")</f>
        <v/>
      </c>
      <c r="D594" s="9" t="str">
        <f ca="1">IFERROR((IF(VLOOKUP(A594,'ECN-ECO_DATA'!B:G,6,FALSE)=0/1/1900,TODAY(),VLOOKUP(A594,'ECN-ECO_DATA'!B:G,6,FALSE))),"")</f>
        <v/>
      </c>
      <c r="E594" s="9" t="str">
        <f>IFERROR((IF(VLOOKUP(A594,'ECN-ECO_DATA'!B:G,6,FALSE)=0/1/1900,"",VLOOKUP(A594,'ECN-ECO_DATA'!B:G,6,FALSE))),"")</f>
        <v/>
      </c>
      <c r="F594" s="9" t="str">
        <f>IFERROR((IF(VLOOKUP(A594,'ECN-ECO_DATA'!B:J,7,FALSE)=0/1/1900,"",VLOOKUP(A594,'ECN-ECO_DATA'!B:J,7,FALSE))),"")</f>
        <v/>
      </c>
      <c r="G594" s="9" t="str">
        <f>IFERROR((IF(VLOOKUP(A594,'ECN-ECO_DATA'!B:J,8,FALSE)=0/1/1900,"",VLOOKUP(A594,'ECN-ECO_DATA'!B:J,8,FALSE))),"")</f>
        <v/>
      </c>
      <c r="H594" s="9" t="str">
        <f>IFERROR((IF(VLOOKUP(A594,'ECN-ECO_DATA'!B:J,9,FALSE)=0/1/1900,"",VLOOKUP(A594,'ECN-ECO_DATA'!B:J,9,FALSE))),"")</f>
        <v/>
      </c>
      <c r="I594" s="10" t="str">
        <f>IFERROR((IF(VLOOKUP(A594,'ECN-ECO_DATA'!B:Q,13,FALSE)="","",VLOOKUP(A594,'ECN-ECO_DATA'!B:Q,13,FALSE))),"")</f>
        <v/>
      </c>
      <c r="J594" s="10" t="str">
        <f>IFERROR((IF(VLOOKUP(A594,'ECN-ECO_DATA'!B:Q,14,FALSE)="","",VLOOKUP(A594,'ECN-ECO_DATA'!B:Q,14,FALSE))),"")</f>
        <v/>
      </c>
      <c r="K594" s="10" t="str">
        <f>IFERROR((IF(VLOOKUP(A594,'ECN-ECO_DATA'!B:Q,15,FALSE)="","",VLOOKUP(A594,'ECN-ECO_DATA'!B:Q,15,FALSE))),"")</f>
        <v/>
      </c>
      <c r="L594" s="10" t="str">
        <f>IFERROR((IF(VLOOKUP(A594,'ECN-ECO_DATA'!B:Q,16,FALSE)="","",VLOOKUP(A594,'ECN-ECO_DATA'!B:Q,16,FALSE))),"")</f>
        <v/>
      </c>
      <c r="M594" s="9" t="str">
        <f>IFERROR((IF(VLOOKUP(A594,'ECN-ECO_DATA'!B:V,18,FALSE)=0/1/1900,"",VLOOKUP(A594,'ECN-ECO_DATA'!B:V,18,FALSE))),"")</f>
        <v/>
      </c>
      <c r="N594" s="9" t="str">
        <f>IFERROR((IF(VLOOKUP(A594,'ECN-ECO_DATA'!B:V,19,FALSE)=0/1/1900,"",VLOOKUP(A594,'ECN-ECO_DATA'!B:V,19,FALSE))),"")</f>
        <v/>
      </c>
      <c r="O594" s="9" t="str">
        <f>IFERROR((IF(VLOOKUP(A594,'ECN-ECO_DATA'!B:V,20,FALSE)=0/1/1900,"",VLOOKUP(A594,'ECN-ECO_DATA'!B:V,20,FALSE))),"")</f>
        <v/>
      </c>
      <c r="P594" s="9" t="str">
        <f>IFERROR((IF(VLOOKUP(A594,'ECN-ECO_DATA'!B:V,21,FALSE)=0/1/1900,"",VLOOKUP(A594,'ECN-ECO_DATA'!B:V,21,FALSE))),"")</f>
        <v/>
      </c>
      <c r="Q594" s="10" t="str">
        <f t="shared" ca="1" si="45"/>
        <v/>
      </c>
      <c r="R594" s="4" t="str">
        <f t="shared" si="46"/>
        <v/>
      </c>
      <c r="S594" s="4" t="str">
        <f t="shared" si="47"/>
        <v/>
      </c>
      <c r="T594" s="4" t="str">
        <f t="shared" si="48"/>
        <v/>
      </c>
      <c r="U594" s="10" t="str">
        <f t="shared" si="49"/>
        <v/>
      </c>
      <c r="V594" s="4"/>
    </row>
    <row r="595" spans="2:22" x14ac:dyDescent="0.25">
      <c r="B595" s="4" t="str">
        <f>IFERROR(VLOOKUP(A595,'ECN-ECO_DATA'!B:G,4,FALSE),"")</f>
        <v/>
      </c>
      <c r="C595" s="9" t="str">
        <f>IFERROR(VLOOKUP(A595,'ECN-ECO_DATA'!B:G,5,FALSE),"")</f>
        <v/>
      </c>
      <c r="D595" s="9" t="str">
        <f ca="1">IFERROR((IF(VLOOKUP(A595,'ECN-ECO_DATA'!B:G,6,FALSE)=0/1/1900,TODAY(),VLOOKUP(A595,'ECN-ECO_DATA'!B:G,6,FALSE))),"")</f>
        <v/>
      </c>
      <c r="E595" s="9" t="str">
        <f>IFERROR((IF(VLOOKUP(A595,'ECN-ECO_DATA'!B:G,6,FALSE)=0/1/1900,"",VLOOKUP(A595,'ECN-ECO_DATA'!B:G,6,FALSE))),"")</f>
        <v/>
      </c>
      <c r="F595" s="9" t="str">
        <f>IFERROR((IF(VLOOKUP(A595,'ECN-ECO_DATA'!B:J,7,FALSE)=0/1/1900,"",VLOOKUP(A595,'ECN-ECO_DATA'!B:J,7,FALSE))),"")</f>
        <v/>
      </c>
      <c r="G595" s="9" t="str">
        <f>IFERROR((IF(VLOOKUP(A595,'ECN-ECO_DATA'!B:J,8,FALSE)=0/1/1900,"",VLOOKUP(A595,'ECN-ECO_DATA'!B:J,8,FALSE))),"")</f>
        <v/>
      </c>
      <c r="H595" s="9" t="str">
        <f>IFERROR((IF(VLOOKUP(A595,'ECN-ECO_DATA'!B:J,9,FALSE)=0/1/1900,"",VLOOKUP(A595,'ECN-ECO_DATA'!B:J,9,FALSE))),"")</f>
        <v/>
      </c>
      <c r="I595" s="10" t="str">
        <f>IFERROR((IF(VLOOKUP(A595,'ECN-ECO_DATA'!B:Q,13,FALSE)="","",VLOOKUP(A595,'ECN-ECO_DATA'!B:Q,13,FALSE))),"")</f>
        <v/>
      </c>
      <c r="J595" s="10" t="str">
        <f>IFERROR((IF(VLOOKUP(A595,'ECN-ECO_DATA'!B:Q,14,FALSE)="","",VLOOKUP(A595,'ECN-ECO_DATA'!B:Q,14,FALSE))),"")</f>
        <v/>
      </c>
      <c r="K595" s="10" t="str">
        <f>IFERROR((IF(VLOOKUP(A595,'ECN-ECO_DATA'!B:Q,15,FALSE)="","",VLOOKUP(A595,'ECN-ECO_DATA'!B:Q,15,FALSE))),"")</f>
        <v/>
      </c>
      <c r="L595" s="10" t="str">
        <f>IFERROR((IF(VLOOKUP(A595,'ECN-ECO_DATA'!B:Q,16,FALSE)="","",VLOOKUP(A595,'ECN-ECO_DATA'!B:Q,16,FALSE))),"")</f>
        <v/>
      </c>
      <c r="M595" s="9" t="str">
        <f>IFERROR((IF(VLOOKUP(A595,'ECN-ECO_DATA'!B:V,18,FALSE)=0/1/1900,"",VLOOKUP(A595,'ECN-ECO_DATA'!B:V,18,FALSE))),"")</f>
        <v/>
      </c>
      <c r="N595" s="9" t="str">
        <f>IFERROR((IF(VLOOKUP(A595,'ECN-ECO_DATA'!B:V,19,FALSE)=0/1/1900,"",VLOOKUP(A595,'ECN-ECO_DATA'!B:V,19,FALSE))),"")</f>
        <v/>
      </c>
      <c r="O595" s="9" t="str">
        <f>IFERROR((IF(VLOOKUP(A595,'ECN-ECO_DATA'!B:V,20,FALSE)=0/1/1900,"",VLOOKUP(A595,'ECN-ECO_DATA'!B:V,20,FALSE))),"")</f>
        <v/>
      </c>
      <c r="P595" s="9" t="str">
        <f>IFERROR((IF(VLOOKUP(A595,'ECN-ECO_DATA'!B:V,21,FALSE)=0/1/1900,"",VLOOKUP(A595,'ECN-ECO_DATA'!B:V,21,FALSE))),"")</f>
        <v/>
      </c>
      <c r="Q595" s="10" t="str">
        <f t="shared" ca="1" si="45"/>
        <v/>
      </c>
      <c r="R595" s="4" t="str">
        <f t="shared" si="46"/>
        <v/>
      </c>
      <c r="S595" s="4" t="str">
        <f t="shared" si="47"/>
        <v/>
      </c>
      <c r="T595" s="4" t="str">
        <f t="shared" si="48"/>
        <v/>
      </c>
      <c r="U595" s="10" t="str">
        <f t="shared" si="49"/>
        <v/>
      </c>
      <c r="V595" s="4"/>
    </row>
    <row r="596" spans="2:22" x14ac:dyDescent="0.25">
      <c r="B596" s="4" t="str">
        <f>IFERROR(VLOOKUP(A596,'ECN-ECO_DATA'!B:G,4,FALSE),"")</f>
        <v/>
      </c>
      <c r="C596" s="9" t="str">
        <f>IFERROR(VLOOKUP(A596,'ECN-ECO_DATA'!B:G,5,FALSE),"")</f>
        <v/>
      </c>
      <c r="D596" s="9" t="str">
        <f ca="1">IFERROR((IF(VLOOKUP(A596,'ECN-ECO_DATA'!B:G,6,FALSE)=0/1/1900,TODAY(),VLOOKUP(A596,'ECN-ECO_DATA'!B:G,6,FALSE))),"")</f>
        <v/>
      </c>
      <c r="E596" s="9" t="str">
        <f>IFERROR((IF(VLOOKUP(A596,'ECN-ECO_DATA'!B:G,6,FALSE)=0/1/1900,"",VLOOKUP(A596,'ECN-ECO_DATA'!B:G,6,FALSE))),"")</f>
        <v/>
      </c>
      <c r="F596" s="9" t="str">
        <f>IFERROR((IF(VLOOKUP(A596,'ECN-ECO_DATA'!B:J,7,FALSE)=0/1/1900,"",VLOOKUP(A596,'ECN-ECO_DATA'!B:J,7,FALSE))),"")</f>
        <v/>
      </c>
      <c r="G596" s="9" t="str">
        <f>IFERROR((IF(VLOOKUP(A596,'ECN-ECO_DATA'!B:J,8,FALSE)=0/1/1900,"",VLOOKUP(A596,'ECN-ECO_DATA'!B:J,8,FALSE))),"")</f>
        <v/>
      </c>
      <c r="H596" s="9" t="str">
        <f>IFERROR((IF(VLOOKUP(A596,'ECN-ECO_DATA'!B:J,9,FALSE)=0/1/1900,"",VLOOKUP(A596,'ECN-ECO_DATA'!B:J,9,FALSE))),"")</f>
        <v/>
      </c>
      <c r="I596" s="10" t="str">
        <f>IFERROR((IF(VLOOKUP(A596,'ECN-ECO_DATA'!B:Q,13,FALSE)="","",VLOOKUP(A596,'ECN-ECO_DATA'!B:Q,13,FALSE))),"")</f>
        <v/>
      </c>
      <c r="J596" s="10" t="str">
        <f>IFERROR((IF(VLOOKUP(A596,'ECN-ECO_DATA'!B:Q,14,FALSE)="","",VLOOKUP(A596,'ECN-ECO_DATA'!B:Q,14,FALSE))),"")</f>
        <v/>
      </c>
      <c r="K596" s="10" t="str">
        <f>IFERROR((IF(VLOOKUP(A596,'ECN-ECO_DATA'!B:Q,15,FALSE)="","",VLOOKUP(A596,'ECN-ECO_DATA'!B:Q,15,FALSE))),"")</f>
        <v/>
      </c>
      <c r="L596" s="10" t="str">
        <f>IFERROR((IF(VLOOKUP(A596,'ECN-ECO_DATA'!B:Q,16,FALSE)="","",VLOOKUP(A596,'ECN-ECO_DATA'!B:Q,16,FALSE))),"")</f>
        <v/>
      </c>
      <c r="M596" s="9" t="str">
        <f>IFERROR((IF(VLOOKUP(A596,'ECN-ECO_DATA'!B:V,18,FALSE)=0/1/1900,"",VLOOKUP(A596,'ECN-ECO_DATA'!B:V,18,FALSE))),"")</f>
        <v/>
      </c>
      <c r="N596" s="9" t="str">
        <f>IFERROR((IF(VLOOKUP(A596,'ECN-ECO_DATA'!B:V,19,FALSE)=0/1/1900,"",VLOOKUP(A596,'ECN-ECO_DATA'!B:V,19,FALSE))),"")</f>
        <v/>
      </c>
      <c r="O596" s="9" t="str">
        <f>IFERROR((IF(VLOOKUP(A596,'ECN-ECO_DATA'!B:V,20,FALSE)=0/1/1900,"",VLOOKUP(A596,'ECN-ECO_DATA'!B:V,20,FALSE))),"")</f>
        <v/>
      </c>
      <c r="P596" s="9" t="str">
        <f>IFERROR((IF(VLOOKUP(A596,'ECN-ECO_DATA'!B:V,21,FALSE)=0/1/1900,"",VLOOKUP(A596,'ECN-ECO_DATA'!B:V,21,FALSE))),"")</f>
        <v/>
      </c>
      <c r="Q596" s="10" t="str">
        <f t="shared" ca="1" si="45"/>
        <v/>
      </c>
      <c r="R596" s="4" t="str">
        <f t="shared" si="46"/>
        <v/>
      </c>
      <c r="S596" s="4" t="str">
        <f t="shared" si="47"/>
        <v/>
      </c>
      <c r="T596" s="4" t="str">
        <f t="shared" si="48"/>
        <v/>
      </c>
      <c r="U596" s="10" t="str">
        <f t="shared" si="49"/>
        <v/>
      </c>
      <c r="V596" s="4"/>
    </row>
    <row r="597" spans="2:22" x14ac:dyDescent="0.25">
      <c r="B597" s="4" t="str">
        <f>IFERROR(VLOOKUP(A597,'ECN-ECO_DATA'!B:G,4,FALSE),"")</f>
        <v/>
      </c>
      <c r="C597" s="9" t="str">
        <f>IFERROR(VLOOKUP(A597,'ECN-ECO_DATA'!B:G,5,FALSE),"")</f>
        <v/>
      </c>
      <c r="D597" s="9" t="str">
        <f ca="1">IFERROR((IF(VLOOKUP(A597,'ECN-ECO_DATA'!B:G,6,FALSE)=0/1/1900,TODAY(),VLOOKUP(A597,'ECN-ECO_DATA'!B:G,6,FALSE))),"")</f>
        <v/>
      </c>
      <c r="E597" s="9" t="str">
        <f>IFERROR((IF(VLOOKUP(A597,'ECN-ECO_DATA'!B:G,6,FALSE)=0/1/1900,"",VLOOKUP(A597,'ECN-ECO_DATA'!B:G,6,FALSE))),"")</f>
        <v/>
      </c>
      <c r="F597" s="9" t="str">
        <f>IFERROR((IF(VLOOKUP(A597,'ECN-ECO_DATA'!B:J,7,FALSE)=0/1/1900,"",VLOOKUP(A597,'ECN-ECO_DATA'!B:J,7,FALSE))),"")</f>
        <v/>
      </c>
      <c r="G597" s="9" t="str">
        <f>IFERROR((IF(VLOOKUP(A597,'ECN-ECO_DATA'!B:J,8,FALSE)=0/1/1900,"",VLOOKUP(A597,'ECN-ECO_DATA'!B:J,8,FALSE))),"")</f>
        <v/>
      </c>
      <c r="H597" s="9" t="str">
        <f>IFERROR((IF(VLOOKUP(A597,'ECN-ECO_DATA'!B:J,9,FALSE)=0/1/1900,"",VLOOKUP(A597,'ECN-ECO_DATA'!B:J,9,FALSE))),"")</f>
        <v/>
      </c>
      <c r="I597" s="10" t="str">
        <f>IFERROR((IF(VLOOKUP(A597,'ECN-ECO_DATA'!B:Q,13,FALSE)="","",VLOOKUP(A597,'ECN-ECO_DATA'!B:Q,13,FALSE))),"")</f>
        <v/>
      </c>
      <c r="J597" s="10" t="str">
        <f>IFERROR((IF(VLOOKUP(A597,'ECN-ECO_DATA'!B:Q,14,FALSE)="","",VLOOKUP(A597,'ECN-ECO_DATA'!B:Q,14,FALSE))),"")</f>
        <v/>
      </c>
      <c r="K597" s="10" t="str">
        <f>IFERROR((IF(VLOOKUP(A597,'ECN-ECO_DATA'!B:Q,15,FALSE)="","",VLOOKUP(A597,'ECN-ECO_DATA'!B:Q,15,FALSE))),"")</f>
        <v/>
      </c>
      <c r="L597" s="10" t="str">
        <f>IFERROR((IF(VLOOKUP(A597,'ECN-ECO_DATA'!B:Q,16,FALSE)="","",VLOOKUP(A597,'ECN-ECO_DATA'!B:Q,16,FALSE))),"")</f>
        <v/>
      </c>
      <c r="M597" s="9" t="str">
        <f>IFERROR((IF(VLOOKUP(A597,'ECN-ECO_DATA'!B:V,18,FALSE)=0/1/1900,"",VLOOKUP(A597,'ECN-ECO_DATA'!B:V,18,FALSE))),"")</f>
        <v/>
      </c>
      <c r="N597" s="9" t="str">
        <f>IFERROR((IF(VLOOKUP(A597,'ECN-ECO_DATA'!B:V,19,FALSE)=0/1/1900,"",VLOOKUP(A597,'ECN-ECO_DATA'!B:V,19,FALSE))),"")</f>
        <v/>
      </c>
      <c r="O597" s="9" t="str">
        <f>IFERROR((IF(VLOOKUP(A597,'ECN-ECO_DATA'!B:V,20,FALSE)=0/1/1900,"",VLOOKUP(A597,'ECN-ECO_DATA'!B:V,20,FALSE))),"")</f>
        <v/>
      </c>
      <c r="P597" s="9" t="str">
        <f>IFERROR((IF(VLOOKUP(A597,'ECN-ECO_DATA'!B:V,21,FALSE)=0/1/1900,"",VLOOKUP(A597,'ECN-ECO_DATA'!B:V,21,FALSE))),"")</f>
        <v/>
      </c>
      <c r="Q597" s="10" t="str">
        <f t="shared" ca="1" si="45"/>
        <v/>
      </c>
      <c r="R597" s="4" t="str">
        <f t="shared" si="46"/>
        <v/>
      </c>
      <c r="S597" s="4" t="str">
        <f t="shared" si="47"/>
        <v/>
      </c>
      <c r="T597" s="4" t="str">
        <f t="shared" si="48"/>
        <v/>
      </c>
      <c r="U597" s="10" t="str">
        <f t="shared" si="49"/>
        <v/>
      </c>
      <c r="V597" s="4"/>
    </row>
    <row r="598" spans="2:22" x14ac:dyDescent="0.25">
      <c r="B598" s="4" t="str">
        <f>IFERROR(VLOOKUP(A598,'ECN-ECO_DATA'!B:G,4,FALSE),"")</f>
        <v/>
      </c>
      <c r="C598" s="9" t="str">
        <f>IFERROR(VLOOKUP(A598,'ECN-ECO_DATA'!B:G,5,FALSE),"")</f>
        <v/>
      </c>
      <c r="D598" s="9" t="str">
        <f ca="1">IFERROR((IF(VLOOKUP(A598,'ECN-ECO_DATA'!B:G,6,FALSE)=0/1/1900,TODAY(),VLOOKUP(A598,'ECN-ECO_DATA'!B:G,6,FALSE))),"")</f>
        <v/>
      </c>
      <c r="E598" s="9" t="str">
        <f>IFERROR((IF(VLOOKUP(A598,'ECN-ECO_DATA'!B:G,6,FALSE)=0/1/1900,"",VLOOKUP(A598,'ECN-ECO_DATA'!B:G,6,FALSE))),"")</f>
        <v/>
      </c>
      <c r="F598" s="9" t="str">
        <f>IFERROR((IF(VLOOKUP(A598,'ECN-ECO_DATA'!B:J,7,FALSE)=0/1/1900,"",VLOOKUP(A598,'ECN-ECO_DATA'!B:J,7,FALSE))),"")</f>
        <v/>
      </c>
      <c r="G598" s="9" t="str">
        <f>IFERROR((IF(VLOOKUP(A598,'ECN-ECO_DATA'!B:J,8,FALSE)=0/1/1900,"",VLOOKUP(A598,'ECN-ECO_DATA'!B:J,8,FALSE))),"")</f>
        <v/>
      </c>
      <c r="H598" s="9" t="str">
        <f>IFERROR((IF(VLOOKUP(A598,'ECN-ECO_DATA'!B:J,9,FALSE)=0/1/1900,"",VLOOKUP(A598,'ECN-ECO_DATA'!B:J,9,FALSE))),"")</f>
        <v/>
      </c>
      <c r="I598" s="10" t="str">
        <f>IFERROR((IF(VLOOKUP(A598,'ECN-ECO_DATA'!B:Q,13,FALSE)="","",VLOOKUP(A598,'ECN-ECO_DATA'!B:Q,13,FALSE))),"")</f>
        <v/>
      </c>
      <c r="J598" s="10" t="str">
        <f>IFERROR((IF(VLOOKUP(A598,'ECN-ECO_DATA'!B:Q,14,FALSE)="","",VLOOKUP(A598,'ECN-ECO_DATA'!B:Q,14,FALSE))),"")</f>
        <v/>
      </c>
      <c r="K598" s="10" t="str">
        <f>IFERROR((IF(VLOOKUP(A598,'ECN-ECO_DATA'!B:Q,15,FALSE)="","",VLOOKUP(A598,'ECN-ECO_DATA'!B:Q,15,FALSE))),"")</f>
        <v/>
      </c>
      <c r="L598" s="10" t="str">
        <f>IFERROR((IF(VLOOKUP(A598,'ECN-ECO_DATA'!B:Q,16,FALSE)="","",VLOOKUP(A598,'ECN-ECO_DATA'!B:Q,16,FALSE))),"")</f>
        <v/>
      </c>
      <c r="M598" s="9" t="str">
        <f>IFERROR((IF(VLOOKUP(A598,'ECN-ECO_DATA'!B:V,18,FALSE)=0/1/1900,"",VLOOKUP(A598,'ECN-ECO_DATA'!B:V,18,FALSE))),"")</f>
        <v/>
      </c>
      <c r="N598" s="9" t="str">
        <f>IFERROR((IF(VLOOKUP(A598,'ECN-ECO_DATA'!B:V,19,FALSE)=0/1/1900,"",VLOOKUP(A598,'ECN-ECO_DATA'!B:V,19,FALSE))),"")</f>
        <v/>
      </c>
      <c r="O598" s="9" t="str">
        <f>IFERROR((IF(VLOOKUP(A598,'ECN-ECO_DATA'!B:V,20,FALSE)=0/1/1900,"",VLOOKUP(A598,'ECN-ECO_DATA'!B:V,20,FALSE))),"")</f>
        <v/>
      </c>
      <c r="P598" s="9" t="str">
        <f>IFERROR((IF(VLOOKUP(A598,'ECN-ECO_DATA'!B:V,21,FALSE)=0/1/1900,"",VLOOKUP(A598,'ECN-ECO_DATA'!B:V,21,FALSE))),"")</f>
        <v/>
      </c>
      <c r="Q598" s="10" t="str">
        <f t="shared" ca="1" si="45"/>
        <v/>
      </c>
      <c r="R598" s="4" t="str">
        <f t="shared" si="46"/>
        <v/>
      </c>
      <c r="S598" s="4" t="str">
        <f t="shared" si="47"/>
        <v/>
      </c>
      <c r="T598" s="4" t="str">
        <f t="shared" si="48"/>
        <v/>
      </c>
      <c r="U598" s="10" t="str">
        <f t="shared" si="49"/>
        <v/>
      </c>
      <c r="V598" s="4"/>
    </row>
    <row r="599" spans="2:22" x14ac:dyDescent="0.25">
      <c r="B599" s="4" t="str">
        <f>IFERROR(VLOOKUP(A599,'ECN-ECO_DATA'!B:G,4,FALSE),"")</f>
        <v/>
      </c>
      <c r="C599" s="9" t="str">
        <f>IFERROR(VLOOKUP(A599,'ECN-ECO_DATA'!B:G,5,FALSE),"")</f>
        <v/>
      </c>
      <c r="D599" s="9" t="str">
        <f ca="1">IFERROR((IF(VLOOKUP(A599,'ECN-ECO_DATA'!B:G,6,FALSE)=0/1/1900,TODAY(),VLOOKUP(A599,'ECN-ECO_DATA'!B:G,6,FALSE))),"")</f>
        <v/>
      </c>
      <c r="E599" s="9" t="str">
        <f>IFERROR((IF(VLOOKUP(A599,'ECN-ECO_DATA'!B:G,6,FALSE)=0/1/1900,"",VLOOKUP(A599,'ECN-ECO_DATA'!B:G,6,FALSE))),"")</f>
        <v/>
      </c>
      <c r="F599" s="9" t="str">
        <f>IFERROR((IF(VLOOKUP(A599,'ECN-ECO_DATA'!B:J,7,FALSE)=0/1/1900,"",VLOOKUP(A599,'ECN-ECO_DATA'!B:J,7,FALSE))),"")</f>
        <v/>
      </c>
      <c r="G599" s="9" t="str">
        <f>IFERROR((IF(VLOOKUP(A599,'ECN-ECO_DATA'!B:J,8,FALSE)=0/1/1900,"",VLOOKUP(A599,'ECN-ECO_DATA'!B:J,8,FALSE))),"")</f>
        <v/>
      </c>
      <c r="H599" s="9" t="str">
        <f>IFERROR((IF(VLOOKUP(A599,'ECN-ECO_DATA'!B:J,9,FALSE)=0/1/1900,"",VLOOKUP(A599,'ECN-ECO_DATA'!B:J,9,FALSE))),"")</f>
        <v/>
      </c>
      <c r="I599" s="10" t="str">
        <f>IFERROR((IF(VLOOKUP(A599,'ECN-ECO_DATA'!B:Q,13,FALSE)="","",VLOOKUP(A599,'ECN-ECO_DATA'!B:Q,13,FALSE))),"")</f>
        <v/>
      </c>
      <c r="J599" s="10" t="str">
        <f>IFERROR((IF(VLOOKUP(A599,'ECN-ECO_DATA'!B:Q,14,FALSE)="","",VLOOKUP(A599,'ECN-ECO_DATA'!B:Q,14,FALSE))),"")</f>
        <v/>
      </c>
      <c r="K599" s="10" t="str">
        <f>IFERROR((IF(VLOOKUP(A599,'ECN-ECO_DATA'!B:Q,15,FALSE)="","",VLOOKUP(A599,'ECN-ECO_DATA'!B:Q,15,FALSE))),"")</f>
        <v/>
      </c>
      <c r="L599" s="10" t="str">
        <f>IFERROR((IF(VLOOKUP(A599,'ECN-ECO_DATA'!B:Q,16,FALSE)="","",VLOOKUP(A599,'ECN-ECO_DATA'!B:Q,16,FALSE))),"")</f>
        <v/>
      </c>
      <c r="M599" s="9" t="str">
        <f>IFERROR((IF(VLOOKUP(A599,'ECN-ECO_DATA'!B:V,18,FALSE)=0/1/1900,"",VLOOKUP(A599,'ECN-ECO_DATA'!B:V,18,FALSE))),"")</f>
        <v/>
      </c>
      <c r="N599" s="9" t="str">
        <f>IFERROR((IF(VLOOKUP(A599,'ECN-ECO_DATA'!B:V,19,FALSE)=0/1/1900,"",VLOOKUP(A599,'ECN-ECO_DATA'!B:V,19,FALSE))),"")</f>
        <v/>
      </c>
      <c r="O599" s="9" t="str">
        <f>IFERROR((IF(VLOOKUP(A599,'ECN-ECO_DATA'!B:V,20,FALSE)=0/1/1900,"",VLOOKUP(A599,'ECN-ECO_DATA'!B:V,20,FALSE))),"")</f>
        <v/>
      </c>
      <c r="P599" s="9" t="str">
        <f>IFERROR((IF(VLOOKUP(A599,'ECN-ECO_DATA'!B:V,21,FALSE)=0/1/1900,"",VLOOKUP(A599,'ECN-ECO_DATA'!B:V,21,FALSE))),"")</f>
        <v/>
      </c>
      <c r="Q599" s="10" t="str">
        <f t="shared" ca="1" si="45"/>
        <v/>
      </c>
      <c r="R599" s="4" t="str">
        <f t="shared" si="46"/>
        <v/>
      </c>
      <c r="S599" s="4" t="str">
        <f t="shared" si="47"/>
        <v/>
      </c>
      <c r="T599" s="4" t="str">
        <f t="shared" si="48"/>
        <v/>
      </c>
      <c r="U599" s="10" t="str">
        <f t="shared" si="49"/>
        <v/>
      </c>
      <c r="V599" s="4"/>
    </row>
    <row r="600" spans="2:22" x14ac:dyDescent="0.25">
      <c r="B600" s="4" t="str">
        <f>IFERROR(VLOOKUP(A600,'ECN-ECO_DATA'!B:G,4,FALSE),"")</f>
        <v/>
      </c>
      <c r="C600" s="9" t="str">
        <f>IFERROR(VLOOKUP(A600,'ECN-ECO_DATA'!B:G,5,FALSE),"")</f>
        <v/>
      </c>
      <c r="D600" s="9" t="str">
        <f ca="1">IFERROR((IF(VLOOKUP(A600,'ECN-ECO_DATA'!B:G,6,FALSE)=0/1/1900,TODAY(),VLOOKUP(A600,'ECN-ECO_DATA'!B:G,6,FALSE))),"")</f>
        <v/>
      </c>
      <c r="E600" s="9" t="str">
        <f>IFERROR((IF(VLOOKUP(A600,'ECN-ECO_DATA'!B:G,6,FALSE)=0/1/1900,"",VLOOKUP(A600,'ECN-ECO_DATA'!B:G,6,FALSE))),"")</f>
        <v/>
      </c>
      <c r="F600" s="9" t="str">
        <f>IFERROR((IF(VLOOKUP(A600,'ECN-ECO_DATA'!B:J,7,FALSE)=0/1/1900,"",VLOOKUP(A600,'ECN-ECO_DATA'!B:J,7,FALSE))),"")</f>
        <v/>
      </c>
      <c r="G600" s="9" t="str">
        <f>IFERROR((IF(VLOOKUP(A600,'ECN-ECO_DATA'!B:J,8,FALSE)=0/1/1900,"",VLOOKUP(A600,'ECN-ECO_DATA'!B:J,8,FALSE))),"")</f>
        <v/>
      </c>
      <c r="H600" s="9" t="str">
        <f>IFERROR((IF(VLOOKUP(A600,'ECN-ECO_DATA'!B:J,9,FALSE)=0/1/1900,"",VLOOKUP(A600,'ECN-ECO_DATA'!B:J,9,FALSE))),"")</f>
        <v/>
      </c>
      <c r="I600" s="10" t="str">
        <f>IFERROR((IF(VLOOKUP(A600,'ECN-ECO_DATA'!B:Q,13,FALSE)="","",VLOOKUP(A600,'ECN-ECO_DATA'!B:Q,13,FALSE))),"")</f>
        <v/>
      </c>
      <c r="J600" s="10" t="str">
        <f>IFERROR((IF(VLOOKUP(A600,'ECN-ECO_DATA'!B:Q,14,FALSE)="","",VLOOKUP(A600,'ECN-ECO_DATA'!B:Q,14,FALSE))),"")</f>
        <v/>
      </c>
      <c r="K600" s="10" t="str">
        <f>IFERROR((IF(VLOOKUP(A600,'ECN-ECO_DATA'!B:Q,15,FALSE)="","",VLOOKUP(A600,'ECN-ECO_DATA'!B:Q,15,FALSE))),"")</f>
        <v/>
      </c>
      <c r="L600" s="10" t="str">
        <f>IFERROR((IF(VLOOKUP(A600,'ECN-ECO_DATA'!B:Q,16,FALSE)="","",VLOOKUP(A600,'ECN-ECO_DATA'!B:Q,16,FALSE))),"")</f>
        <v/>
      </c>
      <c r="M600" s="9" t="str">
        <f>IFERROR((IF(VLOOKUP(A600,'ECN-ECO_DATA'!B:V,18,FALSE)=0/1/1900,"",VLOOKUP(A600,'ECN-ECO_DATA'!B:V,18,FALSE))),"")</f>
        <v/>
      </c>
      <c r="N600" s="9" t="str">
        <f>IFERROR((IF(VLOOKUP(A600,'ECN-ECO_DATA'!B:V,19,FALSE)=0/1/1900,"",VLOOKUP(A600,'ECN-ECO_DATA'!B:V,19,FALSE))),"")</f>
        <v/>
      </c>
      <c r="O600" s="9" t="str">
        <f>IFERROR((IF(VLOOKUP(A600,'ECN-ECO_DATA'!B:V,20,FALSE)=0/1/1900,"",VLOOKUP(A600,'ECN-ECO_DATA'!B:V,20,FALSE))),"")</f>
        <v/>
      </c>
      <c r="P600" s="9" t="str">
        <f>IFERROR((IF(VLOOKUP(A600,'ECN-ECO_DATA'!B:V,21,FALSE)=0/1/1900,"",VLOOKUP(A600,'ECN-ECO_DATA'!B:V,21,FALSE))),"")</f>
        <v/>
      </c>
      <c r="Q600" s="10" t="str">
        <f t="shared" ca="1" si="45"/>
        <v/>
      </c>
      <c r="R600" s="4" t="str">
        <f t="shared" si="46"/>
        <v/>
      </c>
      <c r="S600" s="4" t="str">
        <f t="shared" si="47"/>
        <v/>
      </c>
      <c r="T600" s="4" t="str">
        <f t="shared" si="48"/>
        <v/>
      </c>
      <c r="U600" s="10" t="str">
        <f t="shared" si="49"/>
        <v/>
      </c>
      <c r="V600" s="4"/>
    </row>
    <row r="601" spans="2:22" x14ac:dyDescent="0.25">
      <c r="B601" s="4" t="str">
        <f>IFERROR(VLOOKUP(A601,'ECN-ECO_DATA'!B:G,4,FALSE),"")</f>
        <v/>
      </c>
      <c r="C601" s="9" t="str">
        <f>IFERROR(VLOOKUP(A601,'ECN-ECO_DATA'!B:G,5,FALSE),"")</f>
        <v/>
      </c>
      <c r="D601" s="9" t="str">
        <f ca="1">IFERROR((IF(VLOOKUP(A601,'ECN-ECO_DATA'!B:G,6,FALSE)=0/1/1900,TODAY(),VLOOKUP(A601,'ECN-ECO_DATA'!B:G,6,FALSE))),"")</f>
        <v/>
      </c>
      <c r="E601" s="9" t="str">
        <f>IFERROR((IF(VLOOKUP(A601,'ECN-ECO_DATA'!B:G,6,FALSE)=0/1/1900,"",VLOOKUP(A601,'ECN-ECO_DATA'!B:G,6,FALSE))),"")</f>
        <v/>
      </c>
      <c r="F601" s="9" t="str">
        <f>IFERROR((IF(VLOOKUP(A601,'ECN-ECO_DATA'!B:J,7,FALSE)=0/1/1900,"",VLOOKUP(A601,'ECN-ECO_DATA'!B:J,7,FALSE))),"")</f>
        <v/>
      </c>
      <c r="G601" s="9" t="str">
        <f>IFERROR((IF(VLOOKUP(A601,'ECN-ECO_DATA'!B:J,8,FALSE)=0/1/1900,"",VLOOKUP(A601,'ECN-ECO_DATA'!B:J,8,FALSE))),"")</f>
        <v/>
      </c>
      <c r="H601" s="9" t="str">
        <f>IFERROR((IF(VLOOKUP(A601,'ECN-ECO_DATA'!B:J,9,FALSE)=0/1/1900,"",VLOOKUP(A601,'ECN-ECO_DATA'!B:J,9,FALSE))),"")</f>
        <v/>
      </c>
      <c r="I601" s="10" t="str">
        <f>IFERROR((IF(VLOOKUP(A601,'ECN-ECO_DATA'!B:Q,13,FALSE)="","",VLOOKUP(A601,'ECN-ECO_DATA'!B:Q,13,FALSE))),"")</f>
        <v/>
      </c>
      <c r="J601" s="10" t="str">
        <f>IFERROR((IF(VLOOKUP(A601,'ECN-ECO_DATA'!B:Q,14,FALSE)="","",VLOOKUP(A601,'ECN-ECO_DATA'!B:Q,14,FALSE))),"")</f>
        <v/>
      </c>
      <c r="K601" s="10" t="str">
        <f>IFERROR((IF(VLOOKUP(A601,'ECN-ECO_DATA'!B:Q,15,FALSE)="","",VLOOKUP(A601,'ECN-ECO_DATA'!B:Q,15,FALSE))),"")</f>
        <v/>
      </c>
      <c r="L601" s="10" t="str">
        <f>IFERROR((IF(VLOOKUP(A601,'ECN-ECO_DATA'!B:Q,16,FALSE)="","",VLOOKUP(A601,'ECN-ECO_DATA'!B:Q,16,FALSE))),"")</f>
        <v/>
      </c>
      <c r="M601" s="9" t="str">
        <f>IFERROR((IF(VLOOKUP(A601,'ECN-ECO_DATA'!B:V,18,FALSE)=0/1/1900,"",VLOOKUP(A601,'ECN-ECO_DATA'!B:V,18,FALSE))),"")</f>
        <v/>
      </c>
      <c r="N601" s="9" t="str">
        <f>IFERROR((IF(VLOOKUP(A601,'ECN-ECO_DATA'!B:V,19,FALSE)=0/1/1900,"",VLOOKUP(A601,'ECN-ECO_DATA'!B:V,19,FALSE))),"")</f>
        <v/>
      </c>
      <c r="O601" s="9" t="str">
        <f>IFERROR((IF(VLOOKUP(A601,'ECN-ECO_DATA'!B:V,20,FALSE)=0/1/1900,"",VLOOKUP(A601,'ECN-ECO_DATA'!B:V,20,FALSE))),"")</f>
        <v/>
      </c>
      <c r="P601" s="9" t="str">
        <f>IFERROR((IF(VLOOKUP(A601,'ECN-ECO_DATA'!B:V,21,FALSE)=0/1/1900,"",VLOOKUP(A601,'ECN-ECO_DATA'!B:V,21,FALSE))),"")</f>
        <v/>
      </c>
      <c r="Q601" s="10" t="str">
        <f t="shared" ca="1" si="45"/>
        <v/>
      </c>
      <c r="R601" s="4" t="str">
        <f t="shared" si="46"/>
        <v/>
      </c>
      <c r="S601" s="4" t="str">
        <f t="shared" si="47"/>
        <v/>
      </c>
      <c r="T601" s="4" t="str">
        <f t="shared" si="48"/>
        <v/>
      </c>
      <c r="U601" s="10" t="str">
        <f t="shared" si="49"/>
        <v/>
      </c>
      <c r="V601" s="4"/>
    </row>
    <row r="602" spans="2:22" x14ac:dyDescent="0.25">
      <c r="B602" s="4" t="str">
        <f>IFERROR(VLOOKUP(A602,'ECN-ECO_DATA'!B:G,4,FALSE),"")</f>
        <v/>
      </c>
      <c r="C602" s="9" t="str">
        <f>IFERROR(VLOOKUP(A602,'ECN-ECO_DATA'!B:G,5,FALSE),"")</f>
        <v/>
      </c>
      <c r="D602" s="9" t="str">
        <f ca="1">IFERROR((IF(VLOOKUP(A602,'ECN-ECO_DATA'!B:G,6,FALSE)=0/1/1900,TODAY(),VLOOKUP(A602,'ECN-ECO_DATA'!B:G,6,FALSE))),"")</f>
        <v/>
      </c>
      <c r="E602" s="9" t="str">
        <f>IFERROR((IF(VLOOKUP(A602,'ECN-ECO_DATA'!B:G,6,FALSE)=0/1/1900,"",VLOOKUP(A602,'ECN-ECO_DATA'!B:G,6,FALSE))),"")</f>
        <v/>
      </c>
      <c r="F602" s="9" t="str">
        <f>IFERROR((IF(VLOOKUP(A602,'ECN-ECO_DATA'!B:J,7,FALSE)=0/1/1900,"",VLOOKUP(A602,'ECN-ECO_DATA'!B:J,7,FALSE))),"")</f>
        <v/>
      </c>
      <c r="G602" s="9" t="str">
        <f>IFERROR((IF(VLOOKUP(A602,'ECN-ECO_DATA'!B:J,8,FALSE)=0/1/1900,"",VLOOKUP(A602,'ECN-ECO_DATA'!B:J,8,FALSE))),"")</f>
        <v/>
      </c>
      <c r="H602" s="9" t="str">
        <f>IFERROR((IF(VLOOKUP(A602,'ECN-ECO_DATA'!B:J,9,FALSE)=0/1/1900,"",VLOOKUP(A602,'ECN-ECO_DATA'!B:J,9,FALSE))),"")</f>
        <v/>
      </c>
      <c r="I602" s="10" t="str">
        <f>IFERROR((IF(VLOOKUP(A602,'ECN-ECO_DATA'!B:Q,13,FALSE)="","",VLOOKUP(A602,'ECN-ECO_DATA'!B:Q,13,FALSE))),"")</f>
        <v/>
      </c>
      <c r="J602" s="10" t="str">
        <f>IFERROR((IF(VLOOKUP(A602,'ECN-ECO_DATA'!B:Q,14,FALSE)="","",VLOOKUP(A602,'ECN-ECO_DATA'!B:Q,14,FALSE))),"")</f>
        <v/>
      </c>
      <c r="K602" s="10" t="str">
        <f>IFERROR((IF(VLOOKUP(A602,'ECN-ECO_DATA'!B:Q,15,FALSE)="","",VLOOKUP(A602,'ECN-ECO_DATA'!B:Q,15,FALSE))),"")</f>
        <v/>
      </c>
      <c r="L602" s="10" t="str">
        <f>IFERROR((IF(VLOOKUP(A602,'ECN-ECO_DATA'!B:Q,16,FALSE)="","",VLOOKUP(A602,'ECN-ECO_DATA'!B:Q,16,FALSE))),"")</f>
        <v/>
      </c>
      <c r="M602" s="9" t="str">
        <f>IFERROR((IF(VLOOKUP(A602,'ECN-ECO_DATA'!B:V,18,FALSE)=0/1/1900,"",VLOOKUP(A602,'ECN-ECO_DATA'!B:V,18,FALSE))),"")</f>
        <v/>
      </c>
      <c r="N602" s="9" t="str">
        <f>IFERROR((IF(VLOOKUP(A602,'ECN-ECO_DATA'!B:V,19,FALSE)=0/1/1900,"",VLOOKUP(A602,'ECN-ECO_DATA'!B:V,19,FALSE))),"")</f>
        <v/>
      </c>
      <c r="O602" s="9" t="str">
        <f>IFERROR((IF(VLOOKUP(A602,'ECN-ECO_DATA'!B:V,20,FALSE)=0/1/1900,"",VLOOKUP(A602,'ECN-ECO_DATA'!B:V,20,FALSE))),"")</f>
        <v/>
      </c>
      <c r="P602" s="9" t="str">
        <f>IFERROR((IF(VLOOKUP(A602,'ECN-ECO_DATA'!B:V,21,FALSE)=0/1/1900,"",VLOOKUP(A602,'ECN-ECO_DATA'!B:V,21,FALSE))),"")</f>
        <v/>
      </c>
      <c r="Q602" s="10" t="str">
        <f t="shared" ca="1" si="45"/>
        <v/>
      </c>
      <c r="R602" s="4" t="str">
        <f t="shared" si="46"/>
        <v/>
      </c>
      <c r="S602" s="4" t="str">
        <f t="shared" si="47"/>
        <v/>
      </c>
      <c r="T602" s="4" t="str">
        <f t="shared" si="48"/>
        <v/>
      </c>
      <c r="U602" s="10" t="str">
        <f t="shared" si="49"/>
        <v/>
      </c>
      <c r="V602" s="4"/>
    </row>
    <row r="603" spans="2:22" x14ac:dyDescent="0.25">
      <c r="B603" s="4" t="str">
        <f>IFERROR(VLOOKUP(A603,'ECN-ECO_DATA'!B:G,4,FALSE),"")</f>
        <v/>
      </c>
      <c r="C603" s="9" t="str">
        <f>IFERROR(VLOOKUP(A603,'ECN-ECO_DATA'!B:G,5,FALSE),"")</f>
        <v/>
      </c>
      <c r="D603" s="9" t="str">
        <f ca="1">IFERROR((IF(VLOOKUP(A603,'ECN-ECO_DATA'!B:G,6,FALSE)=0/1/1900,TODAY(),VLOOKUP(A603,'ECN-ECO_DATA'!B:G,6,FALSE))),"")</f>
        <v/>
      </c>
      <c r="E603" s="9" t="str">
        <f>IFERROR((IF(VLOOKUP(A603,'ECN-ECO_DATA'!B:G,6,FALSE)=0/1/1900,"",VLOOKUP(A603,'ECN-ECO_DATA'!B:G,6,FALSE))),"")</f>
        <v/>
      </c>
      <c r="F603" s="9" t="str">
        <f>IFERROR((IF(VLOOKUP(A603,'ECN-ECO_DATA'!B:J,7,FALSE)=0/1/1900,"",VLOOKUP(A603,'ECN-ECO_DATA'!B:J,7,FALSE))),"")</f>
        <v/>
      </c>
      <c r="G603" s="9" t="str">
        <f>IFERROR((IF(VLOOKUP(A603,'ECN-ECO_DATA'!B:J,8,FALSE)=0/1/1900,"",VLOOKUP(A603,'ECN-ECO_DATA'!B:J,8,FALSE))),"")</f>
        <v/>
      </c>
      <c r="H603" s="9" t="str">
        <f>IFERROR((IF(VLOOKUP(A603,'ECN-ECO_DATA'!B:J,9,FALSE)=0/1/1900,"",VLOOKUP(A603,'ECN-ECO_DATA'!B:J,9,FALSE))),"")</f>
        <v/>
      </c>
      <c r="I603" s="10" t="str">
        <f>IFERROR((IF(VLOOKUP(A603,'ECN-ECO_DATA'!B:Q,13,FALSE)="","",VLOOKUP(A603,'ECN-ECO_DATA'!B:Q,13,FALSE))),"")</f>
        <v/>
      </c>
      <c r="J603" s="10" t="str">
        <f>IFERROR((IF(VLOOKUP(A603,'ECN-ECO_DATA'!B:Q,14,FALSE)="","",VLOOKUP(A603,'ECN-ECO_DATA'!B:Q,14,FALSE))),"")</f>
        <v/>
      </c>
      <c r="K603" s="10" t="str">
        <f>IFERROR((IF(VLOOKUP(A603,'ECN-ECO_DATA'!B:Q,15,FALSE)="","",VLOOKUP(A603,'ECN-ECO_DATA'!B:Q,15,FALSE))),"")</f>
        <v/>
      </c>
      <c r="L603" s="10" t="str">
        <f>IFERROR((IF(VLOOKUP(A603,'ECN-ECO_DATA'!B:Q,16,FALSE)="","",VLOOKUP(A603,'ECN-ECO_DATA'!B:Q,16,FALSE))),"")</f>
        <v/>
      </c>
      <c r="M603" s="9" t="str">
        <f>IFERROR((IF(VLOOKUP(A603,'ECN-ECO_DATA'!B:V,18,FALSE)=0/1/1900,"",VLOOKUP(A603,'ECN-ECO_DATA'!B:V,18,FALSE))),"")</f>
        <v/>
      </c>
      <c r="N603" s="9" t="str">
        <f>IFERROR((IF(VLOOKUP(A603,'ECN-ECO_DATA'!B:V,19,FALSE)=0/1/1900,"",VLOOKUP(A603,'ECN-ECO_DATA'!B:V,19,FALSE))),"")</f>
        <v/>
      </c>
      <c r="O603" s="9" t="str">
        <f>IFERROR((IF(VLOOKUP(A603,'ECN-ECO_DATA'!B:V,20,FALSE)=0/1/1900,"",VLOOKUP(A603,'ECN-ECO_DATA'!B:V,20,FALSE))),"")</f>
        <v/>
      </c>
      <c r="P603" s="9" t="str">
        <f>IFERROR((IF(VLOOKUP(A603,'ECN-ECO_DATA'!B:V,21,FALSE)=0/1/1900,"",VLOOKUP(A603,'ECN-ECO_DATA'!B:V,21,FALSE))),"")</f>
        <v/>
      </c>
      <c r="Q603" s="10" t="str">
        <f t="shared" ca="1" si="45"/>
        <v/>
      </c>
      <c r="R603" s="4" t="str">
        <f t="shared" si="46"/>
        <v/>
      </c>
      <c r="S603" s="4" t="str">
        <f t="shared" si="47"/>
        <v/>
      </c>
      <c r="T603" s="4" t="str">
        <f t="shared" si="48"/>
        <v/>
      </c>
      <c r="U603" s="10" t="str">
        <f t="shared" si="49"/>
        <v/>
      </c>
      <c r="V603" s="4"/>
    </row>
    <row r="604" spans="2:22" x14ac:dyDescent="0.25">
      <c r="B604" s="4" t="str">
        <f>IFERROR(VLOOKUP(A604,'ECN-ECO_DATA'!B:G,4,FALSE),"")</f>
        <v/>
      </c>
      <c r="C604" s="9" t="str">
        <f>IFERROR(VLOOKUP(A604,'ECN-ECO_DATA'!B:G,5,FALSE),"")</f>
        <v/>
      </c>
      <c r="D604" s="9" t="str">
        <f ca="1">IFERROR((IF(VLOOKUP(A604,'ECN-ECO_DATA'!B:G,6,FALSE)=0/1/1900,TODAY(),VLOOKUP(A604,'ECN-ECO_DATA'!B:G,6,FALSE))),"")</f>
        <v/>
      </c>
      <c r="E604" s="9" t="str">
        <f>IFERROR((IF(VLOOKUP(A604,'ECN-ECO_DATA'!B:G,6,FALSE)=0/1/1900,"",VLOOKUP(A604,'ECN-ECO_DATA'!B:G,6,FALSE))),"")</f>
        <v/>
      </c>
      <c r="F604" s="9" t="str">
        <f>IFERROR((IF(VLOOKUP(A604,'ECN-ECO_DATA'!B:J,7,FALSE)=0/1/1900,"",VLOOKUP(A604,'ECN-ECO_DATA'!B:J,7,FALSE))),"")</f>
        <v/>
      </c>
      <c r="G604" s="9" t="str">
        <f>IFERROR((IF(VLOOKUP(A604,'ECN-ECO_DATA'!B:J,8,FALSE)=0/1/1900,"",VLOOKUP(A604,'ECN-ECO_DATA'!B:J,8,FALSE))),"")</f>
        <v/>
      </c>
      <c r="H604" s="9" t="str">
        <f>IFERROR((IF(VLOOKUP(A604,'ECN-ECO_DATA'!B:J,9,FALSE)=0/1/1900,"",VLOOKUP(A604,'ECN-ECO_DATA'!B:J,9,FALSE))),"")</f>
        <v/>
      </c>
      <c r="I604" s="10" t="str">
        <f>IFERROR((IF(VLOOKUP(A604,'ECN-ECO_DATA'!B:Q,13,FALSE)="","",VLOOKUP(A604,'ECN-ECO_DATA'!B:Q,13,FALSE))),"")</f>
        <v/>
      </c>
      <c r="J604" s="10" t="str">
        <f>IFERROR((IF(VLOOKUP(A604,'ECN-ECO_DATA'!B:Q,14,FALSE)="","",VLOOKUP(A604,'ECN-ECO_DATA'!B:Q,14,FALSE))),"")</f>
        <v/>
      </c>
      <c r="K604" s="10" t="str">
        <f>IFERROR((IF(VLOOKUP(A604,'ECN-ECO_DATA'!B:Q,15,FALSE)="","",VLOOKUP(A604,'ECN-ECO_DATA'!B:Q,15,FALSE))),"")</f>
        <v/>
      </c>
      <c r="L604" s="10" t="str">
        <f>IFERROR((IF(VLOOKUP(A604,'ECN-ECO_DATA'!B:Q,16,FALSE)="","",VLOOKUP(A604,'ECN-ECO_DATA'!B:Q,16,FALSE))),"")</f>
        <v/>
      </c>
      <c r="M604" s="9" t="str">
        <f>IFERROR((IF(VLOOKUP(A604,'ECN-ECO_DATA'!B:V,18,FALSE)=0/1/1900,"",VLOOKUP(A604,'ECN-ECO_DATA'!B:V,18,FALSE))),"")</f>
        <v/>
      </c>
      <c r="N604" s="9" t="str">
        <f>IFERROR((IF(VLOOKUP(A604,'ECN-ECO_DATA'!B:V,19,FALSE)=0/1/1900,"",VLOOKUP(A604,'ECN-ECO_DATA'!B:V,19,FALSE))),"")</f>
        <v/>
      </c>
      <c r="O604" s="9" t="str">
        <f>IFERROR((IF(VLOOKUP(A604,'ECN-ECO_DATA'!B:V,20,FALSE)=0/1/1900,"",VLOOKUP(A604,'ECN-ECO_DATA'!B:V,20,FALSE))),"")</f>
        <v/>
      </c>
      <c r="P604" s="9" t="str">
        <f>IFERROR((IF(VLOOKUP(A604,'ECN-ECO_DATA'!B:V,21,FALSE)=0/1/1900,"",VLOOKUP(A604,'ECN-ECO_DATA'!B:V,21,FALSE))),"")</f>
        <v/>
      </c>
      <c r="Q604" s="10" t="str">
        <f t="shared" ca="1" si="45"/>
        <v/>
      </c>
      <c r="R604" s="4" t="str">
        <f t="shared" si="46"/>
        <v/>
      </c>
      <c r="S604" s="4" t="str">
        <f t="shared" si="47"/>
        <v/>
      </c>
      <c r="T604" s="4" t="str">
        <f t="shared" si="48"/>
        <v/>
      </c>
      <c r="U604" s="10" t="str">
        <f t="shared" si="49"/>
        <v/>
      </c>
      <c r="V604" s="4"/>
    </row>
    <row r="605" spans="2:22" x14ac:dyDescent="0.25">
      <c r="B605" s="4" t="str">
        <f>IFERROR(VLOOKUP(A605,'ECN-ECO_DATA'!B:G,4,FALSE),"")</f>
        <v/>
      </c>
      <c r="C605" s="9" t="str">
        <f>IFERROR(VLOOKUP(A605,'ECN-ECO_DATA'!B:G,5,FALSE),"")</f>
        <v/>
      </c>
      <c r="D605" s="9" t="str">
        <f ca="1">IFERROR((IF(VLOOKUP(A605,'ECN-ECO_DATA'!B:G,6,FALSE)=0/1/1900,TODAY(),VLOOKUP(A605,'ECN-ECO_DATA'!B:G,6,FALSE))),"")</f>
        <v/>
      </c>
      <c r="E605" s="9" t="str">
        <f>IFERROR((IF(VLOOKUP(A605,'ECN-ECO_DATA'!B:G,6,FALSE)=0/1/1900,"",VLOOKUP(A605,'ECN-ECO_DATA'!B:G,6,FALSE))),"")</f>
        <v/>
      </c>
      <c r="F605" s="9" t="str">
        <f>IFERROR((IF(VLOOKUP(A605,'ECN-ECO_DATA'!B:J,7,FALSE)=0/1/1900,"",VLOOKUP(A605,'ECN-ECO_DATA'!B:J,7,FALSE))),"")</f>
        <v/>
      </c>
      <c r="G605" s="9" t="str">
        <f>IFERROR((IF(VLOOKUP(A605,'ECN-ECO_DATA'!B:J,8,FALSE)=0/1/1900,"",VLOOKUP(A605,'ECN-ECO_DATA'!B:J,8,FALSE))),"")</f>
        <v/>
      </c>
      <c r="H605" s="9" t="str">
        <f>IFERROR((IF(VLOOKUP(A605,'ECN-ECO_DATA'!B:J,9,FALSE)=0/1/1900,"",VLOOKUP(A605,'ECN-ECO_DATA'!B:J,9,FALSE))),"")</f>
        <v/>
      </c>
      <c r="I605" s="10" t="str">
        <f>IFERROR((IF(VLOOKUP(A605,'ECN-ECO_DATA'!B:Q,13,FALSE)="","",VLOOKUP(A605,'ECN-ECO_DATA'!B:Q,13,FALSE))),"")</f>
        <v/>
      </c>
      <c r="J605" s="10" t="str">
        <f>IFERROR((IF(VLOOKUP(A605,'ECN-ECO_DATA'!B:Q,14,FALSE)="","",VLOOKUP(A605,'ECN-ECO_DATA'!B:Q,14,FALSE))),"")</f>
        <v/>
      </c>
      <c r="K605" s="10" t="str">
        <f>IFERROR((IF(VLOOKUP(A605,'ECN-ECO_DATA'!B:Q,15,FALSE)="","",VLOOKUP(A605,'ECN-ECO_DATA'!B:Q,15,FALSE))),"")</f>
        <v/>
      </c>
      <c r="L605" s="10" t="str">
        <f>IFERROR((IF(VLOOKUP(A605,'ECN-ECO_DATA'!B:Q,16,FALSE)="","",VLOOKUP(A605,'ECN-ECO_DATA'!B:Q,16,FALSE))),"")</f>
        <v/>
      </c>
      <c r="M605" s="9" t="str">
        <f>IFERROR((IF(VLOOKUP(A605,'ECN-ECO_DATA'!B:V,18,FALSE)=0/1/1900,"",VLOOKUP(A605,'ECN-ECO_DATA'!B:V,18,FALSE))),"")</f>
        <v/>
      </c>
      <c r="N605" s="9" t="str">
        <f>IFERROR((IF(VLOOKUP(A605,'ECN-ECO_DATA'!B:V,19,FALSE)=0/1/1900,"",VLOOKUP(A605,'ECN-ECO_DATA'!B:V,19,FALSE))),"")</f>
        <v/>
      </c>
      <c r="O605" s="9" t="str">
        <f>IFERROR((IF(VLOOKUP(A605,'ECN-ECO_DATA'!B:V,20,FALSE)=0/1/1900,"",VLOOKUP(A605,'ECN-ECO_DATA'!B:V,20,FALSE))),"")</f>
        <v/>
      </c>
      <c r="P605" s="9" t="str">
        <f>IFERROR((IF(VLOOKUP(A605,'ECN-ECO_DATA'!B:V,21,FALSE)=0/1/1900,"",VLOOKUP(A605,'ECN-ECO_DATA'!B:V,21,FALSE))),"")</f>
        <v/>
      </c>
      <c r="Q605" s="10" t="str">
        <f t="shared" ca="1" si="45"/>
        <v/>
      </c>
      <c r="R605" s="4" t="str">
        <f t="shared" si="46"/>
        <v/>
      </c>
      <c r="S605" s="4" t="str">
        <f t="shared" si="47"/>
        <v/>
      </c>
      <c r="T605" s="4" t="str">
        <f t="shared" si="48"/>
        <v/>
      </c>
      <c r="U605" s="10" t="str">
        <f t="shared" si="49"/>
        <v/>
      </c>
      <c r="V605" s="4"/>
    </row>
    <row r="606" spans="2:22" x14ac:dyDescent="0.25">
      <c r="B606" s="4" t="str">
        <f>IFERROR(VLOOKUP(A606,'ECN-ECO_DATA'!B:G,4,FALSE),"")</f>
        <v/>
      </c>
      <c r="C606" s="9" t="str">
        <f>IFERROR(VLOOKUP(A606,'ECN-ECO_DATA'!B:G,5,FALSE),"")</f>
        <v/>
      </c>
      <c r="D606" s="9" t="str">
        <f ca="1">IFERROR((IF(VLOOKUP(A606,'ECN-ECO_DATA'!B:G,6,FALSE)=0/1/1900,TODAY(),VLOOKUP(A606,'ECN-ECO_DATA'!B:G,6,FALSE))),"")</f>
        <v/>
      </c>
      <c r="E606" s="9" t="str">
        <f>IFERROR((IF(VLOOKUP(A606,'ECN-ECO_DATA'!B:G,6,FALSE)=0/1/1900,"",VLOOKUP(A606,'ECN-ECO_DATA'!B:G,6,FALSE))),"")</f>
        <v/>
      </c>
      <c r="F606" s="9" t="str">
        <f>IFERROR((IF(VLOOKUP(A606,'ECN-ECO_DATA'!B:J,7,FALSE)=0/1/1900,"",VLOOKUP(A606,'ECN-ECO_DATA'!B:J,7,FALSE))),"")</f>
        <v/>
      </c>
      <c r="G606" s="9" t="str">
        <f>IFERROR((IF(VLOOKUP(A606,'ECN-ECO_DATA'!B:J,8,FALSE)=0/1/1900,"",VLOOKUP(A606,'ECN-ECO_DATA'!B:J,8,FALSE))),"")</f>
        <v/>
      </c>
      <c r="H606" s="9" t="str">
        <f>IFERROR((IF(VLOOKUP(A606,'ECN-ECO_DATA'!B:J,9,FALSE)=0/1/1900,"",VLOOKUP(A606,'ECN-ECO_DATA'!B:J,9,FALSE))),"")</f>
        <v/>
      </c>
      <c r="I606" s="10" t="str">
        <f>IFERROR((IF(VLOOKUP(A606,'ECN-ECO_DATA'!B:Q,13,FALSE)="","",VLOOKUP(A606,'ECN-ECO_DATA'!B:Q,13,FALSE))),"")</f>
        <v/>
      </c>
      <c r="J606" s="10" t="str">
        <f>IFERROR((IF(VLOOKUP(A606,'ECN-ECO_DATA'!B:Q,14,FALSE)="","",VLOOKUP(A606,'ECN-ECO_DATA'!B:Q,14,FALSE))),"")</f>
        <v/>
      </c>
      <c r="K606" s="10" t="str">
        <f>IFERROR((IF(VLOOKUP(A606,'ECN-ECO_DATA'!B:Q,15,FALSE)="","",VLOOKUP(A606,'ECN-ECO_DATA'!B:Q,15,FALSE))),"")</f>
        <v/>
      </c>
      <c r="L606" s="10" t="str">
        <f>IFERROR((IF(VLOOKUP(A606,'ECN-ECO_DATA'!B:Q,16,FALSE)="","",VLOOKUP(A606,'ECN-ECO_DATA'!B:Q,16,FALSE))),"")</f>
        <v/>
      </c>
      <c r="M606" s="9" t="str">
        <f>IFERROR((IF(VLOOKUP(A606,'ECN-ECO_DATA'!B:V,18,FALSE)=0/1/1900,"",VLOOKUP(A606,'ECN-ECO_DATA'!B:V,18,FALSE))),"")</f>
        <v/>
      </c>
      <c r="N606" s="9" t="str">
        <f>IFERROR((IF(VLOOKUP(A606,'ECN-ECO_DATA'!B:V,19,FALSE)=0/1/1900,"",VLOOKUP(A606,'ECN-ECO_DATA'!B:V,19,FALSE))),"")</f>
        <v/>
      </c>
      <c r="O606" s="9" t="str">
        <f>IFERROR((IF(VLOOKUP(A606,'ECN-ECO_DATA'!B:V,20,FALSE)=0/1/1900,"",VLOOKUP(A606,'ECN-ECO_DATA'!B:V,20,FALSE))),"")</f>
        <v/>
      </c>
      <c r="P606" s="9" t="str">
        <f>IFERROR((IF(VLOOKUP(A606,'ECN-ECO_DATA'!B:V,21,FALSE)=0/1/1900,"",VLOOKUP(A606,'ECN-ECO_DATA'!B:V,21,FALSE))),"")</f>
        <v/>
      </c>
      <c r="Q606" s="10" t="str">
        <f t="shared" ca="1" si="45"/>
        <v/>
      </c>
      <c r="R606" s="4" t="str">
        <f t="shared" si="46"/>
        <v/>
      </c>
      <c r="S606" s="4" t="str">
        <f t="shared" si="47"/>
        <v/>
      </c>
      <c r="T606" s="4" t="str">
        <f t="shared" si="48"/>
        <v/>
      </c>
      <c r="U606" s="10" t="str">
        <f t="shared" si="49"/>
        <v/>
      </c>
      <c r="V606" s="4"/>
    </row>
    <row r="607" spans="2:22" x14ac:dyDescent="0.25">
      <c r="B607" s="4" t="str">
        <f>IFERROR(VLOOKUP(A607,'ECN-ECO_DATA'!B:G,4,FALSE),"")</f>
        <v/>
      </c>
      <c r="C607" s="9" t="str">
        <f>IFERROR(VLOOKUP(A607,'ECN-ECO_DATA'!B:G,5,FALSE),"")</f>
        <v/>
      </c>
      <c r="D607" s="9" t="str">
        <f ca="1">IFERROR((IF(VLOOKUP(A607,'ECN-ECO_DATA'!B:G,6,FALSE)=0/1/1900,TODAY(),VLOOKUP(A607,'ECN-ECO_DATA'!B:G,6,FALSE))),"")</f>
        <v/>
      </c>
      <c r="E607" s="9" t="str">
        <f>IFERROR((IF(VLOOKUP(A607,'ECN-ECO_DATA'!B:G,6,FALSE)=0/1/1900,"",VLOOKUP(A607,'ECN-ECO_DATA'!B:G,6,FALSE))),"")</f>
        <v/>
      </c>
      <c r="F607" s="9" t="str">
        <f>IFERROR((IF(VLOOKUP(A607,'ECN-ECO_DATA'!B:J,7,FALSE)=0/1/1900,"",VLOOKUP(A607,'ECN-ECO_DATA'!B:J,7,FALSE))),"")</f>
        <v/>
      </c>
      <c r="G607" s="9" t="str">
        <f>IFERROR((IF(VLOOKUP(A607,'ECN-ECO_DATA'!B:J,8,FALSE)=0/1/1900,"",VLOOKUP(A607,'ECN-ECO_DATA'!B:J,8,FALSE))),"")</f>
        <v/>
      </c>
      <c r="H607" s="9" t="str">
        <f>IFERROR((IF(VLOOKUP(A607,'ECN-ECO_DATA'!B:J,9,FALSE)=0/1/1900,"",VLOOKUP(A607,'ECN-ECO_DATA'!B:J,9,FALSE))),"")</f>
        <v/>
      </c>
      <c r="I607" s="10" t="str">
        <f>IFERROR((IF(VLOOKUP(A607,'ECN-ECO_DATA'!B:Q,13,FALSE)="","",VLOOKUP(A607,'ECN-ECO_DATA'!B:Q,13,FALSE))),"")</f>
        <v/>
      </c>
      <c r="J607" s="10" t="str">
        <f>IFERROR((IF(VLOOKUP(A607,'ECN-ECO_DATA'!B:Q,14,FALSE)="","",VLOOKUP(A607,'ECN-ECO_DATA'!B:Q,14,FALSE))),"")</f>
        <v/>
      </c>
      <c r="K607" s="10" t="str">
        <f>IFERROR((IF(VLOOKUP(A607,'ECN-ECO_DATA'!B:Q,15,FALSE)="","",VLOOKUP(A607,'ECN-ECO_DATA'!B:Q,15,FALSE))),"")</f>
        <v/>
      </c>
      <c r="L607" s="10" t="str">
        <f>IFERROR((IF(VLOOKUP(A607,'ECN-ECO_DATA'!B:Q,16,FALSE)="","",VLOOKUP(A607,'ECN-ECO_DATA'!B:Q,16,FALSE))),"")</f>
        <v/>
      </c>
      <c r="M607" s="9" t="str">
        <f>IFERROR((IF(VLOOKUP(A607,'ECN-ECO_DATA'!B:V,18,FALSE)=0/1/1900,"",VLOOKUP(A607,'ECN-ECO_DATA'!B:V,18,FALSE))),"")</f>
        <v/>
      </c>
      <c r="N607" s="9" t="str">
        <f>IFERROR((IF(VLOOKUP(A607,'ECN-ECO_DATA'!B:V,19,FALSE)=0/1/1900,"",VLOOKUP(A607,'ECN-ECO_DATA'!B:V,19,FALSE))),"")</f>
        <v/>
      </c>
      <c r="O607" s="9" t="str">
        <f>IFERROR((IF(VLOOKUP(A607,'ECN-ECO_DATA'!B:V,20,FALSE)=0/1/1900,"",VLOOKUP(A607,'ECN-ECO_DATA'!B:V,20,FALSE))),"")</f>
        <v/>
      </c>
      <c r="P607" s="9" t="str">
        <f>IFERROR((IF(VLOOKUP(A607,'ECN-ECO_DATA'!B:V,21,FALSE)=0/1/1900,"",VLOOKUP(A607,'ECN-ECO_DATA'!B:V,21,FALSE))),"")</f>
        <v/>
      </c>
      <c r="Q607" s="10" t="str">
        <f t="shared" ca="1" si="45"/>
        <v/>
      </c>
      <c r="R607" s="4" t="str">
        <f t="shared" si="46"/>
        <v/>
      </c>
      <c r="S607" s="4" t="str">
        <f t="shared" si="47"/>
        <v/>
      </c>
      <c r="T607" s="4" t="str">
        <f t="shared" si="48"/>
        <v/>
      </c>
      <c r="U607" s="10" t="str">
        <f t="shared" si="49"/>
        <v/>
      </c>
      <c r="V607" s="4"/>
    </row>
    <row r="608" spans="2:22" x14ac:dyDescent="0.25">
      <c r="B608" s="4" t="str">
        <f>IFERROR(VLOOKUP(A608,'ECN-ECO_DATA'!B:G,4,FALSE),"")</f>
        <v/>
      </c>
      <c r="C608" s="9" t="str">
        <f>IFERROR(VLOOKUP(A608,'ECN-ECO_DATA'!B:G,5,FALSE),"")</f>
        <v/>
      </c>
      <c r="D608" s="9" t="str">
        <f ca="1">IFERROR((IF(VLOOKUP(A608,'ECN-ECO_DATA'!B:G,6,FALSE)=0/1/1900,TODAY(),VLOOKUP(A608,'ECN-ECO_DATA'!B:G,6,FALSE))),"")</f>
        <v/>
      </c>
      <c r="E608" s="9" t="str">
        <f>IFERROR((IF(VLOOKUP(A608,'ECN-ECO_DATA'!B:G,6,FALSE)=0/1/1900,"",VLOOKUP(A608,'ECN-ECO_DATA'!B:G,6,FALSE))),"")</f>
        <v/>
      </c>
      <c r="F608" s="9" t="str">
        <f>IFERROR((IF(VLOOKUP(A608,'ECN-ECO_DATA'!B:J,7,FALSE)=0/1/1900,"",VLOOKUP(A608,'ECN-ECO_DATA'!B:J,7,FALSE))),"")</f>
        <v/>
      </c>
      <c r="G608" s="9" t="str">
        <f>IFERROR((IF(VLOOKUP(A608,'ECN-ECO_DATA'!B:J,8,FALSE)=0/1/1900,"",VLOOKUP(A608,'ECN-ECO_DATA'!B:J,8,FALSE))),"")</f>
        <v/>
      </c>
      <c r="H608" s="9" t="str">
        <f>IFERROR((IF(VLOOKUP(A608,'ECN-ECO_DATA'!B:J,9,FALSE)=0/1/1900,"",VLOOKUP(A608,'ECN-ECO_DATA'!B:J,9,FALSE))),"")</f>
        <v/>
      </c>
      <c r="I608" s="10" t="str">
        <f>IFERROR((IF(VLOOKUP(A608,'ECN-ECO_DATA'!B:Q,13,FALSE)="","",VLOOKUP(A608,'ECN-ECO_DATA'!B:Q,13,FALSE))),"")</f>
        <v/>
      </c>
      <c r="J608" s="10" t="str">
        <f>IFERROR((IF(VLOOKUP(A608,'ECN-ECO_DATA'!B:Q,14,FALSE)="","",VLOOKUP(A608,'ECN-ECO_DATA'!B:Q,14,FALSE))),"")</f>
        <v/>
      </c>
      <c r="K608" s="10" t="str">
        <f>IFERROR((IF(VLOOKUP(A608,'ECN-ECO_DATA'!B:Q,15,FALSE)="","",VLOOKUP(A608,'ECN-ECO_DATA'!B:Q,15,FALSE))),"")</f>
        <v/>
      </c>
      <c r="L608" s="10" t="str">
        <f>IFERROR((IF(VLOOKUP(A608,'ECN-ECO_DATA'!B:Q,16,FALSE)="","",VLOOKUP(A608,'ECN-ECO_DATA'!B:Q,16,FALSE))),"")</f>
        <v/>
      </c>
      <c r="M608" s="9" t="str">
        <f>IFERROR((IF(VLOOKUP(A608,'ECN-ECO_DATA'!B:V,18,FALSE)=0/1/1900,"",VLOOKUP(A608,'ECN-ECO_DATA'!B:V,18,FALSE))),"")</f>
        <v/>
      </c>
      <c r="N608" s="9" t="str">
        <f>IFERROR((IF(VLOOKUP(A608,'ECN-ECO_DATA'!B:V,19,FALSE)=0/1/1900,"",VLOOKUP(A608,'ECN-ECO_DATA'!B:V,19,FALSE))),"")</f>
        <v/>
      </c>
      <c r="O608" s="9" t="str">
        <f>IFERROR((IF(VLOOKUP(A608,'ECN-ECO_DATA'!B:V,20,FALSE)=0/1/1900,"",VLOOKUP(A608,'ECN-ECO_DATA'!B:V,20,FALSE))),"")</f>
        <v/>
      </c>
      <c r="P608" s="9" t="str">
        <f>IFERROR((IF(VLOOKUP(A608,'ECN-ECO_DATA'!B:V,21,FALSE)=0/1/1900,"",VLOOKUP(A608,'ECN-ECO_DATA'!B:V,21,FALSE))),"")</f>
        <v/>
      </c>
      <c r="Q608" s="10" t="str">
        <f t="shared" ca="1" si="45"/>
        <v/>
      </c>
      <c r="R608" s="4" t="str">
        <f t="shared" si="46"/>
        <v/>
      </c>
      <c r="S608" s="4" t="str">
        <f t="shared" si="47"/>
        <v/>
      </c>
      <c r="T608" s="4" t="str">
        <f t="shared" si="48"/>
        <v/>
      </c>
      <c r="U608" s="10" t="str">
        <f t="shared" si="49"/>
        <v/>
      </c>
      <c r="V608" s="4"/>
    </row>
    <row r="609" spans="2:22" x14ac:dyDescent="0.25">
      <c r="B609" s="4" t="str">
        <f>IFERROR(VLOOKUP(A609,'ECN-ECO_DATA'!B:G,4,FALSE),"")</f>
        <v/>
      </c>
      <c r="C609" s="9" t="str">
        <f>IFERROR(VLOOKUP(A609,'ECN-ECO_DATA'!B:G,5,FALSE),"")</f>
        <v/>
      </c>
      <c r="D609" s="9" t="str">
        <f ca="1">IFERROR((IF(VLOOKUP(A609,'ECN-ECO_DATA'!B:G,6,FALSE)=0/1/1900,TODAY(),VLOOKUP(A609,'ECN-ECO_DATA'!B:G,6,FALSE))),"")</f>
        <v/>
      </c>
      <c r="E609" s="9" t="str">
        <f>IFERROR((IF(VLOOKUP(A609,'ECN-ECO_DATA'!B:G,6,FALSE)=0/1/1900,"",VLOOKUP(A609,'ECN-ECO_DATA'!B:G,6,FALSE))),"")</f>
        <v/>
      </c>
      <c r="F609" s="9" t="str">
        <f>IFERROR((IF(VLOOKUP(A609,'ECN-ECO_DATA'!B:J,7,FALSE)=0/1/1900,"",VLOOKUP(A609,'ECN-ECO_DATA'!B:J,7,FALSE))),"")</f>
        <v/>
      </c>
      <c r="G609" s="9" t="str">
        <f>IFERROR((IF(VLOOKUP(A609,'ECN-ECO_DATA'!B:J,8,FALSE)=0/1/1900,"",VLOOKUP(A609,'ECN-ECO_DATA'!B:J,8,FALSE))),"")</f>
        <v/>
      </c>
      <c r="H609" s="9" t="str">
        <f>IFERROR((IF(VLOOKUP(A609,'ECN-ECO_DATA'!B:J,9,FALSE)=0/1/1900,"",VLOOKUP(A609,'ECN-ECO_DATA'!B:J,9,FALSE))),"")</f>
        <v/>
      </c>
      <c r="I609" s="10" t="str">
        <f>IFERROR((IF(VLOOKUP(A609,'ECN-ECO_DATA'!B:Q,13,FALSE)="","",VLOOKUP(A609,'ECN-ECO_DATA'!B:Q,13,FALSE))),"")</f>
        <v/>
      </c>
      <c r="J609" s="10" t="str">
        <f>IFERROR((IF(VLOOKUP(A609,'ECN-ECO_DATA'!B:Q,14,FALSE)="","",VLOOKUP(A609,'ECN-ECO_DATA'!B:Q,14,FALSE))),"")</f>
        <v/>
      </c>
      <c r="K609" s="10" t="str">
        <f>IFERROR((IF(VLOOKUP(A609,'ECN-ECO_DATA'!B:Q,15,FALSE)="","",VLOOKUP(A609,'ECN-ECO_DATA'!B:Q,15,FALSE))),"")</f>
        <v/>
      </c>
      <c r="L609" s="10" t="str">
        <f>IFERROR((IF(VLOOKUP(A609,'ECN-ECO_DATA'!B:Q,16,FALSE)="","",VLOOKUP(A609,'ECN-ECO_DATA'!B:Q,16,FALSE))),"")</f>
        <v/>
      </c>
      <c r="M609" s="9" t="str">
        <f>IFERROR((IF(VLOOKUP(A609,'ECN-ECO_DATA'!B:V,18,FALSE)=0/1/1900,"",VLOOKUP(A609,'ECN-ECO_DATA'!B:V,18,FALSE))),"")</f>
        <v/>
      </c>
      <c r="N609" s="9" t="str">
        <f>IFERROR((IF(VLOOKUP(A609,'ECN-ECO_DATA'!B:V,19,FALSE)=0/1/1900,"",VLOOKUP(A609,'ECN-ECO_DATA'!B:V,19,FALSE))),"")</f>
        <v/>
      </c>
      <c r="O609" s="9" t="str">
        <f>IFERROR((IF(VLOOKUP(A609,'ECN-ECO_DATA'!B:V,20,FALSE)=0/1/1900,"",VLOOKUP(A609,'ECN-ECO_DATA'!B:V,20,FALSE))),"")</f>
        <v/>
      </c>
      <c r="P609" s="9" t="str">
        <f>IFERROR((IF(VLOOKUP(A609,'ECN-ECO_DATA'!B:V,21,FALSE)=0/1/1900,"",VLOOKUP(A609,'ECN-ECO_DATA'!B:V,21,FALSE))),"")</f>
        <v/>
      </c>
      <c r="Q609" s="10" t="str">
        <f t="shared" ca="1" si="45"/>
        <v/>
      </c>
      <c r="R609" s="4" t="str">
        <f t="shared" si="46"/>
        <v/>
      </c>
      <c r="S609" s="4" t="str">
        <f t="shared" si="47"/>
        <v/>
      </c>
      <c r="T609" s="4" t="str">
        <f t="shared" si="48"/>
        <v/>
      </c>
      <c r="U609" s="10" t="str">
        <f t="shared" si="49"/>
        <v/>
      </c>
      <c r="V609" s="4"/>
    </row>
    <row r="610" spans="2:22" x14ac:dyDescent="0.25">
      <c r="B610" s="4" t="str">
        <f>IFERROR(VLOOKUP(A610,'ECN-ECO_DATA'!B:G,4,FALSE),"")</f>
        <v/>
      </c>
      <c r="C610" s="9" t="str">
        <f>IFERROR(VLOOKUP(A610,'ECN-ECO_DATA'!B:G,5,FALSE),"")</f>
        <v/>
      </c>
      <c r="D610" s="9" t="str">
        <f ca="1">IFERROR((IF(VLOOKUP(A610,'ECN-ECO_DATA'!B:G,6,FALSE)=0/1/1900,TODAY(),VLOOKUP(A610,'ECN-ECO_DATA'!B:G,6,FALSE))),"")</f>
        <v/>
      </c>
      <c r="E610" s="9" t="str">
        <f>IFERROR((IF(VLOOKUP(A610,'ECN-ECO_DATA'!B:G,6,FALSE)=0/1/1900,"",VLOOKUP(A610,'ECN-ECO_DATA'!B:G,6,FALSE))),"")</f>
        <v/>
      </c>
      <c r="F610" s="9" t="str">
        <f>IFERROR((IF(VLOOKUP(A610,'ECN-ECO_DATA'!B:J,7,FALSE)=0/1/1900,"",VLOOKUP(A610,'ECN-ECO_DATA'!B:J,7,FALSE))),"")</f>
        <v/>
      </c>
      <c r="G610" s="9" t="str">
        <f>IFERROR((IF(VLOOKUP(A610,'ECN-ECO_DATA'!B:J,8,FALSE)=0/1/1900,"",VLOOKUP(A610,'ECN-ECO_DATA'!B:J,8,FALSE))),"")</f>
        <v/>
      </c>
      <c r="H610" s="9" t="str">
        <f>IFERROR((IF(VLOOKUP(A610,'ECN-ECO_DATA'!B:J,9,FALSE)=0/1/1900,"",VLOOKUP(A610,'ECN-ECO_DATA'!B:J,9,FALSE))),"")</f>
        <v/>
      </c>
      <c r="I610" s="10" t="str">
        <f>IFERROR((IF(VLOOKUP(A610,'ECN-ECO_DATA'!B:Q,13,FALSE)="","",VLOOKUP(A610,'ECN-ECO_DATA'!B:Q,13,FALSE))),"")</f>
        <v/>
      </c>
      <c r="J610" s="10" t="str">
        <f>IFERROR((IF(VLOOKUP(A610,'ECN-ECO_DATA'!B:Q,14,FALSE)="","",VLOOKUP(A610,'ECN-ECO_DATA'!B:Q,14,FALSE))),"")</f>
        <v/>
      </c>
      <c r="K610" s="10" t="str">
        <f>IFERROR((IF(VLOOKUP(A610,'ECN-ECO_DATA'!B:Q,15,FALSE)="","",VLOOKUP(A610,'ECN-ECO_DATA'!B:Q,15,FALSE))),"")</f>
        <v/>
      </c>
      <c r="L610" s="10" t="str">
        <f>IFERROR((IF(VLOOKUP(A610,'ECN-ECO_DATA'!B:Q,16,FALSE)="","",VLOOKUP(A610,'ECN-ECO_DATA'!B:Q,16,FALSE))),"")</f>
        <v/>
      </c>
      <c r="M610" s="9" t="str">
        <f>IFERROR((IF(VLOOKUP(A610,'ECN-ECO_DATA'!B:V,18,FALSE)=0/1/1900,"",VLOOKUP(A610,'ECN-ECO_DATA'!B:V,18,FALSE))),"")</f>
        <v/>
      </c>
      <c r="N610" s="9" t="str">
        <f>IFERROR((IF(VLOOKUP(A610,'ECN-ECO_DATA'!B:V,19,FALSE)=0/1/1900,"",VLOOKUP(A610,'ECN-ECO_DATA'!B:V,19,FALSE))),"")</f>
        <v/>
      </c>
      <c r="O610" s="9" t="str">
        <f>IFERROR((IF(VLOOKUP(A610,'ECN-ECO_DATA'!B:V,20,FALSE)=0/1/1900,"",VLOOKUP(A610,'ECN-ECO_DATA'!B:V,20,FALSE))),"")</f>
        <v/>
      </c>
      <c r="P610" s="9" t="str">
        <f>IFERROR((IF(VLOOKUP(A610,'ECN-ECO_DATA'!B:V,21,FALSE)=0/1/1900,"",VLOOKUP(A610,'ECN-ECO_DATA'!B:V,21,FALSE))),"")</f>
        <v/>
      </c>
      <c r="Q610" s="10" t="str">
        <f t="shared" ca="1" si="45"/>
        <v/>
      </c>
      <c r="R610" s="4" t="str">
        <f t="shared" si="46"/>
        <v/>
      </c>
      <c r="S610" s="4" t="str">
        <f t="shared" si="47"/>
        <v/>
      </c>
      <c r="T610" s="4" t="str">
        <f t="shared" si="48"/>
        <v/>
      </c>
      <c r="U610" s="10" t="str">
        <f t="shared" si="49"/>
        <v/>
      </c>
      <c r="V610" s="4"/>
    </row>
    <row r="611" spans="2:22" x14ac:dyDescent="0.25">
      <c r="B611" s="4" t="str">
        <f>IFERROR(VLOOKUP(A611,'ECN-ECO_DATA'!B:G,4,FALSE),"")</f>
        <v/>
      </c>
      <c r="C611" s="9" t="str">
        <f>IFERROR(VLOOKUP(A611,'ECN-ECO_DATA'!B:G,5,FALSE),"")</f>
        <v/>
      </c>
      <c r="D611" s="9" t="str">
        <f ca="1">IFERROR((IF(VLOOKUP(A611,'ECN-ECO_DATA'!B:G,6,FALSE)=0/1/1900,TODAY(),VLOOKUP(A611,'ECN-ECO_DATA'!B:G,6,FALSE))),"")</f>
        <v/>
      </c>
      <c r="E611" s="9" t="str">
        <f>IFERROR((IF(VLOOKUP(A611,'ECN-ECO_DATA'!B:G,6,FALSE)=0/1/1900,"",VLOOKUP(A611,'ECN-ECO_DATA'!B:G,6,FALSE))),"")</f>
        <v/>
      </c>
      <c r="F611" s="9" t="str">
        <f>IFERROR((IF(VLOOKUP(A611,'ECN-ECO_DATA'!B:J,7,FALSE)=0/1/1900,"",VLOOKUP(A611,'ECN-ECO_DATA'!B:J,7,FALSE))),"")</f>
        <v/>
      </c>
      <c r="G611" s="9" t="str">
        <f>IFERROR((IF(VLOOKUP(A611,'ECN-ECO_DATA'!B:J,8,FALSE)=0/1/1900,"",VLOOKUP(A611,'ECN-ECO_DATA'!B:J,8,FALSE))),"")</f>
        <v/>
      </c>
      <c r="H611" s="9" t="str">
        <f>IFERROR((IF(VLOOKUP(A611,'ECN-ECO_DATA'!B:J,9,FALSE)=0/1/1900,"",VLOOKUP(A611,'ECN-ECO_DATA'!B:J,9,FALSE))),"")</f>
        <v/>
      </c>
      <c r="I611" s="10" t="str">
        <f>IFERROR((IF(VLOOKUP(A611,'ECN-ECO_DATA'!B:Q,13,FALSE)="","",VLOOKUP(A611,'ECN-ECO_DATA'!B:Q,13,FALSE))),"")</f>
        <v/>
      </c>
      <c r="J611" s="10" t="str">
        <f>IFERROR((IF(VLOOKUP(A611,'ECN-ECO_DATA'!B:Q,14,FALSE)="","",VLOOKUP(A611,'ECN-ECO_DATA'!B:Q,14,FALSE))),"")</f>
        <v/>
      </c>
      <c r="K611" s="10" t="str">
        <f>IFERROR((IF(VLOOKUP(A611,'ECN-ECO_DATA'!B:Q,15,FALSE)="","",VLOOKUP(A611,'ECN-ECO_DATA'!B:Q,15,FALSE))),"")</f>
        <v/>
      </c>
      <c r="L611" s="10" t="str">
        <f>IFERROR((IF(VLOOKUP(A611,'ECN-ECO_DATA'!B:Q,16,FALSE)="","",VLOOKUP(A611,'ECN-ECO_DATA'!B:Q,16,FALSE))),"")</f>
        <v/>
      </c>
      <c r="M611" s="9" t="str">
        <f>IFERROR((IF(VLOOKUP(A611,'ECN-ECO_DATA'!B:V,18,FALSE)=0/1/1900,"",VLOOKUP(A611,'ECN-ECO_DATA'!B:V,18,FALSE))),"")</f>
        <v/>
      </c>
      <c r="N611" s="9" t="str">
        <f>IFERROR((IF(VLOOKUP(A611,'ECN-ECO_DATA'!B:V,19,FALSE)=0/1/1900,"",VLOOKUP(A611,'ECN-ECO_DATA'!B:V,19,FALSE))),"")</f>
        <v/>
      </c>
      <c r="O611" s="9" t="str">
        <f>IFERROR((IF(VLOOKUP(A611,'ECN-ECO_DATA'!B:V,20,FALSE)=0/1/1900,"",VLOOKUP(A611,'ECN-ECO_DATA'!B:V,20,FALSE))),"")</f>
        <v/>
      </c>
      <c r="P611" s="9" t="str">
        <f>IFERROR((IF(VLOOKUP(A611,'ECN-ECO_DATA'!B:V,21,FALSE)=0/1/1900,"",VLOOKUP(A611,'ECN-ECO_DATA'!B:V,21,FALSE))),"")</f>
        <v/>
      </c>
      <c r="Q611" s="10" t="str">
        <f t="shared" ca="1" si="45"/>
        <v/>
      </c>
      <c r="R611" s="4" t="str">
        <f t="shared" si="46"/>
        <v/>
      </c>
      <c r="S611" s="4" t="str">
        <f t="shared" si="47"/>
        <v/>
      </c>
      <c r="T611" s="4" t="str">
        <f t="shared" si="48"/>
        <v/>
      </c>
      <c r="U611" s="10" t="str">
        <f t="shared" si="49"/>
        <v/>
      </c>
      <c r="V611" s="4"/>
    </row>
    <row r="612" spans="2:22" x14ac:dyDescent="0.25">
      <c r="B612" s="4" t="str">
        <f>IFERROR(VLOOKUP(A612,'ECN-ECO_DATA'!B:G,4,FALSE),"")</f>
        <v/>
      </c>
      <c r="C612" s="9" t="str">
        <f>IFERROR(VLOOKUP(A612,'ECN-ECO_DATA'!B:G,5,FALSE),"")</f>
        <v/>
      </c>
      <c r="D612" s="9" t="str">
        <f ca="1">IFERROR((IF(VLOOKUP(A612,'ECN-ECO_DATA'!B:G,6,FALSE)=0/1/1900,TODAY(),VLOOKUP(A612,'ECN-ECO_DATA'!B:G,6,FALSE))),"")</f>
        <v/>
      </c>
      <c r="E612" s="9" t="str">
        <f>IFERROR((IF(VLOOKUP(A612,'ECN-ECO_DATA'!B:G,6,FALSE)=0/1/1900,"",VLOOKUP(A612,'ECN-ECO_DATA'!B:G,6,FALSE))),"")</f>
        <v/>
      </c>
      <c r="F612" s="9" t="str">
        <f>IFERROR((IF(VLOOKUP(A612,'ECN-ECO_DATA'!B:J,7,FALSE)=0/1/1900,"",VLOOKUP(A612,'ECN-ECO_DATA'!B:J,7,FALSE))),"")</f>
        <v/>
      </c>
      <c r="G612" s="9" t="str">
        <f>IFERROR((IF(VLOOKUP(A612,'ECN-ECO_DATA'!B:J,8,FALSE)=0/1/1900,"",VLOOKUP(A612,'ECN-ECO_DATA'!B:J,8,FALSE))),"")</f>
        <v/>
      </c>
      <c r="H612" s="9" t="str">
        <f>IFERROR((IF(VLOOKUP(A612,'ECN-ECO_DATA'!B:J,9,FALSE)=0/1/1900,"",VLOOKUP(A612,'ECN-ECO_DATA'!B:J,9,FALSE))),"")</f>
        <v/>
      </c>
      <c r="I612" s="10" t="str">
        <f>IFERROR((IF(VLOOKUP(A612,'ECN-ECO_DATA'!B:Q,13,FALSE)="","",VLOOKUP(A612,'ECN-ECO_DATA'!B:Q,13,FALSE))),"")</f>
        <v/>
      </c>
      <c r="J612" s="10" t="str">
        <f>IFERROR((IF(VLOOKUP(A612,'ECN-ECO_DATA'!B:Q,14,FALSE)="","",VLOOKUP(A612,'ECN-ECO_DATA'!B:Q,14,FALSE))),"")</f>
        <v/>
      </c>
      <c r="K612" s="10" t="str">
        <f>IFERROR((IF(VLOOKUP(A612,'ECN-ECO_DATA'!B:Q,15,FALSE)="","",VLOOKUP(A612,'ECN-ECO_DATA'!B:Q,15,FALSE))),"")</f>
        <v/>
      </c>
      <c r="L612" s="10" t="str">
        <f>IFERROR((IF(VLOOKUP(A612,'ECN-ECO_DATA'!B:Q,16,FALSE)="","",VLOOKUP(A612,'ECN-ECO_DATA'!B:Q,16,FALSE))),"")</f>
        <v/>
      </c>
      <c r="M612" s="9" t="str">
        <f>IFERROR((IF(VLOOKUP(A612,'ECN-ECO_DATA'!B:V,18,FALSE)=0/1/1900,"",VLOOKUP(A612,'ECN-ECO_DATA'!B:V,18,FALSE))),"")</f>
        <v/>
      </c>
      <c r="N612" s="9" t="str">
        <f>IFERROR((IF(VLOOKUP(A612,'ECN-ECO_DATA'!B:V,19,FALSE)=0/1/1900,"",VLOOKUP(A612,'ECN-ECO_DATA'!B:V,19,FALSE))),"")</f>
        <v/>
      </c>
      <c r="O612" s="9" t="str">
        <f>IFERROR((IF(VLOOKUP(A612,'ECN-ECO_DATA'!B:V,20,FALSE)=0/1/1900,"",VLOOKUP(A612,'ECN-ECO_DATA'!B:V,20,FALSE))),"")</f>
        <v/>
      </c>
      <c r="P612" s="9" t="str">
        <f>IFERROR((IF(VLOOKUP(A612,'ECN-ECO_DATA'!B:V,21,FALSE)=0/1/1900,"",VLOOKUP(A612,'ECN-ECO_DATA'!B:V,21,FALSE))),"")</f>
        <v/>
      </c>
      <c r="Q612" s="10" t="str">
        <f t="shared" ca="1" si="45"/>
        <v/>
      </c>
      <c r="R612" s="4" t="str">
        <f t="shared" si="46"/>
        <v/>
      </c>
      <c r="S612" s="4" t="str">
        <f t="shared" si="47"/>
        <v/>
      </c>
      <c r="T612" s="4" t="str">
        <f t="shared" si="48"/>
        <v/>
      </c>
      <c r="U612" s="10" t="str">
        <f t="shared" si="49"/>
        <v/>
      </c>
      <c r="V612" s="4"/>
    </row>
    <row r="613" spans="2:22" x14ac:dyDescent="0.25">
      <c r="B613" s="4" t="str">
        <f>IFERROR(VLOOKUP(A613,'ECN-ECO_DATA'!B:G,4,FALSE),"")</f>
        <v/>
      </c>
      <c r="C613" s="9" t="str">
        <f>IFERROR(VLOOKUP(A613,'ECN-ECO_DATA'!B:G,5,FALSE),"")</f>
        <v/>
      </c>
      <c r="D613" s="9" t="str">
        <f ca="1">IFERROR((IF(VLOOKUP(A613,'ECN-ECO_DATA'!B:G,6,FALSE)=0/1/1900,TODAY(),VLOOKUP(A613,'ECN-ECO_DATA'!B:G,6,FALSE))),"")</f>
        <v/>
      </c>
      <c r="E613" s="9" t="str">
        <f>IFERROR((IF(VLOOKUP(A613,'ECN-ECO_DATA'!B:G,6,FALSE)=0/1/1900,"",VLOOKUP(A613,'ECN-ECO_DATA'!B:G,6,FALSE))),"")</f>
        <v/>
      </c>
      <c r="F613" s="9" t="str">
        <f>IFERROR((IF(VLOOKUP(A613,'ECN-ECO_DATA'!B:J,7,FALSE)=0/1/1900,"",VLOOKUP(A613,'ECN-ECO_DATA'!B:J,7,FALSE))),"")</f>
        <v/>
      </c>
      <c r="G613" s="9" t="str">
        <f>IFERROR((IF(VLOOKUP(A613,'ECN-ECO_DATA'!B:J,8,FALSE)=0/1/1900,"",VLOOKUP(A613,'ECN-ECO_DATA'!B:J,8,FALSE))),"")</f>
        <v/>
      </c>
      <c r="H613" s="9" t="str">
        <f>IFERROR((IF(VLOOKUP(A613,'ECN-ECO_DATA'!B:J,9,FALSE)=0/1/1900,"",VLOOKUP(A613,'ECN-ECO_DATA'!B:J,9,FALSE))),"")</f>
        <v/>
      </c>
      <c r="I613" s="10" t="str">
        <f>IFERROR((IF(VLOOKUP(A613,'ECN-ECO_DATA'!B:Q,13,FALSE)="","",VLOOKUP(A613,'ECN-ECO_DATA'!B:Q,13,FALSE))),"")</f>
        <v/>
      </c>
      <c r="J613" s="10" t="str">
        <f>IFERROR((IF(VLOOKUP(A613,'ECN-ECO_DATA'!B:Q,14,FALSE)="","",VLOOKUP(A613,'ECN-ECO_DATA'!B:Q,14,FALSE))),"")</f>
        <v/>
      </c>
      <c r="K613" s="10" t="str">
        <f>IFERROR((IF(VLOOKUP(A613,'ECN-ECO_DATA'!B:Q,15,FALSE)="","",VLOOKUP(A613,'ECN-ECO_DATA'!B:Q,15,FALSE))),"")</f>
        <v/>
      </c>
      <c r="L613" s="10" t="str">
        <f>IFERROR((IF(VLOOKUP(A613,'ECN-ECO_DATA'!B:Q,16,FALSE)="","",VLOOKUP(A613,'ECN-ECO_DATA'!B:Q,16,FALSE))),"")</f>
        <v/>
      </c>
      <c r="M613" s="9" t="str">
        <f>IFERROR((IF(VLOOKUP(A613,'ECN-ECO_DATA'!B:V,18,FALSE)=0/1/1900,"",VLOOKUP(A613,'ECN-ECO_DATA'!B:V,18,FALSE))),"")</f>
        <v/>
      </c>
      <c r="N613" s="9" t="str">
        <f>IFERROR((IF(VLOOKUP(A613,'ECN-ECO_DATA'!B:V,19,FALSE)=0/1/1900,"",VLOOKUP(A613,'ECN-ECO_DATA'!B:V,19,FALSE))),"")</f>
        <v/>
      </c>
      <c r="O613" s="9" t="str">
        <f>IFERROR((IF(VLOOKUP(A613,'ECN-ECO_DATA'!B:V,20,FALSE)=0/1/1900,"",VLOOKUP(A613,'ECN-ECO_DATA'!B:V,20,FALSE))),"")</f>
        <v/>
      </c>
      <c r="P613" s="9" t="str">
        <f>IFERROR((IF(VLOOKUP(A613,'ECN-ECO_DATA'!B:V,21,FALSE)=0/1/1900,"",VLOOKUP(A613,'ECN-ECO_DATA'!B:V,21,FALSE))),"")</f>
        <v/>
      </c>
      <c r="Q613" s="10" t="str">
        <f t="shared" ca="1" si="45"/>
        <v/>
      </c>
      <c r="R613" s="4" t="str">
        <f t="shared" si="46"/>
        <v/>
      </c>
      <c r="S613" s="4" t="str">
        <f t="shared" si="47"/>
        <v/>
      </c>
      <c r="T613" s="4" t="str">
        <f t="shared" si="48"/>
        <v/>
      </c>
      <c r="U613" s="10" t="str">
        <f t="shared" si="49"/>
        <v/>
      </c>
      <c r="V613" s="4"/>
    </row>
    <row r="614" spans="2:22" x14ac:dyDescent="0.25">
      <c r="B614" s="4" t="str">
        <f>IFERROR(VLOOKUP(A614,'ECN-ECO_DATA'!B:G,4,FALSE),"")</f>
        <v/>
      </c>
      <c r="C614" s="9" t="str">
        <f>IFERROR(VLOOKUP(A614,'ECN-ECO_DATA'!B:G,5,FALSE),"")</f>
        <v/>
      </c>
      <c r="D614" s="9" t="str">
        <f ca="1">IFERROR((IF(VLOOKUP(A614,'ECN-ECO_DATA'!B:G,6,FALSE)=0/1/1900,TODAY(),VLOOKUP(A614,'ECN-ECO_DATA'!B:G,6,FALSE))),"")</f>
        <v/>
      </c>
      <c r="E614" s="9" t="str">
        <f>IFERROR((IF(VLOOKUP(A614,'ECN-ECO_DATA'!B:G,6,FALSE)=0/1/1900,"",VLOOKUP(A614,'ECN-ECO_DATA'!B:G,6,FALSE))),"")</f>
        <v/>
      </c>
      <c r="F614" s="9" t="str">
        <f>IFERROR((IF(VLOOKUP(A614,'ECN-ECO_DATA'!B:J,7,FALSE)=0/1/1900,"",VLOOKUP(A614,'ECN-ECO_DATA'!B:J,7,FALSE))),"")</f>
        <v/>
      </c>
      <c r="G614" s="9" t="str">
        <f>IFERROR((IF(VLOOKUP(A614,'ECN-ECO_DATA'!B:J,8,FALSE)=0/1/1900,"",VLOOKUP(A614,'ECN-ECO_DATA'!B:J,8,FALSE))),"")</f>
        <v/>
      </c>
      <c r="H614" s="9" t="str">
        <f>IFERROR((IF(VLOOKUP(A614,'ECN-ECO_DATA'!B:J,9,FALSE)=0/1/1900,"",VLOOKUP(A614,'ECN-ECO_DATA'!B:J,9,FALSE))),"")</f>
        <v/>
      </c>
      <c r="I614" s="10" t="str">
        <f>IFERROR((IF(VLOOKUP(A614,'ECN-ECO_DATA'!B:Q,13,FALSE)="","",VLOOKUP(A614,'ECN-ECO_DATA'!B:Q,13,FALSE))),"")</f>
        <v/>
      </c>
      <c r="J614" s="10" t="str">
        <f>IFERROR((IF(VLOOKUP(A614,'ECN-ECO_DATA'!B:Q,14,FALSE)="","",VLOOKUP(A614,'ECN-ECO_DATA'!B:Q,14,FALSE))),"")</f>
        <v/>
      </c>
      <c r="K614" s="10" t="str">
        <f>IFERROR((IF(VLOOKUP(A614,'ECN-ECO_DATA'!B:Q,15,FALSE)="","",VLOOKUP(A614,'ECN-ECO_DATA'!B:Q,15,FALSE))),"")</f>
        <v/>
      </c>
      <c r="L614" s="10" t="str">
        <f>IFERROR((IF(VLOOKUP(A614,'ECN-ECO_DATA'!B:Q,16,FALSE)="","",VLOOKUP(A614,'ECN-ECO_DATA'!B:Q,16,FALSE))),"")</f>
        <v/>
      </c>
      <c r="M614" s="9" t="str">
        <f>IFERROR((IF(VLOOKUP(A614,'ECN-ECO_DATA'!B:V,18,FALSE)=0/1/1900,"",VLOOKUP(A614,'ECN-ECO_DATA'!B:V,18,FALSE))),"")</f>
        <v/>
      </c>
      <c r="N614" s="9" t="str">
        <f>IFERROR((IF(VLOOKUP(A614,'ECN-ECO_DATA'!B:V,19,FALSE)=0/1/1900,"",VLOOKUP(A614,'ECN-ECO_DATA'!B:V,19,FALSE))),"")</f>
        <v/>
      </c>
      <c r="O614" s="9" t="str">
        <f>IFERROR((IF(VLOOKUP(A614,'ECN-ECO_DATA'!B:V,20,FALSE)=0/1/1900,"",VLOOKUP(A614,'ECN-ECO_DATA'!B:V,20,FALSE))),"")</f>
        <v/>
      </c>
      <c r="P614" s="9" t="str">
        <f>IFERROR((IF(VLOOKUP(A614,'ECN-ECO_DATA'!B:V,21,FALSE)=0/1/1900,"",VLOOKUP(A614,'ECN-ECO_DATA'!B:V,21,FALSE))),"")</f>
        <v/>
      </c>
      <c r="Q614" s="10" t="str">
        <f t="shared" ca="1" si="45"/>
        <v/>
      </c>
      <c r="R614" s="4" t="str">
        <f t="shared" si="46"/>
        <v/>
      </c>
      <c r="S614" s="4" t="str">
        <f t="shared" si="47"/>
        <v/>
      </c>
      <c r="T614" s="4" t="str">
        <f t="shared" si="48"/>
        <v/>
      </c>
      <c r="U614" s="10" t="str">
        <f t="shared" si="49"/>
        <v/>
      </c>
      <c r="V614" s="4"/>
    </row>
    <row r="615" spans="2:22" x14ac:dyDescent="0.25">
      <c r="B615" s="4" t="str">
        <f>IFERROR(VLOOKUP(A615,'ECN-ECO_DATA'!B:G,4,FALSE),"")</f>
        <v/>
      </c>
      <c r="C615" s="9" t="str">
        <f>IFERROR(VLOOKUP(A615,'ECN-ECO_DATA'!B:G,5,FALSE),"")</f>
        <v/>
      </c>
      <c r="D615" s="9" t="str">
        <f ca="1">IFERROR((IF(VLOOKUP(A615,'ECN-ECO_DATA'!B:G,6,FALSE)=0/1/1900,TODAY(),VLOOKUP(A615,'ECN-ECO_DATA'!B:G,6,FALSE))),"")</f>
        <v/>
      </c>
      <c r="E615" s="9" t="str">
        <f>IFERROR((IF(VLOOKUP(A615,'ECN-ECO_DATA'!B:G,6,FALSE)=0/1/1900,"",VLOOKUP(A615,'ECN-ECO_DATA'!B:G,6,FALSE))),"")</f>
        <v/>
      </c>
      <c r="F615" s="9" t="str">
        <f>IFERROR((IF(VLOOKUP(A615,'ECN-ECO_DATA'!B:J,7,FALSE)=0/1/1900,"",VLOOKUP(A615,'ECN-ECO_DATA'!B:J,7,FALSE))),"")</f>
        <v/>
      </c>
      <c r="G615" s="9" t="str">
        <f>IFERROR((IF(VLOOKUP(A615,'ECN-ECO_DATA'!B:J,8,FALSE)=0/1/1900,"",VLOOKUP(A615,'ECN-ECO_DATA'!B:J,8,FALSE))),"")</f>
        <v/>
      </c>
      <c r="H615" s="9" t="str">
        <f>IFERROR((IF(VLOOKUP(A615,'ECN-ECO_DATA'!B:J,9,FALSE)=0/1/1900,"",VLOOKUP(A615,'ECN-ECO_DATA'!B:J,9,FALSE))),"")</f>
        <v/>
      </c>
      <c r="I615" s="10" t="str">
        <f>IFERROR((IF(VLOOKUP(A615,'ECN-ECO_DATA'!B:Q,13,FALSE)="","",VLOOKUP(A615,'ECN-ECO_DATA'!B:Q,13,FALSE))),"")</f>
        <v/>
      </c>
      <c r="J615" s="10" t="str">
        <f>IFERROR((IF(VLOOKUP(A615,'ECN-ECO_DATA'!B:Q,14,FALSE)="","",VLOOKUP(A615,'ECN-ECO_DATA'!B:Q,14,FALSE))),"")</f>
        <v/>
      </c>
      <c r="K615" s="10" t="str">
        <f>IFERROR((IF(VLOOKUP(A615,'ECN-ECO_DATA'!B:Q,15,FALSE)="","",VLOOKUP(A615,'ECN-ECO_DATA'!B:Q,15,FALSE))),"")</f>
        <v/>
      </c>
      <c r="L615" s="10" t="str">
        <f>IFERROR((IF(VLOOKUP(A615,'ECN-ECO_DATA'!B:Q,16,FALSE)="","",VLOOKUP(A615,'ECN-ECO_DATA'!B:Q,16,FALSE))),"")</f>
        <v/>
      </c>
      <c r="M615" s="9" t="str">
        <f>IFERROR((IF(VLOOKUP(A615,'ECN-ECO_DATA'!B:V,18,FALSE)=0/1/1900,"",VLOOKUP(A615,'ECN-ECO_DATA'!B:V,18,FALSE))),"")</f>
        <v/>
      </c>
      <c r="N615" s="9" t="str">
        <f>IFERROR((IF(VLOOKUP(A615,'ECN-ECO_DATA'!B:V,19,FALSE)=0/1/1900,"",VLOOKUP(A615,'ECN-ECO_DATA'!B:V,19,FALSE))),"")</f>
        <v/>
      </c>
      <c r="O615" s="9" t="str">
        <f>IFERROR((IF(VLOOKUP(A615,'ECN-ECO_DATA'!B:V,20,FALSE)=0/1/1900,"",VLOOKUP(A615,'ECN-ECO_DATA'!B:V,20,FALSE))),"")</f>
        <v/>
      </c>
      <c r="P615" s="9" t="str">
        <f>IFERROR((IF(VLOOKUP(A615,'ECN-ECO_DATA'!B:V,21,FALSE)=0/1/1900,"",VLOOKUP(A615,'ECN-ECO_DATA'!B:V,21,FALSE))),"")</f>
        <v/>
      </c>
      <c r="Q615" s="10" t="str">
        <f t="shared" ca="1" si="45"/>
        <v/>
      </c>
      <c r="R615" s="4" t="str">
        <f t="shared" si="46"/>
        <v/>
      </c>
      <c r="S615" s="4" t="str">
        <f t="shared" si="47"/>
        <v/>
      </c>
      <c r="T615" s="4" t="str">
        <f t="shared" si="48"/>
        <v/>
      </c>
      <c r="U615" s="10" t="str">
        <f t="shared" si="49"/>
        <v/>
      </c>
      <c r="V615" s="4"/>
    </row>
    <row r="616" spans="2:22" x14ac:dyDescent="0.25">
      <c r="B616" s="4" t="str">
        <f>IFERROR(VLOOKUP(A616,'ECN-ECO_DATA'!B:G,4,FALSE),"")</f>
        <v/>
      </c>
      <c r="C616" s="9" t="str">
        <f>IFERROR(VLOOKUP(A616,'ECN-ECO_DATA'!B:G,5,FALSE),"")</f>
        <v/>
      </c>
      <c r="D616" s="9" t="str">
        <f ca="1">IFERROR((IF(VLOOKUP(A616,'ECN-ECO_DATA'!B:G,6,FALSE)=0/1/1900,TODAY(),VLOOKUP(A616,'ECN-ECO_DATA'!B:G,6,FALSE))),"")</f>
        <v/>
      </c>
      <c r="E616" s="9" t="str">
        <f>IFERROR((IF(VLOOKUP(A616,'ECN-ECO_DATA'!B:G,6,FALSE)=0/1/1900,"",VLOOKUP(A616,'ECN-ECO_DATA'!B:G,6,FALSE))),"")</f>
        <v/>
      </c>
      <c r="F616" s="9" t="str">
        <f>IFERROR((IF(VLOOKUP(A616,'ECN-ECO_DATA'!B:J,7,FALSE)=0/1/1900,"",VLOOKUP(A616,'ECN-ECO_DATA'!B:J,7,FALSE))),"")</f>
        <v/>
      </c>
      <c r="G616" s="9" t="str">
        <f>IFERROR((IF(VLOOKUP(A616,'ECN-ECO_DATA'!B:J,8,FALSE)=0/1/1900,"",VLOOKUP(A616,'ECN-ECO_DATA'!B:J,8,FALSE))),"")</f>
        <v/>
      </c>
      <c r="H616" s="9" t="str">
        <f>IFERROR((IF(VLOOKUP(A616,'ECN-ECO_DATA'!B:J,9,FALSE)=0/1/1900,"",VLOOKUP(A616,'ECN-ECO_DATA'!B:J,9,FALSE))),"")</f>
        <v/>
      </c>
      <c r="I616" s="10" t="str">
        <f>IFERROR((IF(VLOOKUP(A616,'ECN-ECO_DATA'!B:Q,13,FALSE)="","",VLOOKUP(A616,'ECN-ECO_DATA'!B:Q,13,FALSE))),"")</f>
        <v/>
      </c>
      <c r="J616" s="10" t="str">
        <f>IFERROR((IF(VLOOKUP(A616,'ECN-ECO_DATA'!B:Q,14,FALSE)="","",VLOOKUP(A616,'ECN-ECO_DATA'!B:Q,14,FALSE))),"")</f>
        <v/>
      </c>
      <c r="K616" s="10" t="str">
        <f>IFERROR((IF(VLOOKUP(A616,'ECN-ECO_DATA'!B:Q,15,FALSE)="","",VLOOKUP(A616,'ECN-ECO_DATA'!B:Q,15,FALSE))),"")</f>
        <v/>
      </c>
      <c r="L616" s="10" t="str">
        <f>IFERROR((IF(VLOOKUP(A616,'ECN-ECO_DATA'!B:Q,16,FALSE)="","",VLOOKUP(A616,'ECN-ECO_DATA'!B:Q,16,FALSE))),"")</f>
        <v/>
      </c>
      <c r="M616" s="9" t="str">
        <f>IFERROR((IF(VLOOKUP(A616,'ECN-ECO_DATA'!B:V,18,FALSE)=0/1/1900,"",VLOOKUP(A616,'ECN-ECO_DATA'!B:V,18,FALSE))),"")</f>
        <v/>
      </c>
      <c r="N616" s="9" t="str">
        <f>IFERROR((IF(VLOOKUP(A616,'ECN-ECO_DATA'!B:V,19,FALSE)=0/1/1900,"",VLOOKUP(A616,'ECN-ECO_DATA'!B:V,19,FALSE))),"")</f>
        <v/>
      </c>
      <c r="O616" s="9" t="str">
        <f>IFERROR((IF(VLOOKUP(A616,'ECN-ECO_DATA'!B:V,20,FALSE)=0/1/1900,"",VLOOKUP(A616,'ECN-ECO_DATA'!B:V,20,FALSE))),"")</f>
        <v/>
      </c>
      <c r="P616" s="9" t="str">
        <f>IFERROR((IF(VLOOKUP(A616,'ECN-ECO_DATA'!B:V,21,FALSE)=0/1/1900,"",VLOOKUP(A616,'ECN-ECO_DATA'!B:V,21,FALSE))),"")</f>
        <v/>
      </c>
      <c r="Q616" s="10" t="str">
        <f t="shared" ca="1" si="45"/>
        <v/>
      </c>
      <c r="R616" s="4" t="str">
        <f t="shared" si="46"/>
        <v/>
      </c>
      <c r="S616" s="4" t="str">
        <f t="shared" si="47"/>
        <v/>
      </c>
      <c r="T616" s="4" t="str">
        <f t="shared" si="48"/>
        <v/>
      </c>
      <c r="U616" s="10" t="str">
        <f t="shared" si="49"/>
        <v/>
      </c>
      <c r="V616" s="4"/>
    </row>
    <row r="617" spans="2:22" x14ac:dyDescent="0.25">
      <c r="B617" s="4" t="str">
        <f>IFERROR(VLOOKUP(A617,'ECN-ECO_DATA'!B:G,4,FALSE),"")</f>
        <v/>
      </c>
      <c r="C617" s="9" t="str">
        <f>IFERROR(VLOOKUP(A617,'ECN-ECO_DATA'!B:G,5,FALSE),"")</f>
        <v/>
      </c>
      <c r="D617" s="9" t="str">
        <f ca="1">IFERROR((IF(VLOOKUP(A617,'ECN-ECO_DATA'!B:G,6,FALSE)=0/1/1900,TODAY(),VLOOKUP(A617,'ECN-ECO_DATA'!B:G,6,FALSE))),"")</f>
        <v/>
      </c>
      <c r="E617" s="9" t="str">
        <f>IFERROR((IF(VLOOKUP(A617,'ECN-ECO_DATA'!B:G,6,FALSE)=0/1/1900,"",VLOOKUP(A617,'ECN-ECO_DATA'!B:G,6,FALSE))),"")</f>
        <v/>
      </c>
      <c r="F617" s="9" t="str">
        <f>IFERROR((IF(VLOOKUP(A617,'ECN-ECO_DATA'!B:J,7,FALSE)=0/1/1900,"",VLOOKUP(A617,'ECN-ECO_DATA'!B:J,7,FALSE))),"")</f>
        <v/>
      </c>
      <c r="G617" s="9" t="str">
        <f>IFERROR((IF(VLOOKUP(A617,'ECN-ECO_DATA'!B:J,8,FALSE)=0/1/1900,"",VLOOKUP(A617,'ECN-ECO_DATA'!B:J,8,FALSE))),"")</f>
        <v/>
      </c>
      <c r="H617" s="9" t="str">
        <f>IFERROR((IF(VLOOKUP(A617,'ECN-ECO_DATA'!B:J,9,FALSE)=0/1/1900,"",VLOOKUP(A617,'ECN-ECO_DATA'!B:J,9,FALSE))),"")</f>
        <v/>
      </c>
      <c r="I617" s="10" t="str">
        <f>IFERROR((IF(VLOOKUP(A617,'ECN-ECO_DATA'!B:Q,13,FALSE)="","",VLOOKUP(A617,'ECN-ECO_DATA'!B:Q,13,FALSE))),"")</f>
        <v/>
      </c>
      <c r="J617" s="10" t="str">
        <f>IFERROR((IF(VLOOKUP(A617,'ECN-ECO_DATA'!B:Q,14,FALSE)="","",VLOOKUP(A617,'ECN-ECO_DATA'!B:Q,14,FALSE))),"")</f>
        <v/>
      </c>
      <c r="K617" s="10" t="str">
        <f>IFERROR((IF(VLOOKUP(A617,'ECN-ECO_DATA'!B:Q,15,FALSE)="","",VLOOKUP(A617,'ECN-ECO_DATA'!B:Q,15,FALSE))),"")</f>
        <v/>
      </c>
      <c r="L617" s="10" t="str">
        <f>IFERROR((IF(VLOOKUP(A617,'ECN-ECO_DATA'!B:Q,16,FALSE)="","",VLOOKUP(A617,'ECN-ECO_DATA'!B:Q,16,FALSE))),"")</f>
        <v/>
      </c>
      <c r="M617" s="9" t="str">
        <f>IFERROR((IF(VLOOKUP(A617,'ECN-ECO_DATA'!B:V,18,FALSE)=0/1/1900,"",VLOOKUP(A617,'ECN-ECO_DATA'!B:V,18,FALSE))),"")</f>
        <v/>
      </c>
      <c r="N617" s="9" t="str">
        <f>IFERROR((IF(VLOOKUP(A617,'ECN-ECO_DATA'!B:V,19,FALSE)=0/1/1900,"",VLOOKUP(A617,'ECN-ECO_DATA'!B:V,19,FALSE))),"")</f>
        <v/>
      </c>
      <c r="O617" s="9" t="str">
        <f>IFERROR((IF(VLOOKUP(A617,'ECN-ECO_DATA'!B:V,20,FALSE)=0/1/1900,"",VLOOKUP(A617,'ECN-ECO_DATA'!B:V,20,FALSE))),"")</f>
        <v/>
      </c>
      <c r="P617" s="9" t="str">
        <f>IFERROR((IF(VLOOKUP(A617,'ECN-ECO_DATA'!B:V,21,FALSE)=0/1/1900,"",VLOOKUP(A617,'ECN-ECO_DATA'!B:V,21,FALSE))),"")</f>
        <v/>
      </c>
      <c r="Q617" s="10" t="str">
        <f t="shared" ca="1" si="45"/>
        <v/>
      </c>
      <c r="R617" s="4" t="str">
        <f t="shared" si="46"/>
        <v/>
      </c>
      <c r="S617" s="4" t="str">
        <f t="shared" si="47"/>
        <v/>
      </c>
      <c r="T617" s="4" t="str">
        <f t="shared" si="48"/>
        <v/>
      </c>
      <c r="U617" s="10" t="str">
        <f t="shared" si="49"/>
        <v/>
      </c>
      <c r="V617" s="4"/>
    </row>
    <row r="618" spans="2:22" x14ac:dyDescent="0.25">
      <c r="B618" s="4" t="str">
        <f>IFERROR(VLOOKUP(A618,'ECN-ECO_DATA'!B:G,4,FALSE),"")</f>
        <v/>
      </c>
      <c r="C618" s="9" t="str">
        <f>IFERROR(VLOOKUP(A618,'ECN-ECO_DATA'!B:G,5,FALSE),"")</f>
        <v/>
      </c>
      <c r="D618" s="9" t="str">
        <f ca="1">IFERROR((IF(VLOOKUP(A618,'ECN-ECO_DATA'!B:G,6,FALSE)=0/1/1900,TODAY(),VLOOKUP(A618,'ECN-ECO_DATA'!B:G,6,FALSE))),"")</f>
        <v/>
      </c>
      <c r="E618" s="9" t="str">
        <f>IFERROR((IF(VLOOKUP(A618,'ECN-ECO_DATA'!B:G,6,FALSE)=0/1/1900,"",VLOOKUP(A618,'ECN-ECO_DATA'!B:G,6,FALSE))),"")</f>
        <v/>
      </c>
      <c r="F618" s="9" t="str">
        <f>IFERROR((IF(VLOOKUP(A618,'ECN-ECO_DATA'!B:J,7,FALSE)=0/1/1900,"",VLOOKUP(A618,'ECN-ECO_DATA'!B:J,7,FALSE))),"")</f>
        <v/>
      </c>
      <c r="G618" s="9" t="str">
        <f>IFERROR((IF(VLOOKUP(A618,'ECN-ECO_DATA'!B:J,8,FALSE)=0/1/1900,"",VLOOKUP(A618,'ECN-ECO_DATA'!B:J,8,FALSE))),"")</f>
        <v/>
      </c>
      <c r="H618" s="9" t="str">
        <f>IFERROR((IF(VLOOKUP(A618,'ECN-ECO_DATA'!B:J,9,FALSE)=0/1/1900,"",VLOOKUP(A618,'ECN-ECO_DATA'!B:J,9,FALSE))),"")</f>
        <v/>
      </c>
      <c r="I618" s="10" t="str">
        <f>IFERROR((IF(VLOOKUP(A618,'ECN-ECO_DATA'!B:Q,13,FALSE)="","",VLOOKUP(A618,'ECN-ECO_DATA'!B:Q,13,FALSE))),"")</f>
        <v/>
      </c>
      <c r="J618" s="10" t="str">
        <f>IFERROR((IF(VLOOKUP(A618,'ECN-ECO_DATA'!B:Q,14,FALSE)="","",VLOOKUP(A618,'ECN-ECO_DATA'!B:Q,14,FALSE))),"")</f>
        <v/>
      </c>
      <c r="K618" s="10" t="str">
        <f>IFERROR((IF(VLOOKUP(A618,'ECN-ECO_DATA'!B:Q,15,FALSE)="","",VLOOKUP(A618,'ECN-ECO_DATA'!B:Q,15,FALSE))),"")</f>
        <v/>
      </c>
      <c r="L618" s="10" t="str">
        <f>IFERROR((IF(VLOOKUP(A618,'ECN-ECO_DATA'!B:Q,16,FALSE)="","",VLOOKUP(A618,'ECN-ECO_DATA'!B:Q,16,FALSE))),"")</f>
        <v/>
      </c>
      <c r="M618" s="9" t="str">
        <f>IFERROR((IF(VLOOKUP(A618,'ECN-ECO_DATA'!B:V,18,FALSE)=0/1/1900,"",VLOOKUP(A618,'ECN-ECO_DATA'!B:V,18,FALSE))),"")</f>
        <v/>
      </c>
      <c r="N618" s="9" t="str">
        <f>IFERROR((IF(VLOOKUP(A618,'ECN-ECO_DATA'!B:V,19,FALSE)=0/1/1900,"",VLOOKUP(A618,'ECN-ECO_DATA'!B:V,19,FALSE))),"")</f>
        <v/>
      </c>
      <c r="O618" s="9" t="str">
        <f>IFERROR((IF(VLOOKUP(A618,'ECN-ECO_DATA'!B:V,20,FALSE)=0/1/1900,"",VLOOKUP(A618,'ECN-ECO_DATA'!B:V,20,FALSE))),"")</f>
        <v/>
      </c>
      <c r="P618" s="9" t="str">
        <f>IFERROR((IF(VLOOKUP(A618,'ECN-ECO_DATA'!B:V,21,FALSE)=0/1/1900,"",VLOOKUP(A618,'ECN-ECO_DATA'!B:V,21,FALSE))),"")</f>
        <v/>
      </c>
      <c r="Q618" s="10" t="str">
        <f t="shared" ca="1" si="45"/>
        <v/>
      </c>
      <c r="R618" s="4" t="str">
        <f t="shared" si="46"/>
        <v/>
      </c>
      <c r="S618" s="4" t="str">
        <f t="shared" si="47"/>
        <v/>
      </c>
      <c r="T618" s="4" t="str">
        <f t="shared" si="48"/>
        <v/>
      </c>
      <c r="U618" s="10" t="str">
        <f t="shared" si="49"/>
        <v/>
      </c>
      <c r="V618" s="4"/>
    </row>
    <row r="619" spans="2:22" x14ac:dyDescent="0.25">
      <c r="B619" s="4" t="str">
        <f>IFERROR(VLOOKUP(A619,'ECN-ECO_DATA'!B:G,4,FALSE),"")</f>
        <v/>
      </c>
      <c r="C619" s="9" t="str">
        <f>IFERROR(VLOOKUP(A619,'ECN-ECO_DATA'!B:G,5,FALSE),"")</f>
        <v/>
      </c>
      <c r="D619" s="9" t="str">
        <f ca="1">IFERROR((IF(VLOOKUP(A619,'ECN-ECO_DATA'!B:G,6,FALSE)=0/1/1900,TODAY(),VLOOKUP(A619,'ECN-ECO_DATA'!B:G,6,FALSE))),"")</f>
        <v/>
      </c>
      <c r="E619" s="9" t="str">
        <f>IFERROR((IF(VLOOKUP(A619,'ECN-ECO_DATA'!B:G,6,FALSE)=0/1/1900,"",VLOOKUP(A619,'ECN-ECO_DATA'!B:G,6,FALSE))),"")</f>
        <v/>
      </c>
      <c r="F619" s="9" t="str">
        <f>IFERROR((IF(VLOOKUP(A619,'ECN-ECO_DATA'!B:J,7,FALSE)=0/1/1900,"",VLOOKUP(A619,'ECN-ECO_DATA'!B:J,7,FALSE))),"")</f>
        <v/>
      </c>
      <c r="G619" s="9" t="str">
        <f>IFERROR((IF(VLOOKUP(A619,'ECN-ECO_DATA'!B:J,8,FALSE)=0/1/1900,"",VLOOKUP(A619,'ECN-ECO_DATA'!B:J,8,FALSE))),"")</f>
        <v/>
      </c>
      <c r="H619" s="9" t="str">
        <f>IFERROR((IF(VLOOKUP(A619,'ECN-ECO_DATA'!B:J,9,FALSE)=0/1/1900,"",VLOOKUP(A619,'ECN-ECO_DATA'!B:J,9,FALSE))),"")</f>
        <v/>
      </c>
      <c r="I619" s="10" t="str">
        <f>IFERROR((IF(VLOOKUP(A619,'ECN-ECO_DATA'!B:Q,13,FALSE)="","",VLOOKUP(A619,'ECN-ECO_DATA'!B:Q,13,FALSE))),"")</f>
        <v/>
      </c>
      <c r="J619" s="10" t="str">
        <f>IFERROR((IF(VLOOKUP(A619,'ECN-ECO_DATA'!B:Q,14,FALSE)="","",VLOOKUP(A619,'ECN-ECO_DATA'!B:Q,14,FALSE))),"")</f>
        <v/>
      </c>
      <c r="K619" s="10" t="str">
        <f>IFERROR((IF(VLOOKUP(A619,'ECN-ECO_DATA'!B:Q,15,FALSE)="","",VLOOKUP(A619,'ECN-ECO_DATA'!B:Q,15,FALSE))),"")</f>
        <v/>
      </c>
      <c r="L619" s="10" t="str">
        <f>IFERROR((IF(VLOOKUP(A619,'ECN-ECO_DATA'!B:Q,16,FALSE)="","",VLOOKUP(A619,'ECN-ECO_DATA'!B:Q,16,FALSE))),"")</f>
        <v/>
      </c>
      <c r="M619" s="9" t="str">
        <f>IFERROR((IF(VLOOKUP(A619,'ECN-ECO_DATA'!B:V,18,FALSE)=0/1/1900,"",VLOOKUP(A619,'ECN-ECO_DATA'!B:V,18,FALSE))),"")</f>
        <v/>
      </c>
      <c r="N619" s="9" t="str">
        <f>IFERROR((IF(VLOOKUP(A619,'ECN-ECO_DATA'!B:V,19,FALSE)=0/1/1900,"",VLOOKUP(A619,'ECN-ECO_DATA'!B:V,19,FALSE))),"")</f>
        <v/>
      </c>
      <c r="O619" s="9" t="str">
        <f>IFERROR((IF(VLOOKUP(A619,'ECN-ECO_DATA'!B:V,20,FALSE)=0/1/1900,"",VLOOKUP(A619,'ECN-ECO_DATA'!B:V,20,FALSE))),"")</f>
        <v/>
      </c>
      <c r="P619" s="9" t="str">
        <f>IFERROR((IF(VLOOKUP(A619,'ECN-ECO_DATA'!B:V,21,FALSE)=0/1/1900,"",VLOOKUP(A619,'ECN-ECO_DATA'!B:V,21,FALSE))),"")</f>
        <v/>
      </c>
      <c r="Q619" s="10" t="str">
        <f t="shared" ca="1" si="45"/>
        <v/>
      </c>
      <c r="R619" s="4" t="str">
        <f t="shared" si="46"/>
        <v/>
      </c>
      <c r="S619" s="4" t="str">
        <f t="shared" si="47"/>
        <v/>
      </c>
      <c r="T619" s="4" t="str">
        <f t="shared" si="48"/>
        <v/>
      </c>
      <c r="U619" s="10" t="str">
        <f t="shared" si="49"/>
        <v/>
      </c>
      <c r="V619" s="4"/>
    </row>
    <row r="620" spans="2:22" x14ac:dyDescent="0.25">
      <c r="B620" s="4" t="str">
        <f>IFERROR(VLOOKUP(A620,'ECN-ECO_DATA'!B:G,4,FALSE),"")</f>
        <v/>
      </c>
      <c r="C620" s="9" t="str">
        <f>IFERROR(VLOOKUP(A620,'ECN-ECO_DATA'!B:G,5,FALSE),"")</f>
        <v/>
      </c>
      <c r="D620" s="9" t="str">
        <f ca="1">IFERROR((IF(VLOOKUP(A620,'ECN-ECO_DATA'!B:G,6,FALSE)=0/1/1900,TODAY(),VLOOKUP(A620,'ECN-ECO_DATA'!B:G,6,FALSE))),"")</f>
        <v/>
      </c>
      <c r="E620" s="9" t="str">
        <f>IFERROR((IF(VLOOKUP(A620,'ECN-ECO_DATA'!B:G,6,FALSE)=0/1/1900,"",VLOOKUP(A620,'ECN-ECO_DATA'!B:G,6,FALSE))),"")</f>
        <v/>
      </c>
      <c r="F620" s="9" t="str">
        <f>IFERROR((IF(VLOOKUP(A620,'ECN-ECO_DATA'!B:J,7,FALSE)=0/1/1900,"",VLOOKUP(A620,'ECN-ECO_DATA'!B:J,7,FALSE))),"")</f>
        <v/>
      </c>
      <c r="G620" s="9" t="str">
        <f>IFERROR((IF(VLOOKUP(A620,'ECN-ECO_DATA'!B:J,8,FALSE)=0/1/1900,"",VLOOKUP(A620,'ECN-ECO_DATA'!B:J,8,FALSE))),"")</f>
        <v/>
      </c>
      <c r="H620" s="9" t="str">
        <f>IFERROR((IF(VLOOKUP(A620,'ECN-ECO_DATA'!B:J,9,FALSE)=0/1/1900,"",VLOOKUP(A620,'ECN-ECO_DATA'!B:J,9,FALSE))),"")</f>
        <v/>
      </c>
      <c r="I620" s="10" t="str">
        <f>IFERROR((IF(VLOOKUP(A620,'ECN-ECO_DATA'!B:Q,13,FALSE)="","",VLOOKUP(A620,'ECN-ECO_DATA'!B:Q,13,FALSE))),"")</f>
        <v/>
      </c>
      <c r="J620" s="10" t="str">
        <f>IFERROR((IF(VLOOKUP(A620,'ECN-ECO_DATA'!B:Q,14,FALSE)="","",VLOOKUP(A620,'ECN-ECO_DATA'!B:Q,14,FALSE))),"")</f>
        <v/>
      </c>
      <c r="K620" s="10" t="str">
        <f>IFERROR((IF(VLOOKUP(A620,'ECN-ECO_DATA'!B:Q,15,FALSE)="","",VLOOKUP(A620,'ECN-ECO_DATA'!B:Q,15,FALSE))),"")</f>
        <v/>
      </c>
      <c r="L620" s="10" t="str">
        <f>IFERROR((IF(VLOOKUP(A620,'ECN-ECO_DATA'!B:Q,16,FALSE)="","",VLOOKUP(A620,'ECN-ECO_DATA'!B:Q,16,FALSE))),"")</f>
        <v/>
      </c>
      <c r="M620" s="9" t="str">
        <f>IFERROR((IF(VLOOKUP(A620,'ECN-ECO_DATA'!B:V,18,FALSE)=0/1/1900,"",VLOOKUP(A620,'ECN-ECO_DATA'!B:V,18,FALSE))),"")</f>
        <v/>
      </c>
      <c r="N620" s="9" t="str">
        <f>IFERROR((IF(VLOOKUP(A620,'ECN-ECO_DATA'!B:V,19,FALSE)=0/1/1900,"",VLOOKUP(A620,'ECN-ECO_DATA'!B:V,19,FALSE))),"")</f>
        <v/>
      </c>
      <c r="O620" s="9" t="str">
        <f>IFERROR((IF(VLOOKUP(A620,'ECN-ECO_DATA'!B:V,20,FALSE)=0/1/1900,"",VLOOKUP(A620,'ECN-ECO_DATA'!B:V,20,FALSE))),"")</f>
        <v/>
      </c>
      <c r="P620" s="9" t="str">
        <f>IFERROR((IF(VLOOKUP(A620,'ECN-ECO_DATA'!B:V,21,FALSE)=0/1/1900,"",VLOOKUP(A620,'ECN-ECO_DATA'!B:V,21,FALSE))),"")</f>
        <v/>
      </c>
      <c r="Q620" s="10" t="str">
        <f t="shared" ca="1" si="45"/>
        <v/>
      </c>
      <c r="R620" s="4" t="str">
        <f t="shared" si="46"/>
        <v/>
      </c>
      <c r="S620" s="4" t="str">
        <f t="shared" si="47"/>
        <v/>
      </c>
      <c r="T620" s="4" t="str">
        <f t="shared" si="48"/>
        <v/>
      </c>
      <c r="U620" s="10" t="str">
        <f t="shared" si="49"/>
        <v/>
      </c>
      <c r="V620" s="4"/>
    </row>
    <row r="621" spans="2:22" x14ac:dyDescent="0.25">
      <c r="B621" s="4" t="str">
        <f>IFERROR(VLOOKUP(A621,'ECN-ECO_DATA'!B:G,4,FALSE),"")</f>
        <v/>
      </c>
      <c r="C621" s="9" t="str">
        <f>IFERROR(VLOOKUP(A621,'ECN-ECO_DATA'!B:G,5,FALSE),"")</f>
        <v/>
      </c>
      <c r="D621" s="9" t="str">
        <f ca="1">IFERROR((IF(VLOOKUP(A621,'ECN-ECO_DATA'!B:G,6,FALSE)=0/1/1900,TODAY(),VLOOKUP(A621,'ECN-ECO_DATA'!B:G,6,FALSE))),"")</f>
        <v/>
      </c>
      <c r="E621" s="9" t="str">
        <f>IFERROR((IF(VLOOKUP(A621,'ECN-ECO_DATA'!B:G,6,FALSE)=0/1/1900,"",VLOOKUP(A621,'ECN-ECO_DATA'!B:G,6,FALSE))),"")</f>
        <v/>
      </c>
      <c r="F621" s="9" t="str">
        <f>IFERROR((IF(VLOOKUP(A621,'ECN-ECO_DATA'!B:J,7,FALSE)=0/1/1900,"",VLOOKUP(A621,'ECN-ECO_DATA'!B:J,7,FALSE))),"")</f>
        <v/>
      </c>
      <c r="G621" s="9" t="str">
        <f>IFERROR((IF(VLOOKUP(A621,'ECN-ECO_DATA'!B:J,8,FALSE)=0/1/1900,"",VLOOKUP(A621,'ECN-ECO_DATA'!B:J,8,FALSE))),"")</f>
        <v/>
      </c>
      <c r="H621" s="9" t="str">
        <f>IFERROR((IF(VLOOKUP(A621,'ECN-ECO_DATA'!B:J,9,FALSE)=0/1/1900,"",VLOOKUP(A621,'ECN-ECO_DATA'!B:J,9,FALSE))),"")</f>
        <v/>
      </c>
      <c r="I621" s="10" t="str">
        <f>IFERROR((IF(VLOOKUP(A621,'ECN-ECO_DATA'!B:Q,13,FALSE)="","",VLOOKUP(A621,'ECN-ECO_DATA'!B:Q,13,FALSE))),"")</f>
        <v/>
      </c>
      <c r="J621" s="10" t="str">
        <f>IFERROR((IF(VLOOKUP(A621,'ECN-ECO_DATA'!B:Q,14,FALSE)="","",VLOOKUP(A621,'ECN-ECO_DATA'!B:Q,14,FALSE))),"")</f>
        <v/>
      </c>
      <c r="K621" s="10" t="str">
        <f>IFERROR((IF(VLOOKUP(A621,'ECN-ECO_DATA'!B:Q,15,FALSE)="","",VLOOKUP(A621,'ECN-ECO_DATA'!B:Q,15,FALSE))),"")</f>
        <v/>
      </c>
      <c r="L621" s="10" t="str">
        <f>IFERROR((IF(VLOOKUP(A621,'ECN-ECO_DATA'!B:Q,16,FALSE)="","",VLOOKUP(A621,'ECN-ECO_DATA'!B:Q,16,FALSE))),"")</f>
        <v/>
      </c>
      <c r="M621" s="9" t="str">
        <f>IFERROR((IF(VLOOKUP(A621,'ECN-ECO_DATA'!B:V,18,FALSE)=0/1/1900,"",VLOOKUP(A621,'ECN-ECO_DATA'!B:V,18,FALSE))),"")</f>
        <v/>
      </c>
      <c r="N621" s="9" t="str">
        <f>IFERROR((IF(VLOOKUP(A621,'ECN-ECO_DATA'!B:V,19,FALSE)=0/1/1900,"",VLOOKUP(A621,'ECN-ECO_DATA'!B:V,19,FALSE))),"")</f>
        <v/>
      </c>
      <c r="O621" s="9" t="str">
        <f>IFERROR((IF(VLOOKUP(A621,'ECN-ECO_DATA'!B:V,20,FALSE)=0/1/1900,"",VLOOKUP(A621,'ECN-ECO_DATA'!B:V,20,FALSE))),"")</f>
        <v/>
      </c>
      <c r="P621" s="9" t="str">
        <f>IFERROR((IF(VLOOKUP(A621,'ECN-ECO_DATA'!B:V,21,FALSE)=0/1/1900,"",VLOOKUP(A621,'ECN-ECO_DATA'!B:V,21,FALSE))),"")</f>
        <v/>
      </c>
      <c r="Q621" s="10" t="str">
        <f t="shared" ca="1" si="45"/>
        <v/>
      </c>
      <c r="R621" s="4" t="str">
        <f t="shared" si="46"/>
        <v/>
      </c>
      <c r="S621" s="4" t="str">
        <f t="shared" si="47"/>
        <v/>
      </c>
      <c r="T621" s="4" t="str">
        <f t="shared" si="48"/>
        <v/>
      </c>
      <c r="U621" s="10" t="str">
        <f t="shared" si="49"/>
        <v/>
      </c>
      <c r="V621" s="4"/>
    </row>
    <row r="622" spans="2:22" x14ac:dyDescent="0.25">
      <c r="B622" s="4" t="str">
        <f>IFERROR(VLOOKUP(A622,'ECN-ECO_DATA'!B:G,4,FALSE),"")</f>
        <v/>
      </c>
      <c r="C622" s="9" t="str">
        <f>IFERROR(VLOOKUP(A622,'ECN-ECO_DATA'!B:G,5,FALSE),"")</f>
        <v/>
      </c>
      <c r="D622" s="9" t="str">
        <f ca="1">IFERROR((IF(VLOOKUP(A622,'ECN-ECO_DATA'!B:G,6,FALSE)=0/1/1900,TODAY(),VLOOKUP(A622,'ECN-ECO_DATA'!B:G,6,FALSE))),"")</f>
        <v/>
      </c>
      <c r="E622" s="9" t="str">
        <f>IFERROR((IF(VLOOKUP(A622,'ECN-ECO_DATA'!B:G,6,FALSE)=0/1/1900,"",VLOOKUP(A622,'ECN-ECO_DATA'!B:G,6,FALSE))),"")</f>
        <v/>
      </c>
      <c r="F622" s="9" t="str">
        <f>IFERROR((IF(VLOOKUP(A622,'ECN-ECO_DATA'!B:J,7,FALSE)=0/1/1900,"",VLOOKUP(A622,'ECN-ECO_DATA'!B:J,7,FALSE))),"")</f>
        <v/>
      </c>
      <c r="G622" s="9" t="str">
        <f>IFERROR((IF(VLOOKUP(A622,'ECN-ECO_DATA'!B:J,8,FALSE)=0/1/1900,"",VLOOKUP(A622,'ECN-ECO_DATA'!B:J,8,FALSE))),"")</f>
        <v/>
      </c>
      <c r="H622" s="9" t="str">
        <f>IFERROR((IF(VLOOKUP(A622,'ECN-ECO_DATA'!B:J,9,FALSE)=0/1/1900,"",VLOOKUP(A622,'ECN-ECO_DATA'!B:J,9,FALSE))),"")</f>
        <v/>
      </c>
      <c r="I622" s="10" t="str">
        <f>IFERROR((IF(VLOOKUP(A622,'ECN-ECO_DATA'!B:Q,13,FALSE)="","",VLOOKUP(A622,'ECN-ECO_DATA'!B:Q,13,FALSE))),"")</f>
        <v/>
      </c>
      <c r="J622" s="10" t="str">
        <f>IFERROR((IF(VLOOKUP(A622,'ECN-ECO_DATA'!B:Q,14,FALSE)="","",VLOOKUP(A622,'ECN-ECO_DATA'!B:Q,14,FALSE))),"")</f>
        <v/>
      </c>
      <c r="K622" s="10" t="str">
        <f>IFERROR((IF(VLOOKUP(A622,'ECN-ECO_DATA'!B:Q,15,FALSE)="","",VLOOKUP(A622,'ECN-ECO_DATA'!B:Q,15,FALSE))),"")</f>
        <v/>
      </c>
      <c r="L622" s="10" t="str">
        <f>IFERROR((IF(VLOOKUP(A622,'ECN-ECO_DATA'!B:Q,16,FALSE)="","",VLOOKUP(A622,'ECN-ECO_DATA'!B:Q,16,FALSE))),"")</f>
        <v/>
      </c>
      <c r="M622" s="9" t="str">
        <f>IFERROR((IF(VLOOKUP(A622,'ECN-ECO_DATA'!B:V,18,FALSE)=0/1/1900,"",VLOOKUP(A622,'ECN-ECO_DATA'!B:V,18,FALSE))),"")</f>
        <v/>
      </c>
      <c r="N622" s="9" t="str">
        <f>IFERROR((IF(VLOOKUP(A622,'ECN-ECO_DATA'!B:V,19,FALSE)=0/1/1900,"",VLOOKUP(A622,'ECN-ECO_DATA'!B:V,19,FALSE))),"")</f>
        <v/>
      </c>
      <c r="O622" s="9" t="str">
        <f>IFERROR((IF(VLOOKUP(A622,'ECN-ECO_DATA'!B:V,20,FALSE)=0/1/1900,"",VLOOKUP(A622,'ECN-ECO_DATA'!B:V,20,FALSE))),"")</f>
        <v/>
      </c>
      <c r="P622" s="9" t="str">
        <f>IFERROR((IF(VLOOKUP(A622,'ECN-ECO_DATA'!B:V,21,FALSE)=0/1/1900,"",VLOOKUP(A622,'ECN-ECO_DATA'!B:V,21,FALSE))),"")</f>
        <v/>
      </c>
      <c r="Q622" s="10" t="str">
        <f t="shared" ca="1" si="45"/>
        <v/>
      </c>
      <c r="R622" s="4" t="str">
        <f t="shared" si="46"/>
        <v/>
      </c>
      <c r="S622" s="4" t="str">
        <f t="shared" si="47"/>
        <v/>
      </c>
      <c r="T622" s="4" t="str">
        <f t="shared" si="48"/>
        <v/>
      </c>
      <c r="U622" s="10" t="str">
        <f t="shared" si="49"/>
        <v/>
      </c>
      <c r="V622" s="4"/>
    </row>
    <row r="623" spans="2:22" x14ac:dyDescent="0.25">
      <c r="B623" s="4" t="str">
        <f>IFERROR(VLOOKUP(A623,'ECN-ECO_DATA'!B:G,4,FALSE),"")</f>
        <v/>
      </c>
      <c r="C623" s="9" t="str">
        <f>IFERROR(VLOOKUP(A623,'ECN-ECO_DATA'!B:G,5,FALSE),"")</f>
        <v/>
      </c>
      <c r="D623" s="9" t="str">
        <f ca="1">IFERROR((IF(VLOOKUP(A623,'ECN-ECO_DATA'!B:G,6,FALSE)=0/1/1900,TODAY(),VLOOKUP(A623,'ECN-ECO_DATA'!B:G,6,FALSE))),"")</f>
        <v/>
      </c>
      <c r="E623" s="9" t="str">
        <f>IFERROR((IF(VLOOKUP(A623,'ECN-ECO_DATA'!B:G,6,FALSE)=0/1/1900,"",VLOOKUP(A623,'ECN-ECO_DATA'!B:G,6,FALSE))),"")</f>
        <v/>
      </c>
      <c r="F623" s="9" t="str">
        <f>IFERROR((IF(VLOOKUP(A623,'ECN-ECO_DATA'!B:J,7,FALSE)=0/1/1900,"",VLOOKUP(A623,'ECN-ECO_DATA'!B:J,7,FALSE))),"")</f>
        <v/>
      </c>
      <c r="G623" s="9" t="str">
        <f>IFERROR((IF(VLOOKUP(A623,'ECN-ECO_DATA'!B:J,8,FALSE)=0/1/1900,"",VLOOKUP(A623,'ECN-ECO_DATA'!B:J,8,FALSE))),"")</f>
        <v/>
      </c>
      <c r="H623" s="9" t="str">
        <f>IFERROR((IF(VLOOKUP(A623,'ECN-ECO_DATA'!B:J,9,FALSE)=0/1/1900,"",VLOOKUP(A623,'ECN-ECO_DATA'!B:J,9,FALSE))),"")</f>
        <v/>
      </c>
      <c r="I623" s="10" t="str">
        <f>IFERROR((IF(VLOOKUP(A623,'ECN-ECO_DATA'!B:Q,13,FALSE)="","",VLOOKUP(A623,'ECN-ECO_DATA'!B:Q,13,FALSE))),"")</f>
        <v/>
      </c>
      <c r="J623" s="10" t="str">
        <f>IFERROR((IF(VLOOKUP(A623,'ECN-ECO_DATA'!B:Q,14,FALSE)="","",VLOOKUP(A623,'ECN-ECO_DATA'!B:Q,14,FALSE))),"")</f>
        <v/>
      </c>
      <c r="K623" s="10" t="str">
        <f>IFERROR((IF(VLOOKUP(A623,'ECN-ECO_DATA'!B:Q,15,FALSE)="","",VLOOKUP(A623,'ECN-ECO_DATA'!B:Q,15,FALSE))),"")</f>
        <v/>
      </c>
      <c r="L623" s="10" t="str">
        <f>IFERROR((IF(VLOOKUP(A623,'ECN-ECO_DATA'!B:Q,16,FALSE)="","",VLOOKUP(A623,'ECN-ECO_DATA'!B:Q,16,FALSE))),"")</f>
        <v/>
      </c>
      <c r="M623" s="9" t="str">
        <f>IFERROR((IF(VLOOKUP(A623,'ECN-ECO_DATA'!B:V,18,FALSE)=0/1/1900,"",VLOOKUP(A623,'ECN-ECO_DATA'!B:V,18,FALSE))),"")</f>
        <v/>
      </c>
      <c r="N623" s="9" t="str">
        <f>IFERROR((IF(VLOOKUP(A623,'ECN-ECO_DATA'!B:V,19,FALSE)=0/1/1900,"",VLOOKUP(A623,'ECN-ECO_DATA'!B:V,19,FALSE))),"")</f>
        <v/>
      </c>
      <c r="O623" s="9" t="str">
        <f>IFERROR((IF(VLOOKUP(A623,'ECN-ECO_DATA'!B:V,20,FALSE)=0/1/1900,"",VLOOKUP(A623,'ECN-ECO_DATA'!B:V,20,FALSE))),"")</f>
        <v/>
      </c>
      <c r="P623" s="9" t="str">
        <f>IFERROR((IF(VLOOKUP(A623,'ECN-ECO_DATA'!B:V,21,FALSE)=0/1/1900,"",VLOOKUP(A623,'ECN-ECO_DATA'!B:V,21,FALSE))),"")</f>
        <v/>
      </c>
      <c r="Q623" s="10" t="str">
        <f t="shared" ca="1" si="45"/>
        <v/>
      </c>
      <c r="R623" s="4" t="str">
        <f t="shared" si="46"/>
        <v/>
      </c>
      <c r="S623" s="4" t="str">
        <f t="shared" si="47"/>
        <v/>
      </c>
      <c r="T623" s="4" t="str">
        <f t="shared" si="48"/>
        <v/>
      </c>
      <c r="U623" s="10" t="str">
        <f t="shared" si="49"/>
        <v/>
      </c>
      <c r="V623" s="4"/>
    </row>
    <row r="624" spans="2:22" x14ac:dyDescent="0.25">
      <c r="B624" s="4" t="str">
        <f>IFERROR(VLOOKUP(A624,'ECN-ECO_DATA'!B:G,4,FALSE),"")</f>
        <v/>
      </c>
      <c r="C624" s="9" t="str">
        <f>IFERROR(VLOOKUP(A624,'ECN-ECO_DATA'!B:G,5,FALSE),"")</f>
        <v/>
      </c>
      <c r="D624" s="9" t="str">
        <f ca="1">IFERROR((IF(VLOOKUP(A624,'ECN-ECO_DATA'!B:G,6,FALSE)=0/1/1900,TODAY(),VLOOKUP(A624,'ECN-ECO_DATA'!B:G,6,FALSE))),"")</f>
        <v/>
      </c>
      <c r="E624" s="9" t="str">
        <f>IFERROR((IF(VLOOKUP(A624,'ECN-ECO_DATA'!B:G,6,FALSE)=0/1/1900,"",VLOOKUP(A624,'ECN-ECO_DATA'!B:G,6,FALSE))),"")</f>
        <v/>
      </c>
      <c r="F624" s="9" t="str">
        <f>IFERROR((IF(VLOOKUP(A624,'ECN-ECO_DATA'!B:J,7,FALSE)=0/1/1900,"",VLOOKUP(A624,'ECN-ECO_DATA'!B:J,7,FALSE))),"")</f>
        <v/>
      </c>
      <c r="G624" s="9" t="str">
        <f>IFERROR((IF(VLOOKUP(A624,'ECN-ECO_DATA'!B:J,8,FALSE)=0/1/1900,"",VLOOKUP(A624,'ECN-ECO_DATA'!B:J,8,FALSE))),"")</f>
        <v/>
      </c>
      <c r="H624" s="9" t="str">
        <f>IFERROR((IF(VLOOKUP(A624,'ECN-ECO_DATA'!B:J,9,FALSE)=0/1/1900,"",VLOOKUP(A624,'ECN-ECO_DATA'!B:J,9,FALSE))),"")</f>
        <v/>
      </c>
      <c r="I624" s="10" t="str">
        <f>IFERROR((IF(VLOOKUP(A624,'ECN-ECO_DATA'!B:Q,13,FALSE)="","",VLOOKUP(A624,'ECN-ECO_DATA'!B:Q,13,FALSE))),"")</f>
        <v/>
      </c>
      <c r="J624" s="10" t="str">
        <f>IFERROR((IF(VLOOKUP(A624,'ECN-ECO_DATA'!B:Q,14,FALSE)="","",VLOOKUP(A624,'ECN-ECO_DATA'!B:Q,14,FALSE))),"")</f>
        <v/>
      </c>
      <c r="K624" s="10" t="str">
        <f>IFERROR((IF(VLOOKUP(A624,'ECN-ECO_DATA'!B:Q,15,FALSE)="","",VLOOKUP(A624,'ECN-ECO_DATA'!B:Q,15,FALSE))),"")</f>
        <v/>
      </c>
      <c r="L624" s="10" t="str">
        <f>IFERROR((IF(VLOOKUP(A624,'ECN-ECO_DATA'!B:Q,16,FALSE)="","",VLOOKUP(A624,'ECN-ECO_DATA'!B:Q,16,FALSE))),"")</f>
        <v/>
      </c>
      <c r="M624" s="9" t="str">
        <f>IFERROR((IF(VLOOKUP(A624,'ECN-ECO_DATA'!B:V,18,FALSE)=0/1/1900,"",VLOOKUP(A624,'ECN-ECO_DATA'!B:V,18,FALSE))),"")</f>
        <v/>
      </c>
      <c r="N624" s="9" t="str">
        <f>IFERROR((IF(VLOOKUP(A624,'ECN-ECO_DATA'!B:V,19,FALSE)=0/1/1900,"",VLOOKUP(A624,'ECN-ECO_DATA'!B:V,19,FALSE))),"")</f>
        <v/>
      </c>
      <c r="O624" s="9" t="str">
        <f>IFERROR((IF(VLOOKUP(A624,'ECN-ECO_DATA'!B:V,20,FALSE)=0/1/1900,"",VLOOKUP(A624,'ECN-ECO_DATA'!B:V,20,FALSE))),"")</f>
        <v/>
      </c>
      <c r="P624" s="9" t="str">
        <f>IFERROR((IF(VLOOKUP(A624,'ECN-ECO_DATA'!B:V,21,FALSE)=0/1/1900,"",VLOOKUP(A624,'ECN-ECO_DATA'!B:V,21,FALSE))),"")</f>
        <v/>
      </c>
      <c r="Q624" s="10" t="str">
        <f t="shared" ca="1" si="45"/>
        <v/>
      </c>
      <c r="R624" s="4" t="str">
        <f t="shared" si="46"/>
        <v/>
      </c>
      <c r="S624" s="4" t="str">
        <f t="shared" si="47"/>
        <v/>
      </c>
      <c r="T624" s="4" t="str">
        <f t="shared" si="48"/>
        <v/>
      </c>
      <c r="U624" s="10" t="str">
        <f t="shared" si="49"/>
        <v/>
      </c>
      <c r="V624" s="4"/>
    </row>
    <row r="625" spans="2:22" x14ac:dyDescent="0.25">
      <c r="B625" s="4" t="str">
        <f>IFERROR(VLOOKUP(A625,'ECN-ECO_DATA'!B:G,4,FALSE),"")</f>
        <v/>
      </c>
      <c r="C625" s="9" t="str">
        <f>IFERROR(VLOOKUP(A625,'ECN-ECO_DATA'!B:G,5,FALSE),"")</f>
        <v/>
      </c>
      <c r="D625" s="9" t="str">
        <f ca="1">IFERROR((IF(VLOOKUP(A625,'ECN-ECO_DATA'!B:G,6,FALSE)=0/1/1900,TODAY(),VLOOKUP(A625,'ECN-ECO_DATA'!B:G,6,FALSE))),"")</f>
        <v/>
      </c>
      <c r="E625" s="9" t="str">
        <f>IFERROR((IF(VLOOKUP(A625,'ECN-ECO_DATA'!B:G,6,FALSE)=0/1/1900,"",VLOOKUP(A625,'ECN-ECO_DATA'!B:G,6,FALSE))),"")</f>
        <v/>
      </c>
      <c r="F625" s="9" t="str">
        <f>IFERROR((IF(VLOOKUP(A625,'ECN-ECO_DATA'!B:J,7,FALSE)=0/1/1900,"",VLOOKUP(A625,'ECN-ECO_DATA'!B:J,7,FALSE))),"")</f>
        <v/>
      </c>
      <c r="G625" s="9" t="str">
        <f>IFERROR((IF(VLOOKUP(A625,'ECN-ECO_DATA'!B:J,8,FALSE)=0/1/1900,"",VLOOKUP(A625,'ECN-ECO_DATA'!B:J,8,FALSE))),"")</f>
        <v/>
      </c>
      <c r="H625" s="9" t="str">
        <f>IFERROR((IF(VLOOKUP(A625,'ECN-ECO_DATA'!B:J,9,FALSE)=0/1/1900,"",VLOOKUP(A625,'ECN-ECO_DATA'!B:J,9,FALSE))),"")</f>
        <v/>
      </c>
      <c r="I625" s="10" t="str">
        <f>IFERROR((IF(VLOOKUP(A625,'ECN-ECO_DATA'!B:Q,13,FALSE)="","",VLOOKUP(A625,'ECN-ECO_DATA'!B:Q,13,FALSE))),"")</f>
        <v/>
      </c>
      <c r="J625" s="10" t="str">
        <f>IFERROR((IF(VLOOKUP(A625,'ECN-ECO_DATA'!B:Q,14,FALSE)="","",VLOOKUP(A625,'ECN-ECO_DATA'!B:Q,14,FALSE))),"")</f>
        <v/>
      </c>
      <c r="K625" s="10" t="str">
        <f>IFERROR((IF(VLOOKUP(A625,'ECN-ECO_DATA'!B:Q,15,FALSE)="","",VLOOKUP(A625,'ECN-ECO_DATA'!B:Q,15,FALSE))),"")</f>
        <v/>
      </c>
      <c r="L625" s="10" t="str">
        <f>IFERROR((IF(VLOOKUP(A625,'ECN-ECO_DATA'!B:Q,16,FALSE)="","",VLOOKUP(A625,'ECN-ECO_DATA'!B:Q,16,FALSE))),"")</f>
        <v/>
      </c>
      <c r="M625" s="9" t="str">
        <f>IFERROR((IF(VLOOKUP(A625,'ECN-ECO_DATA'!B:V,18,FALSE)=0/1/1900,"",VLOOKUP(A625,'ECN-ECO_DATA'!B:V,18,FALSE))),"")</f>
        <v/>
      </c>
      <c r="N625" s="9" t="str">
        <f>IFERROR((IF(VLOOKUP(A625,'ECN-ECO_DATA'!B:V,19,FALSE)=0/1/1900,"",VLOOKUP(A625,'ECN-ECO_DATA'!B:V,19,FALSE))),"")</f>
        <v/>
      </c>
      <c r="O625" s="9" t="str">
        <f>IFERROR((IF(VLOOKUP(A625,'ECN-ECO_DATA'!B:V,20,FALSE)=0/1/1900,"",VLOOKUP(A625,'ECN-ECO_DATA'!B:V,20,FALSE))),"")</f>
        <v/>
      </c>
      <c r="P625" s="9" t="str">
        <f>IFERROR((IF(VLOOKUP(A625,'ECN-ECO_DATA'!B:V,21,FALSE)=0/1/1900,"",VLOOKUP(A625,'ECN-ECO_DATA'!B:V,21,FALSE))),"")</f>
        <v/>
      </c>
      <c r="Q625" s="10" t="str">
        <f t="shared" ca="1" si="45"/>
        <v/>
      </c>
      <c r="R625" s="4" t="str">
        <f t="shared" si="46"/>
        <v/>
      </c>
      <c r="S625" s="4" t="str">
        <f t="shared" si="47"/>
        <v/>
      </c>
      <c r="T625" s="4" t="str">
        <f t="shared" si="48"/>
        <v/>
      </c>
      <c r="U625" s="10" t="str">
        <f t="shared" si="49"/>
        <v/>
      </c>
      <c r="V625" s="4"/>
    </row>
    <row r="626" spans="2:22" x14ac:dyDescent="0.25">
      <c r="B626" s="4" t="str">
        <f>IFERROR(VLOOKUP(A626,'ECN-ECO_DATA'!B:G,4,FALSE),"")</f>
        <v/>
      </c>
      <c r="C626" s="9" t="str">
        <f>IFERROR(VLOOKUP(A626,'ECN-ECO_DATA'!B:G,5,FALSE),"")</f>
        <v/>
      </c>
      <c r="D626" s="9" t="str">
        <f ca="1">IFERROR((IF(VLOOKUP(A626,'ECN-ECO_DATA'!B:G,6,FALSE)=0/1/1900,TODAY(),VLOOKUP(A626,'ECN-ECO_DATA'!B:G,6,FALSE))),"")</f>
        <v/>
      </c>
      <c r="E626" s="9" t="str">
        <f>IFERROR((IF(VLOOKUP(A626,'ECN-ECO_DATA'!B:G,6,FALSE)=0/1/1900,"",VLOOKUP(A626,'ECN-ECO_DATA'!B:G,6,FALSE))),"")</f>
        <v/>
      </c>
      <c r="F626" s="9" t="str">
        <f>IFERROR((IF(VLOOKUP(A626,'ECN-ECO_DATA'!B:J,7,FALSE)=0/1/1900,"",VLOOKUP(A626,'ECN-ECO_DATA'!B:J,7,FALSE))),"")</f>
        <v/>
      </c>
      <c r="G626" s="9" t="str">
        <f>IFERROR((IF(VLOOKUP(A626,'ECN-ECO_DATA'!B:J,8,FALSE)=0/1/1900,"",VLOOKUP(A626,'ECN-ECO_DATA'!B:J,8,FALSE))),"")</f>
        <v/>
      </c>
      <c r="H626" s="9" t="str">
        <f>IFERROR((IF(VLOOKUP(A626,'ECN-ECO_DATA'!B:J,9,FALSE)=0/1/1900,"",VLOOKUP(A626,'ECN-ECO_DATA'!B:J,9,FALSE))),"")</f>
        <v/>
      </c>
      <c r="I626" s="10" t="str">
        <f>IFERROR((IF(VLOOKUP(A626,'ECN-ECO_DATA'!B:Q,13,FALSE)="","",VLOOKUP(A626,'ECN-ECO_DATA'!B:Q,13,FALSE))),"")</f>
        <v/>
      </c>
      <c r="J626" s="10" t="str">
        <f>IFERROR((IF(VLOOKUP(A626,'ECN-ECO_DATA'!B:Q,14,FALSE)="","",VLOOKUP(A626,'ECN-ECO_DATA'!B:Q,14,FALSE))),"")</f>
        <v/>
      </c>
      <c r="K626" s="10" t="str">
        <f>IFERROR((IF(VLOOKUP(A626,'ECN-ECO_DATA'!B:Q,15,FALSE)="","",VLOOKUP(A626,'ECN-ECO_DATA'!B:Q,15,FALSE))),"")</f>
        <v/>
      </c>
      <c r="L626" s="10" t="str">
        <f>IFERROR((IF(VLOOKUP(A626,'ECN-ECO_DATA'!B:Q,16,FALSE)="","",VLOOKUP(A626,'ECN-ECO_DATA'!B:Q,16,FALSE))),"")</f>
        <v/>
      </c>
      <c r="M626" s="9" t="str">
        <f>IFERROR((IF(VLOOKUP(A626,'ECN-ECO_DATA'!B:V,18,FALSE)=0/1/1900,"",VLOOKUP(A626,'ECN-ECO_DATA'!B:V,18,FALSE))),"")</f>
        <v/>
      </c>
      <c r="N626" s="9" t="str">
        <f>IFERROR((IF(VLOOKUP(A626,'ECN-ECO_DATA'!B:V,19,FALSE)=0/1/1900,"",VLOOKUP(A626,'ECN-ECO_DATA'!B:V,19,FALSE))),"")</f>
        <v/>
      </c>
      <c r="O626" s="9" t="str">
        <f>IFERROR((IF(VLOOKUP(A626,'ECN-ECO_DATA'!B:V,20,FALSE)=0/1/1900,"",VLOOKUP(A626,'ECN-ECO_DATA'!B:V,20,FALSE))),"")</f>
        <v/>
      </c>
      <c r="P626" s="9" t="str">
        <f>IFERROR((IF(VLOOKUP(A626,'ECN-ECO_DATA'!B:V,21,FALSE)=0/1/1900,"",VLOOKUP(A626,'ECN-ECO_DATA'!B:V,21,FALSE))),"")</f>
        <v/>
      </c>
      <c r="Q626" s="10" t="str">
        <f t="shared" ca="1" si="45"/>
        <v/>
      </c>
      <c r="R626" s="4" t="str">
        <f t="shared" si="46"/>
        <v/>
      </c>
      <c r="S626" s="4" t="str">
        <f t="shared" si="47"/>
        <v/>
      </c>
      <c r="T626" s="4" t="str">
        <f t="shared" si="48"/>
        <v/>
      </c>
      <c r="U626" s="10" t="str">
        <f t="shared" si="49"/>
        <v/>
      </c>
      <c r="V626" s="4"/>
    </row>
    <row r="627" spans="2:22" x14ac:dyDescent="0.25">
      <c r="B627" s="4" t="str">
        <f>IFERROR(VLOOKUP(A627,'ECN-ECO_DATA'!B:G,4,FALSE),"")</f>
        <v/>
      </c>
      <c r="C627" s="9" t="str">
        <f>IFERROR(VLOOKUP(A627,'ECN-ECO_DATA'!B:G,5,FALSE),"")</f>
        <v/>
      </c>
      <c r="D627" s="9" t="str">
        <f ca="1">IFERROR((IF(VLOOKUP(A627,'ECN-ECO_DATA'!B:G,6,FALSE)=0/1/1900,TODAY(),VLOOKUP(A627,'ECN-ECO_DATA'!B:G,6,FALSE))),"")</f>
        <v/>
      </c>
      <c r="E627" s="9" t="str">
        <f>IFERROR((IF(VLOOKUP(A627,'ECN-ECO_DATA'!B:G,6,FALSE)=0/1/1900,"",VLOOKUP(A627,'ECN-ECO_DATA'!B:G,6,FALSE))),"")</f>
        <v/>
      </c>
      <c r="F627" s="9" t="str">
        <f>IFERROR((IF(VLOOKUP(A627,'ECN-ECO_DATA'!B:J,7,FALSE)=0/1/1900,"",VLOOKUP(A627,'ECN-ECO_DATA'!B:J,7,FALSE))),"")</f>
        <v/>
      </c>
      <c r="G627" s="9" t="str">
        <f>IFERROR((IF(VLOOKUP(A627,'ECN-ECO_DATA'!B:J,8,FALSE)=0/1/1900,"",VLOOKUP(A627,'ECN-ECO_DATA'!B:J,8,FALSE))),"")</f>
        <v/>
      </c>
      <c r="H627" s="9" t="str">
        <f>IFERROR((IF(VLOOKUP(A627,'ECN-ECO_DATA'!B:J,9,FALSE)=0/1/1900,"",VLOOKUP(A627,'ECN-ECO_DATA'!B:J,9,FALSE))),"")</f>
        <v/>
      </c>
      <c r="I627" s="10" t="str">
        <f>IFERROR((IF(VLOOKUP(A627,'ECN-ECO_DATA'!B:Q,13,FALSE)="","",VLOOKUP(A627,'ECN-ECO_DATA'!B:Q,13,FALSE))),"")</f>
        <v/>
      </c>
      <c r="J627" s="10" t="str">
        <f>IFERROR((IF(VLOOKUP(A627,'ECN-ECO_DATA'!B:Q,14,FALSE)="","",VLOOKUP(A627,'ECN-ECO_DATA'!B:Q,14,FALSE))),"")</f>
        <v/>
      </c>
      <c r="K627" s="10" t="str">
        <f>IFERROR((IF(VLOOKUP(A627,'ECN-ECO_DATA'!B:Q,15,FALSE)="","",VLOOKUP(A627,'ECN-ECO_DATA'!B:Q,15,FALSE))),"")</f>
        <v/>
      </c>
      <c r="L627" s="10" t="str">
        <f>IFERROR((IF(VLOOKUP(A627,'ECN-ECO_DATA'!B:Q,16,FALSE)="","",VLOOKUP(A627,'ECN-ECO_DATA'!B:Q,16,FALSE))),"")</f>
        <v/>
      </c>
      <c r="M627" s="9" t="str">
        <f>IFERROR((IF(VLOOKUP(A627,'ECN-ECO_DATA'!B:V,18,FALSE)=0/1/1900,"",VLOOKUP(A627,'ECN-ECO_DATA'!B:V,18,FALSE))),"")</f>
        <v/>
      </c>
      <c r="N627" s="9" t="str">
        <f>IFERROR((IF(VLOOKUP(A627,'ECN-ECO_DATA'!B:V,19,FALSE)=0/1/1900,"",VLOOKUP(A627,'ECN-ECO_DATA'!B:V,19,FALSE))),"")</f>
        <v/>
      </c>
      <c r="O627" s="9" t="str">
        <f>IFERROR((IF(VLOOKUP(A627,'ECN-ECO_DATA'!B:V,20,FALSE)=0/1/1900,"",VLOOKUP(A627,'ECN-ECO_DATA'!B:V,20,FALSE))),"")</f>
        <v/>
      </c>
      <c r="P627" s="9" t="str">
        <f>IFERROR((IF(VLOOKUP(A627,'ECN-ECO_DATA'!B:V,21,FALSE)=0/1/1900,"",VLOOKUP(A627,'ECN-ECO_DATA'!B:V,21,FALSE))),"")</f>
        <v/>
      </c>
      <c r="Q627" s="10" t="str">
        <f t="shared" ca="1" si="45"/>
        <v/>
      </c>
      <c r="R627" s="4" t="str">
        <f t="shared" si="46"/>
        <v/>
      </c>
      <c r="S627" s="4" t="str">
        <f t="shared" si="47"/>
        <v/>
      </c>
      <c r="T627" s="4" t="str">
        <f t="shared" si="48"/>
        <v/>
      </c>
      <c r="U627" s="10" t="str">
        <f t="shared" si="49"/>
        <v/>
      </c>
      <c r="V627" s="4"/>
    </row>
    <row r="628" spans="2:22" x14ac:dyDescent="0.25">
      <c r="B628" s="4" t="str">
        <f>IFERROR(VLOOKUP(A628,'ECN-ECO_DATA'!B:G,4,FALSE),"")</f>
        <v/>
      </c>
      <c r="C628" s="9" t="str">
        <f>IFERROR(VLOOKUP(A628,'ECN-ECO_DATA'!B:G,5,FALSE),"")</f>
        <v/>
      </c>
      <c r="D628" s="9" t="str">
        <f ca="1">IFERROR((IF(VLOOKUP(A628,'ECN-ECO_DATA'!B:G,6,FALSE)=0/1/1900,TODAY(),VLOOKUP(A628,'ECN-ECO_DATA'!B:G,6,FALSE))),"")</f>
        <v/>
      </c>
      <c r="E628" s="9" t="str">
        <f>IFERROR((IF(VLOOKUP(A628,'ECN-ECO_DATA'!B:G,6,FALSE)=0/1/1900,"",VLOOKUP(A628,'ECN-ECO_DATA'!B:G,6,FALSE))),"")</f>
        <v/>
      </c>
      <c r="F628" s="9" t="str">
        <f>IFERROR((IF(VLOOKUP(A628,'ECN-ECO_DATA'!B:J,7,FALSE)=0/1/1900,"",VLOOKUP(A628,'ECN-ECO_DATA'!B:J,7,FALSE))),"")</f>
        <v/>
      </c>
      <c r="G628" s="9" t="str">
        <f>IFERROR((IF(VLOOKUP(A628,'ECN-ECO_DATA'!B:J,8,FALSE)=0/1/1900,"",VLOOKUP(A628,'ECN-ECO_DATA'!B:J,8,FALSE))),"")</f>
        <v/>
      </c>
      <c r="H628" s="9" t="str">
        <f>IFERROR((IF(VLOOKUP(A628,'ECN-ECO_DATA'!B:J,9,FALSE)=0/1/1900,"",VLOOKUP(A628,'ECN-ECO_DATA'!B:J,9,FALSE))),"")</f>
        <v/>
      </c>
      <c r="I628" s="10" t="str">
        <f>IFERROR((IF(VLOOKUP(A628,'ECN-ECO_DATA'!B:Q,13,FALSE)="","",VLOOKUP(A628,'ECN-ECO_DATA'!B:Q,13,FALSE))),"")</f>
        <v/>
      </c>
      <c r="J628" s="10" t="str">
        <f>IFERROR((IF(VLOOKUP(A628,'ECN-ECO_DATA'!B:Q,14,FALSE)="","",VLOOKUP(A628,'ECN-ECO_DATA'!B:Q,14,FALSE))),"")</f>
        <v/>
      </c>
      <c r="K628" s="10" t="str">
        <f>IFERROR((IF(VLOOKUP(A628,'ECN-ECO_DATA'!B:Q,15,FALSE)="","",VLOOKUP(A628,'ECN-ECO_DATA'!B:Q,15,FALSE))),"")</f>
        <v/>
      </c>
      <c r="L628" s="10" t="str">
        <f>IFERROR((IF(VLOOKUP(A628,'ECN-ECO_DATA'!B:Q,16,FALSE)="","",VLOOKUP(A628,'ECN-ECO_DATA'!B:Q,16,FALSE))),"")</f>
        <v/>
      </c>
      <c r="M628" s="9" t="str">
        <f>IFERROR((IF(VLOOKUP(A628,'ECN-ECO_DATA'!B:V,18,FALSE)=0/1/1900,"",VLOOKUP(A628,'ECN-ECO_DATA'!B:V,18,FALSE))),"")</f>
        <v/>
      </c>
      <c r="N628" s="9" t="str">
        <f>IFERROR((IF(VLOOKUP(A628,'ECN-ECO_DATA'!B:V,19,FALSE)=0/1/1900,"",VLOOKUP(A628,'ECN-ECO_DATA'!B:V,19,FALSE))),"")</f>
        <v/>
      </c>
      <c r="O628" s="9" t="str">
        <f>IFERROR((IF(VLOOKUP(A628,'ECN-ECO_DATA'!B:V,20,FALSE)=0/1/1900,"",VLOOKUP(A628,'ECN-ECO_DATA'!B:V,20,FALSE))),"")</f>
        <v/>
      </c>
      <c r="P628" s="9" t="str">
        <f>IFERROR((IF(VLOOKUP(A628,'ECN-ECO_DATA'!B:V,21,FALSE)=0/1/1900,"",VLOOKUP(A628,'ECN-ECO_DATA'!B:V,21,FALSE))),"")</f>
        <v/>
      </c>
      <c r="Q628" s="10" t="str">
        <f t="shared" ca="1" si="45"/>
        <v/>
      </c>
      <c r="R628" s="4" t="str">
        <f t="shared" si="46"/>
        <v/>
      </c>
      <c r="S628" s="4" t="str">
        <f t="shared" si="47"/>
        <v/>
      </c>
      <c r="T628" s="4" t="str">
        <f t="shared" si="48"/>
        <v/>
      </c>
      <c r="U628" s="10" t="str">
        <f t="shared" si="49"/>
        <v/>
      </c>
      <c r="V628" s="4"/>
    </row>
    <row r="629" spans="2:22" x14ac:dyDescent="0.25">
      <c r="B629" s="4" t="str">
        <f>IFERROR(VLOOKUP(A629,'ECN-ECO_DATA'!B:G,4,FALSE),"")</f>
        <v/>
      </c>
      <c r="C629" s="9" t="str">
        <f>IFERROR(VLOOKUP(A629,'ECN-ECO_DATA'!B:G,5,FALSE),"")</f>
        <v/>
      </c>
      <c r="D629" s="9" t="str">
        <f ca="1">IFERROR((IF(VLOOKUP(A629,'ECN-ECO_DATA'!B:G,6,FALSE)=0/1/1900,TODAY(),VLOOKUP(A629,'ECN-ECO_DATA'!B:G,6,FALSE))),"")</f>
        <v/>
      </c>
      <c r="E629" s="9" t="str">
        <f>IFERROR((IF(VLOOKUP(A629,'ECN-ECO_DATA'!B:G,6,FALSE)=0/1/1900,"",VLOOKUP(A629,'ECN-ECO_DATA'!B:G,6,FALSE))),"")</f>
        <v/>
      </c>
      <c r="F629" s="9" t="str">
        <f>IFERROR((IF(VLOOKUP(A629,'ECN-ECO_DATA'!B:J,7,FALSE)=0/1/1900,"",VLOOKUP(A629,'ECN-ECO_DATA'!B:J,7,FALSE))),"")</f>
        <v/>
      </c>
      <c r="G629" s="9" t="str">
        <f>IFERROR((IF(VLOOKUP(A629,'ECN-ECO_DATA'!B:J,8,FALSE)=0/1/1900,"",VLOOKUP(A629,'ECN-ECO_DATA'!B:J,8,FALSE))),"")</f>
        <v/>
      </c>
      <c r="H629" s="9" t="str">
        <f>IFERROR((IF(VLOOKUP(A629,'ECN-ECO_DATA'!B:J,9,FALSE)=0/1/1900,"",VLOOKUP(A629,'ECN-ECO_DATA'!B:J,9,FALSE))),"")</f>
        <v/>
      </c>
      <c r="I629" s="10" t="str">
        <f>IFERROR((IF(VLOOKUP(A629,'ECN-ECO_DATA'!B:Q,13,FALSE)="","",VLOOKUP(A629,'ECN-ECO_DATA'!B:Q,13,FALSE))),"")</f>
        <v/>
      </c>
      <c r="J629" s="10" t="str">
        <f>IFERROR((IF(VLOOKUP(A629,'ECN-ECO_DATA'!B:Q,14,FALSE)="","",VLOOKUP(A629,'ECN-ECO_DATA'!B:Q,14,FALSE))),"")</f>
        <v/>
      </c>
      <c r="K629" s="10" t="str">
        <f>IFERROR((IF(VLOOKUP(A629,'ECN-ECO_DATA'!B:Q,15,FALSE)="","",VLOOKUP(A629,'ECN-ECO_DATA'!B:Q,15,FALSE))),"")</f>
        <v/>
      </c>
      <c r="L629" s="10" t="str">
        <f>IFERROR((IF(VLOOKUP(A629,'ECN-ECO_DATA'!B:Q,16,FALSE)="","",VLOOKUP(A629,'ECN-ECO_DATA'!B:Q,16,FALSE))),"")</f>
        <v/>
      </c>
      <c r="M629" s="9" t="str">
        <f>IFERROR((IF(VLOOKUP(A629,'ECN-ECO_DATA'!B:V,18,FALSE)=0/1/1900,"",VLOOKUP(A629,'ECN-ECO_DATA'!B:V,18,FALSE))),"")</f>
        <v/>
      </c>
      <c r="N629" s="9" t="str">
        <f>IFERROR((IF(VLOOKUP(A629,'ECN-ECO_DATA'!B:V,19,FALSE)=0/1/1900,"",VLOOKUP(A629,'ECN-ECO_DATA'!B:V,19,FALSE))),"")</f>
        <v/>
      </c>
      <c r="O629" s="9" t="str">
        <f>IFERROR((IF(VLOOKUP(A629,'ECN-ECO_DATA'!B:V,20,FALSE)=0/1/1900,"",VLOOKUP(A629,'ECN-ECO_DATA'!B:V,20,FALSE))),"")</f>
        <v/>
      </c>
      <c r="P629" s="9" t="str">
        <f>IFERROR((IF(VLOOKUP(A629,'ECN-ECO_DATA'!B:V,21,FALSE)=0/1/1900,"",VLOOKUP(A629,'ECN-ECO_DATA'!B:V,21,FALSE))),"")</f>
        <v/>
      </c>
      <c r="Q629" s="10" t="str">
        <f t="shared" ca="1" si="45"/>
        <v/>
      </c>
      <c r="R629" s="4" t="str">
        <f t="shared" si="46"/>
        <v/>
      </c>
      <c r="S629" s="4" t="str">
        <f t="shared" si="47"/>
        <v/>
      </c>
      <c r="T629" s="4" t="str">
        <f t="shared" si="48"/>
        <v/>
      </c>
      <c r="U629" s="10" t="str">
        <f t="shared" si="49"/>
        <v/>
      </c>
      <c r="V629" s="4"/>
    </row>
    <row r="630" spans="2:22" x14ac:dyDescent="0.25">
      <c r="B630" s="4" t="str">
        <f>IFERROR(VLOOKUP(A630,'ECN-ECO_DATA'!B:G,4,FALSE),"")</f>
        <v/>
      </c>
      <c r="C630" s="9" t="str">
        <f>IFERROR(VLOOKUP(A630,'ECN-ECO_DATA'!B:G,5,FALSE),"")</f>
        <v/>
      </c>
      <c r="D630" s="9" t="str">
        <f ca="1">IFERROR((IF(VLOOKUP(A630,'ECN-ECO_DATA'!B:G,6,FALSE)=0/1/1900,TODAY(),VLOOKUP(A630,'ECN-ECO_DATA'!B:G,6,FALSE))),"")</f>
        <v/>
      </c>
      <c r="E630" s="9" t="str">
        <f>IFERROR((IF(VLOOKUP(A630,'ECN-ECO_DATA'!B:G,6,FALSE)=0/1/1900,"",VLOOKUP(A630,'ECN-ECO_DATA'!B:G,6,FALSE))),"")</f>
        <v/>
      </c>
      <c r="F630" s="9" t="str">
        <f>IFERROR((IF(VLOOKUP(A630,'ECN-ECO_DATA'!B:J,7,FALSE)=0/1/1900,"",VLOOKUP(A630,'ECN-ECO_DATA'!B:J,7,FALSE))),"")</f>
        <v/>
      </c>
      <c r="G630" s="9" t="str">
        <f>IFERROR((IF(VLOOKUP(A630,'ECN-ECO_DATA'!B:J,8,FALSE)=0/1/1900,"",VLOOKUP(A630,'ECN-ECO_DATA'!B:J,8,FALSE))),"")</f>
        <v/>
      </c>
      <c r="H630" s="9" t="str">
        <f>IFERROR((IF(VLOOKUP(A630,'ECN-ECO_DATA'!B:J,9,FALSE)=0/1/1900,"",VLOOKUP(A630,'ECN-ECO_DATA'!B:J,9,FALSE))),"")</f>
        <v/>
      </c>
      <c r="I630" s="10" t="str">
        <f>IFERROR((IF(VLOOKUP(A630,'ECN-ECO_DATA'!B:Q,13,FALSE)="","",VLOOKUP(A630,'ECN-ECO_DATA'!B:Q,13,FALSE))),"")</f>
        <v/>
      </c>
      <c r="J630" s="10" t="str">
        <f>IFERROR((IF(VLOOKUP(A630,'ECN-ECO_DATA'!B:Q,14,FALSE)="","",VLOOKUP(A630,'ECN-ECO_DATA'!B:Q,14,FALSE))),"")</f>
        <v/>
      </c>
      <c r="K630" s="10" t="str">
        <f>IFERROR((IF(VLOOKUP(A630,'ECN-ECO_DATA'!B:Q,15,FALSE)="","",VLOOKUP(A630,'ECN-ECO_DATA'!B:Q,15,FALSE))),"")</f>
        <v/>
      </c>
      <c r="L630" s="10" t="str">
        <f>IFERROR((IF(VLOOKUP(A630,'ECN-ECO_DATA'!B:Q,16,FALSE)="","",VLOOKUP(A630,'ECN-ECO_DATA'!B:Q,16,FALSE))),"")</f>
        <v/>
      </c>
      <c r="M630" s="9" t="str">
        <f>IFERROR((IF(VLOOKUP(A630,'ECN-ECO_DATA'!B:V,18,FALSE)=0/1/1900,"",VLOOKUP(A630,'ECN-ECO_DATA'!B:V,18,FALSE))),"")</f>
        <v/>
      </c>
      <c r="N630" s="9" t="str">
        <f>IFERROR((IF(VLOOKUP(A630,'ECN-ECO_DATA'!B:V,19,FALSE)=0/1/1900,"",VLOOKUP(A630,'ECN-ECO_DATA'!B:V,19,FALSE))),"")</f>
        <v/>
      </c>
      <c r="O630" s="9" t="str">
        <f>IFERROR((IF(VLOOKUP(A630,'ECN-ECO_DATA'!B:V,20,FALSE)=0/1/1900,"",VLOOKUP(A630,'ECN-ECO_DATA'!B:V,20,FALSE))),"")</f>
        <v/>
      </c>
      <c r="P630" s="9" t="str">
        <f>IFERROR((IF(VLOOKUP(A630,'ECN-ECO_DATA'!B:V,21,FALSE)=0/1/1900,"",VLOOKUP(A630,'ECN-ECO_DATA'!B:V,21,FALSE))),"")</f>
        <v/>
      </c>
      <c r="Q630" s="10" t="str">
        <f t="shared" ca="1" si="45"/>
        <v/>
      </c>
      <c r="R630" s="4" t="str">
        <f t="shared" si="46"/>
        <v/>
      </c>
      <c r="S630" s="4" t="str">
        <f t="shared" si="47"/>
        <v/>
      </c>
      <c r="T630" s="4" t="str">
        <f t="shared" si="48"/>
        <v/>
      </c>
      <c r="U630" s="10" t="str">
        <f t="shared" si="49"/>
        <v/>
      </c>
      <c r="V630" s="4"/>
    </row>
    <row r="631" spans="2:22" x14ac:dyDescent="0.25">
      <c r="B631" s="4" t="str">
        <f>IFERROR(VLOOKUP(A631,'ECN-ECO_DATA'!B:G,4,FALSE),"")</f>
        <v/>
      </c>
      <c r="C631" s="9" t="str">
        <f>IFERROR(VLOOKUP(A631,'ECN-ECO_DATA'!B:G,5,FALSE),"")</f>
        <v/>
      </c>
      <c r="D631" s="9" t="str">
        <f ca="1">IFERROR((IF(VLOOKUP(A631,'ECN-ECO_DATA'!B:G,6,FALSE)=0/1/1900,TODAY(),VLOOKUP(A631,'ECN-ECO_DATA'!B:G,6,FALSE))),"")</f>
        <v/>
      </c>
      <c r="E631" s="9" t="str">
        <f>IFERROR((IF(VLOOKUP(A631,'ECN-ECO_DATA'!B:G,6,FALSE)=0/1/1900,"",VLOOKUP(A631,'ECN-ECO_DATA'!B:G,6,FALSE))),"")</f>
        <v/>
      </c>
      <c r="F631" s="9" t="str">
        <f>IFERROR((IF(VLOOKUP(A631,'ECN-ECO_DATA'!B:J,7,FALSE)=0/1/1900,"",VLOOKUP(A631,'ECN-ECO_DATA'!B:J,7,FALSE))),"")</f>
        <v/>
      </c>
      <c r="G631" s="9" t="str">
        <f>IFERROR((IF(VLOOKUP(A631,'ECN-ECO_DATA'!B:J,8,FALSE)=0/1/1900,"",VLOOKUP(A631,'ECN-ECO_DATA'!B:J,8,FALSE))),"")</f>
        <v/>
      </c>
      <c r="H631" s="9" t="str">
        <f>IFERROR((IF(VLOOKUP(A631,'ECN-ECO_DATA'!B:J,9,FALSE)=0/1/1900,"",VLOOKUP(A631,'ECN-ECO_DATA'!B:J,9,FALSE))),"")</f>
        <v/>
      </c>
      <c r="I631" s="10" t="str">
        <f>IFERROR((IF(VLOOKUP(A631,'ECN-ECO_DATA'!B:Q,13,FALSE)="","",VLOOKUP(A631,'ECN-ECO_DATA'!B:Q,13,FALSE))),"")</f>
        <v/>
      </c>
      <c r="J631" s="10" t="str">
        <f>IFERROR((IF(VLOOKUP(A631,'ECN-ECO_DATA'!B:Q,14,FALSE)="","",VLOOKUP(A631,'ECN-ECO_DATA'!B:Q,14,FALSE))),"")</f>
        <v/>
      </c>
      <c r="K631" s="10" t="str">
        <f>IFERROR((IF(VLOOKUP(A631,'ECN-ECO_DATA'!B:Q,15,FALSE)="","",VLOOKUP(A631,'ECN-ECO_DATA'!B:Q,15,FALSE))),"")</f>
        <v/>
      </c>
      <c r="L631" s="10" t="str">
        <f>IFERROR((IF(VLOOKUP(A631,'ECN-ECO_DATA'!B:Q,16,FALSE)="","",VLOOKUP(A631,'ECN-ECO_DATA'!B:Q,16,FALSE))),"")</f>
        <v/>
      </c>
      <c r="M631" s="9" t="str">
        <f>IFERROR((IF(VLOOKUP(A631,'ECN-ECO_DATA'!B:V,18,FALSE)=0/1/1900,"",VLOOKUP(A631,'ECN-ECO_DATA'!B:V,18,FALSE))),"")</f>
        <v/>
      </c>
      <c r="N631" s="9" t="str">
        <f>IFERROR((IF(VLOOKUP(A631,'ECN-ECO_DATA'!B:V,19,FALSE)=0/1/1900,"",VLOOKUP(A631,'ECN-ECO_DATA'!B:V,19,FALSE))),"")</f>
        <v/>
      </c>
      <c r="O631" s="9" t="str">
        <f>IFERROR((IF(VLOOKUP(A631,'ECN-ECO_DATA'!B:V,20,FALSE)=0/1/1900,"",VLOOKUP(A631,'ECN-ECO_DATA'!B:V,20,FALSE))),"")</f>
        <v/>
      </c>
      <c r="P631" s="9" t="str">
        <f>IFERROR((IF(VLOOKUP(A631,'ECN-ECO_DATA'!B:V,21,FALSE)=0/1/1900,"",VLOOKUP(A631,'ECN-ECO_DATA'!B:V,21,FALSE))),"")</f>
        <v/>
      </c>
      <c r="Q631" s="10" t="str">
        <f t="shared" ca="1" si="45"/>
        <v/>
      </c>
      <c r="R631" s="4" t="str">
        <f t="shared" si="46"/>
        <v/>
      </c>
      <c r="S631" s="4" t="str">
        <f t="shared" si="47"/>
        <v/>
      </c>
      <c r="T631" s="4" t="str">
        <f t="shared" si="48"/>
        <v/>
      </c>
      <c r="U631" s="10" t="str">
        <f t="shared" si="49"/>
        <v/>
      </c>
      <c r="V631" s="4"/>
    </row>
    <row r="632" spans="2:22" x14ac:dyDescent="0.25">
      <c r="B632" s="4" t="str">
        <f>IFERROR(VLOOKUP(A632,'ECN-ECO_DATA'!B:G,4,FALSE),"")</f>
        <v/>
      </c>
      <c r="C632" s="9" t="str">
        <f>IFERROR(VLOOKUP(A632,'ECN-ECO_DATA'!B:G,5,FALSE),"")</f>
        <v/>
      </c>
      <c r="D632" s="9" t="str">
        <f ca="1">IFERROR((IF(VLOOKUP(A632,'ECN-ECO_DATA'!B:G,6,FALSE)=0/1/1900,TODAY(),VLOOKUP(A632,'ECN-ECO_DATA'!B:G,6,FALSE))),"")</f>
        <v/>
      </c>
      <c r="E632" s="9" t="str">
        <f>IFERROR((IF(VLOOKUP(A632,'ECN-ECO_DATA'!B:G,6,FALSE)=0/1/1900,"",VLOOKUP(A632,'ECN-ECO_DATA'!B:G,6,FALSE))),"")</f>
        <v/>
      </c>
      <c r="F632" s="9" t="str">
        <f>IFERROR((IF(VLOOKUP(A632,'ECN-ECO_DATA'!B:J,7,FALSE)=0/1/1900,"",VLOOKUP(A632,'ECN-ECO_DATA'!B:J,7,FALSE))),"")</f>
        <v/>
      </c>
      <c r="G632" s="9" t="str">
        <f>IFERROR((IF(VLOOKUP(A632,'ECN-ECO_DATA'!B:J,8,FALSE)=0/1/1900,"",VLOOKUP(A632,'ECN-ECO_DATA'!B:J,8,FALSE))),"")</f>
        <v/>
      </c>
      <c r="H632" s="9" t="str">
        <f>IFERROR((IF(VLOOKUP(A632,'ECN-ECO_DATA'!B:J,9,FALSE)=0/1/1900,"",VLOOKUP(A632,'ECN-ECO_DATA'!B:J,9,FALSE))),"")</f>
        <v/>
      </c>
      <c r="I632" s="10" t="str">
        <f>IFERROR((IF(VLOOKUP(A632,'ECN-ECO_DATA'!B:Q,13,FALSE)="","",VLOOKUP(A632,'ECN-ECO_DATA'!B:Q,13,FALSE))),"")</f>
        <v/>
      </c>
      <c r="J632" s="10" t="str">
        <f>IFERROR((IF(VLOOKUP(A632,'ECN-ECO_DATA'!B:Q,14,FALSE)="","",VLOOKUP(A632,'ECN-ECO_DATA'!B:Q,14,FALSE))),"")</f>
        <v/>
      </c>
      <c r="K632" s="10" t="str">
        <f>IFERROR((IF(VLOOKUP(A632,'ECN-ECO_DATA'!B:Q,15,FALSE)="","",VLOOKUP(A632,'ECN-ECO_DATA'!B:Q,15,FALSE))),"")</f>
        <v/>
      </c>
      <c r="L632" s="10" t="str">
        <f>IFERROR((IF(VLOOKUP(A632,'ECN-ECO_DATA'!B:Q,16,FALSE)="","",VLOOKUP(A632,'ECN-ECO_DATA'!B:Q,16,FALSE))),"")</f>
        <v/>
      </c>
      <c r="M632" s="9" t="str">
        <f>IFERROR((IF(VLOOKUP(A632,'ECN-ECO_DATA'!B:V,18,FALSE)=0/1/1900,"",VLOOKUP(A632,'ECN-ECO_DATA'!B:V,18,FALSE))),"")</f>
        <v/>
      </c>
      <c r="N632" s="9" t="str">
        <f>IFERROR((IF(VLOOKUP(A632,'ECN-ECO_DATA'!B:V,19,FALSE)=0/1/1900,"",VLOOKUP(A632,'ECN-ECO_DATA'!B:V,19,FALSE))),"")</f>
        <v/>
      </c>
      <c r="O632" s="9" t="str">
        <f>IFERROR((IF(VLOOKUP(A632,'ECN-ECO_DATA'!B:V,20,FALSE)=0/1/1900,"",VLOOKUP(A632,'ECN-ECO_DATA'!B:V,20,FALSE))),"")</f>
        <v/>
      </c>
      <c r="P632" s="9" t="str">
        <f>IFERROR((IF(VLOOKUP(A632,'ECN-ECO_DATA'!B:V,21,FALSE)=0/1/1900,"",VLOOKUP(A632,'ECN-ECO_DATA'!B:V,21,FALSE))),"")</f>
        <v/>
      </c>
      <c r="Q632" s="10" t="str">
        <f t="shared" ca="1" si="45"/>
        <v/>
      </c>
      <c r="R632" s="4" t="str">
        <f t="shared" si="46"/>
        <v/>
      </c>
      <c r="S632" s="4" t="str">
        <f t="shared" si="47"/>
        <v/>
      </c>
      <c r="T632" s="4" t="str">
        <f t="shared" si="48"/>
        <v/>
      </c>
      <c r="U632" s="10" t="str">
        <f t="shared" si="49"/>
        <v/>
      </c>
      <c r="V632" s="4"/>
    </row>
    <row r="633" spans="2:22" x14ac:dyDescent="0.25">
      <c r="B633" s="4" t="str">
        <f>IFERROR(VLOOKUP(A633,'ECN-ECO_DATA'!B:G,4,FALSE),"")</f>
        <v/>
      </c>
      <c r="C633" s="9" t="str">
        <f>IFERROR(VLOOKUP(A633,'ECN-ECO_DATA'!B:G,5,FALSE),"")</f>
        <v/>
      </c>
      <c r="D633" s="9" t="str">
        <f ca="1">IFERROR((IF(VLOOKUP(A633,'ECN-ECO_DATA'!B:G,6,FALSE)=0/1/1900,TODAY(),VLOOKUP(A633,'ECN-ECO_DATA'!B:G,6,FALSE))),"")</f>
        <v/>
      </c>
      <c r="E633" s="9" t="str">
        <f>IFERROR((IF(VLOOKUP(A633,'ECN-ECO_DATA'!B:G,6,FALSE)=0/1/1900,"",VLOOKUP(A633,'ECN-ECO_DATA'!B:G,6,FALSE))),"")</f>
        <v/>
      </c>
      <c r="F633" s="9" t="str">
        <f>IFERROR((IF(VLOOKUP(A633,'ECN-ECO_DATA'!B:J,7,FALSE)=0/1/1900,"",VLOOKUP(A633,'ECN-ECO_DATA'!B:J,7,FALSE))),"")</f>
        <v/>
      </c>
      <c r="G633" s="9" t="str">
        <f>IFERROR((IF(VLOOKUP(A633,'ECN-ECO_DATA'!B:J,8,FALSE)=0/1/1900,"",VLOOKUP(A633,'ECN-ECO_DATA'!B:J,8,FALSE))),"")</f>
        <v/>
      </c>
      <c r="H633" s="9" t="str">
        <f>IFERROR((IF(VLOOKUP(A633,'ECN-ECO_DATA'!B:J,9,FALSE)=0/1/1900,"",VLOOKUP(A633,'ECN-ECO_DATA'!B:J,9,FALSE))),"")</f>
        <v/>
      </c>
      <c r="I633" s="10" t="str">
        <f>IFERROR((IF(VLOOKUP(A633,'ECN-ECO_DATA'!B:Q,13,FALSE)="","",VLOOKUP(A633,'ECN-ECO_DATA'!B:Q,13,FALSE))),"")</f>
        <v/>
      </c>
      <c r="J633" s="10" t="str">
        <f>IFERROR((IF(VLOOKUP(A633,'ECN-ECO_DATA'!B:Q,14,FALSE)="","",VLOOKUP(A633,'ECN-ECO_DATA'!B:Q,14,FALSE))),"")</f>
        <v/>
      </c>
      <c r="K633" s="10" t="str">
        <f>IFERROR((IF(VLOOKUP(A633,'ECN-ECO_DATA'!B:Q,15,FALSE)="","",VLOOKUP(A633,'ECN-ECO_DATA'!B:Q,15,FALSE))),"")</f>
        <v/>
      </c>
      <c r="L633" s="10" t="str">
        <f>IFERROR((IF(VLOOKUP(A633,'ECN-ECO_DATA'!B:Q,16,FALSE)="","",VLOOKUP(A633,'ECN-ECO_DATA'!B:Q,16,FALSE))),"")</f>
        <v/>
      </c>
      <c r="M633" s="9" t="str">
        <f>IFERROR((IF(VLOOKUP(A633,'ECN-ECO_DATA'!B:V,18,FALSE)=0/1/1900,"",VLOOKUP(A633,'ECN-ECO_DATA'!B:V,18,FALSE))),"")</f>
        <v/>
      </c>
      <c r="N633" s="9" t="str">
        <f>IFERROR((IF(VLOOKUP(A633,'ECN-ECO_DATA'!B:V,19,FALSE)=0/1/1900,"",VLOOKUP(A633,'ECN-ECO_DATA'!B:V,19,FALSE))),"")</f>
        <v/>
      </c>
      <c r="O633" s="9" t="str">
        <f>IFERROR((IF(VLOOKUP(A633,'ECN-ECO_DATA'!B:V,20,FALSE)=0/1/1900,"",VLOOKUP(A633,'ECN-ECO_DATA'!B:V,20,FALSE))),"")</f>
        <v/>
      </c>
      <c r="P633" s="9" t="str">
        <f>IFERROR((IF(VLOOKUP(A633,'ECN-ECO_DATA'!B:V,21,FALSE)=0/1/1900,"",VLOOKUP(A633,'ECN-ECO_DATA'!B:V,21,FALSE))),"")</f>
        <v/>
      </c>
      <c r="Q633" s="10" t="str">
        <f t="shared" ca="1" si="45"/>
        <v/>
      </c>
      <c r="R633" s="4" t="str">
        <f t="shared" si="46"/>
        <v/>
      </c>
      <c r="S633" s="4" t="str">
        <f t="shared" si="47"/>
        <v/>
      </c>
      <c r="T633" s="4" t="str">
        <f t="shared" si="48"/>
        <v/>
      </c>
      <c r="U633" s="10" t="str">
        <f t="shared" si="49"/>
        <v/>
      </c>
      <c r="V633" s="4"/>
    </row>
    <row r="634" spans="2:22" x14ac:dyDescent="0.25">
      <c r="B634" s="4" t="str">
        <f>IFERROR(VLOOKUP(A634,'ECN-ECO_DATA'!B:G,4,FALSE),"")</f>
        <v/>
      </c>
      <c r="C634" s="9" t="str">
        <f>IFERROR(VLOOKUP(A634,'ECN-ECO_DATA'!B:G,5,FALSE),"")</f>
        <v/>
      </c>
      <c r="D634" s="9" t="str">
        <f ca="1">IFERROR((IF(VLOOKUP(A634,'ECN-ECO_DATA'!B:G,6,FALSE)=0/1/1900,TODAY(),VLOOKUP(A634,'ECN-ECO_DATA'!B:G,6,FALSE))),"")</f>
        <v/>
      </c>
      <c r="E634" s="9" t="str">
        <f>IFERROR((IF(VLOOKUP(A634,'ECN-ECO_DATA'!B:G,6,FALSE)=0/1/1900,"",VLOOKUP(A634,'ECN-ECO_DATA'!B:G,6,FALSE))),"")</f>
        <v/>
      </c>
      <c r="F634" s="9" t="str">
        <f>IFERROR((IF(VLOOKUP(A634,'ECN-ECO_DATA'!B:J,7,FALSE)=0/1/1900,"",VLOOKUP(A634,'ECN-ECO_DATA'!B:J,7,FALSE))),"")</f>
        <v/>
      </c>
      <c r="G634" s="9" t="str">
        <f>IFERROR((IF(VLOOKUP(A634,'ECN-ECO_DATA'!B:J,8,FALSE)=0/1/1900,"",VLOOKUP(A634,'ECN-ECO_DATA'!B:J,8,FALSE))),"")</f>
        <v/>
      </c>
      <c r="H634" s="9" t="str">
        <f>IFERROR((IF(VLOOKUP(A634,'ECN-ECO_DATA'!B:J,9,FALSE)=0/1/1900,"",VLOOKUP(A634,'ECN-ECO_DATA'!B:J,9,FALSE))),"")</f>
        <v/>
      </c>
      <c r="I634" s="10" t="str">
        <f>IFERROR((IF(VLOOKUP(A634,'ECN-ECO_DATA'!B:Q,13,FALSE)="","",VLOOKUP(A634,'ECN-ECO_DATA'!B:Q,13,FALSE))),"")</f>
        <v/>
      </c>
      <c r="J634" s="10" t="str">
        <f>IFERROR((IF(VLOOKUP(A634,'ECN-ECO_DATA'!B:Q,14,FALSE)="","",VLOOKUP(A634,'ECN-ECO_DATA'!B:Q,14,FALSE))),"")</f>
        <v/>
      </c>
      <c r="K634" s="10" t="str">
        <f>IFERROR((IF(VLOOKUP(A634,'ECN-ECO_DATA'!B:Q,15,FALSE)="","",VLOOKUP(A634,'ECN-ECO_DATA'!B:Q,15,FALSE))),"")</f>
        <v/>
      </c>
      <c r="L634" s="10" t="str">
        <f>IFERROR((IF(VLOOKUP(A634,'ECN-ECO_DATA'!B:Q,16,FALSE)="","",VLOOKUP(A634,'ECN-ECO_DATA'!B:Q,16,FALSE))),"")</f>
        <v/>
      </c>
      <c r="M634" s="9" t="str">
        <f>IFERROR((IF(VLOOKUP(A634,'ECN-ECO_DATA'!B:V,18,FALSE)=0/1/1900,"",VLOOKUP(A634,'ECN-ECO_DATA'!B:V,18,FALSE))),"")</f>
        <v/>
      </c>
      <c r="N634" s="9" t="str">
        <f>IFERROR((IF(VLOOKUP(A634,'ECN-ECO_DATA'!B:V,19,FALSE)=0/1/1900,"",VLOOKUP(A634,'ECN-ECO_DATA'!B:V,19,FALSE))),"")</f>
        <v/>
      </c>
      <c r="O634" s="9" t="str">
        <f>IFERROR((IF(VLOOKUP(A634,'ECN-ECO_DATA'!B:V,20,FALSE)=0/1/1900,"",VLOOKUP(A634,'ECN-ECO_DATA'!B:V,20,FALSE))),"")</f>
        <v/>
      </c>
      <c r="P634" s="9" t="str">
        <f>IFERROR((IF(VLOOKUP(A634,'ECN-ECO_DATA'!B:V,21,FALSE)=0/1/1900,"",VLOOKUP(A634,'ECN-ECO_DATA'!B:V,21,FALSE))),"")</f>
        <v/>
      </c>
      <c r="Q634" s="10" t="str">
        <f t="shared" ca="1" si="45"/>
        <v/>
      </c>
      <c r="R634" s="4" t="str">
        <f t="shared" si="46"/>
        <v/>
      </c>
      <c r="S634" s="4" t="str">
        <f t="shared" si="47"/>
        <v/>
      </c>
      <c r="T634" s="4" t="str">
        <f t="shared" si="48"/>
        <v/>
      </c>
      <c r="U634" s="10" t="str">
        <f t="shared" si="49"/>
        <v/>
      </c>
      <c r="V634" s="4"/>
    </row>
    <row r="635" spans="2:22" x14ac:dyDescent="0.25">
      <c r="B635" s="4" t="str">
        <f>IFERROR(VLOOKUP(A635,'ECN-ECO_DATA'!B:G,4,FALSE),"")</f>
        <v/>
      </c>
      <c r="C635" s="9" t="str">
        <f>IFERROR(VLOOKUP(A635,'ECN-ECO_DATA'!B:G,5,FALSE),"")</f>
        <v/>
      </c>
      <c r="D635" s="9" t="str">
        <f ca="1">IFERROR((IF(VLOOKUP(A635,'ECN-ECO_DATA'!B:G,6,FALSE)=0/1/1900,TODAY(),VLOOKUP(A635,'ECN-ECO_DATA'!B:G,6,FALSE))),"")</f>
        <v/>
      </c>
      <c r="E635" s="9" t="str">
        <f>IFERROR((IF(VLOOKUP(A635,'ECN-ECO_DATA'!B:G,6,FALSE)=0/1/1900,"",VLOOKUP(A635,'ECN-ECO_DATA'!B:G,6,FALSE))),"")</f>
        <v/>
      </c>
      <c r="F635" s="9" t="str">
        <f>IFERROR((IF(VLOOKUP(A635,'ECN-ECO_DATA'!B:J,7,FALSE)=0/1/1900,"",VLOOKUP(A635,'ECN-ECO_DATA'!B:J,7,FALSE))),"")</f>
        <v/>
      </c>
      <c r="G635" s="9" t="str">
        <f>IFERROR((IF(VLOOKUP(A635,'ECN-ECO_DATA'!B:J,8,FALSE)=0/1/1900,"",VLOOKUP(A635,'ECN-ECO_DATA'!B:J,8,FALSE))),"")</f>
        <v/>
      </c>
      <c r="H635" s="9" t="str">
        <f>IFERROR((IF(VLOOKUP(A635,'ECN-ECO_DATA'!B:J,9,FALSE)=0/1/1900,"",VLOOKUP(A635,'ECN-ECO_DATA'!B:J,9,FALSE))),"")</f>
        <v/>
      </c>
      <c r="I635" s="10" t="str">
        <f>IFERROR((IF(VLOOKUP(A635,'ECN-ECO_DATA'!B:Q,13,FALSE)="","",VLOOKUP(A635,'ECN-ECO_DATA'!B:Q,13,FALSE))),"")</f>
        <v/>
      </c>
      <c r="J635" s="10" t="str">
        <f>IFERROR((IF(VLOOKUP(A635,'ECN-ECO_DATA'!B:Q,14,FALSE)="","",VLOOKUP(A635,'ECN-ECO_DATA'!B:Q,14,FALSE))),"")</f>
        <v/>
      </c>
      <c r="K635" s="10" t="str">
        <f>IFERROR((IF(VLOOKUP(A635,'ECN-ECO_DATA'!B:Q,15,FALSE)="","",VLOOKUP(A635,'ECN-ECO_DATA'!B:Q,15,FALSE))),"")</f>
        <v/>
      </c>
      <c r="L635" s="10" t="str">
        <f>IFERROR((IF(VLOOKUP(A635,'ECN-ECO_DATA'!B:Q,16,FALSE)="","",VLOOKUP(A635,'ECN-ECO_DATA'!B:Q,16,FALSE))),"")</f>
        <v/>
      </c>
      <c r="M635" s="9" t="str">
        <f>IFERROR((IF(VLOOKUP(A635,'ECN-ECO_DATA'!B:V,18,FALSE)=0/1/1900,"",VLOOKUP(A635,'ECN-ECO_DATA'!B:V,18,FALSE))),"")</f>
        <v/>
      </c>
      <c r="N635" s="9" t="str">
        <f>IFERROR((IF(VLOOKUP(A635,'ECN-ECO_DATA'!B:V,19,FALSE)=0/1/1900,"",VLOOKUP(A635,'ECN-ECO_DATA'!B:V,19,FALSE))),"")</f>
        <v/>
      </c>
      <c r="O635" s="9" t="str">
        <f>IFERROR((IF(VLOOKUP(A635,'ECN-ECO_DATA'!B:V,20,FALSE)=0/1/1900,"",VLOOKUP(A635,'ECN-ECO_DATA'!B:V,20,FALSE))),"")</f>
        <v/>
      </c>
      <c r="P635" s="9" t="str">
        <f>IFERROR((IF(VLOOKUP(A635,'ECN-ECO_DATA'!B:V,21,FALSE)=0/1/1900,"",VLOOKUP(A635,'ECN-ECO_DATA'!B:V,21,FALSE))),"")</f>
        <v/>
      </c>
      <c r="Q635" s="10" t="str">
        <f t="shared" ca="1" si="45"/>
        <v/>
      </c>
      <c r="R635" s="4" t="str">
        <f t="shared" si="46"/>
        <v/>
      </c>
      <c r="S635" s="4" t="str">
        <f t="shared" si="47"/>
        <v/>
      </c>
      <c r="T635" s="4" t="str">
        <f t="shared" si="48"/>
        <v/>
      </c>
      <c r="U635" s="10" t="str">
        <f t="shared" si="49"/>
        <v/>
      </c>
      <c r="V635" s="4"/>
    </row>
    <row r="636" spans="2:22" x14ac:dyDescent="0.25">
      <c r="B636" s="4" t="str">
        <f>IFERROR(VLOOKUP(A636,'ECN-ECO_DATA'!B:G,4,FALSE),"")</f>
        <v/>
      </c>
      <c r="C636" s="9" t="str">
        <f>IFERROR(VLOOKUP(A636,'ECN-ECO_DATA'!B:G,5,FALSE),"")</f>
        <v/>
      </c>
      <c r="D636" s="9" t="str">
        <f ca="1">IFERROR((IF(VLOOKUP(A636,'ECN-ECO_DATA'!B:G,6,FALSE)=0/1/1900,TODAY(),VLOOKUP(A636,'ECN-ECO_DATA'!B:G,6,FALSE))),"")</f>
        <v/>
      </c>
      <c r="E636" s="9" t="str">
        <f>IFERROR((IF(VLOOKUP(A636,'ECN-ECO_DATA'!B:G,6,FALSE)=0/1/1900,"",VLOOKUP(A636,'ECN-ECO_DATA'!B:G,6,FALSE))),"")</f>
        <v/>
      </c>
      <c r="F636" s="9" t="str">
        <f>IFERROR((IF(VLOOKUP(A636,'ECN-ECO_DATA'!B:J,7,FALSE)=0/1/1900,"",VLOOKUP(A636,'ECN-ECO_DATA'!B:J,7,FALSE))),"")</f>
        <v/>
      </c>
      <c r="G636" s="9" t="str">
        <f>IFERROR((IF(VLOOKUP(A636,'ECN-ECO_DATA'!B:J,8,FALSE)=0/1/1900,"",VLOOKUP(A636,'ECN-ECO_DATA'!B:J,8,FALSE))),"")</f>
        <v/>
      </c>
      <c r="H636" s="9" t="str">
        <f>IFERROR((IF(VLOOKUP(A636,'ECN-ECO_DATA'!B:J,9,FALSE)=0/1/1900,"",VLOOKUP(A636,'ECN-ECO_DATA'!B:J,9,FALSE))),"")</f>
        <v/>
      </c>
      <c r="I636" s="10" t="str">
        <f>IFERROR((IF(VLOOKUP(A636,'ECN-ECO_DATA'!B:Q,13,FALSE)="","",VLOOKUP(A636,'ECN-ECO_DATA'!B:Q,13,FALSE))),"")</f>
        <v/>
      </c>
      <c r="J636" s="10" t="str">
        <f>IFERROR((IF(VLOOKUP(A636,'ECN-ECO_DATA'!B:Q,14,FALSE)="","",VLOOKUP(A636,'ECN-ECO_DATA'!B:Q,14,FALSE))),"")</f>
        <v/>
      </c>
      <c r="K636" s="10" t="str">
        <f>IFERROR((IF(VLOOKUP(A636,'ECN-ECO_DATA'!B:Q,15,FALSE)="","",VLOOKUP(A636,'ECN-ECO_DATA'!B:Q,15,FALSE))),"")</f>
        <v/>
      </c>
      <c r="L636" s="10" t="str">
        <f>IFERROR((IF(VLOOKUP(A636,'ECN-ECO_DATA'!B:Q,16,FALSE)="","",VLOOKUP(A636,'ECN-ECO_DATA'!B:Q,16,FALSE))),"")</f>
        <v/>
      </c>
      <c r="M636" s="9" t="str">
        <f>IFERROR((IF(VLOOKUP(A636,'ECN-ECO_DATA'!B:V,18,FALSE)=0/1/1900,"",VLOOKUP(A636,'ECN-ECO_DATA'!B:V,18,FALSE))),"")</f>
        <v/>
      </c>
      <c r="N636" s="9" t="str">
        <f>IFERROR((IF(VLOOKUP(A636,'ECN-ECO_DATA'!B:V,19,FALSE)=0/1/1900,"",VLOOKUP(A636,'ECN-ECO_DATA'!B:V,19,FALSE))),"")</f>
        <v/>
      </c>
      <c r="O636" s="9" t="str">
        <f>IFERROR((IF(VLOOKUP(A636,'ECN-ECO_DATA'!B:V,20,FALSE)=0/1/1900,"",VLOOKUP(A636,'ECN-ECO_DATA'!B:V,20,FALSE))),"")</f>
        <v/>
      </c>
      <c r="P636" s="9" t="str">
        <f>IFERROR((IF(VLOOKUP(A636,'ECN-ECO_DATA'!B:V,21,FALSE)=0/1/1900,"",VLOOKUP(A636,'ECN-ECO_DATA'!B:V,21,FALSE))),"")</f>
        <v/>
      </c>
      <c r="Q636" s="10" t="str">
        <f t="shared" ca="1" si="45"/>
        <v/>
      </c>
      <c r="R636" s="4" t="str">
        <f t="shared" si="46"/>
        <v/>
      </c>
      <c r="S636" s="4" t="str">
        <f t="shared" si="47"/>
        <v/>
      </c>
      <c r="T636" s="4" t="str">
        <f t="shared" si="48"/>
        <v/>
      </c>
      <c r="U636" s="10" t="str">
        <f t="shared" si="49"/>
        <v/>
      </c>
      <c r="V636" s="4"/>
    </row>
    <row r="637" spans="2:22" x14ac:dyDescent="0.25">
      <c r="B637" s="4" t="str">
        <f>IFERROR(VLOOKUP(A637,'ECN-ECO_DATA'!B:G,4,FALSE),"")</f>
        <v/>
      </c>
      <c r="C637" s="9" t="str">
        <f>IFERROR(VLOOKUP(A637,'ECN-ECO_DATA'!B:G,5,FALSE),"")</f>
        <v/>
      </c>
      <c r="D637" s="9" t="str">
        <f ca="1">IFERROR((IF(VLOOKUP(A637,'ECN-ECO_DATA'!B:G,6,FALSE)=0/1/1900,TODAY(),VLOOKUP(A637,'ECN-ECO_DATA'!B:G,6,FALSE))),"")</f>
        <v/>
      </c>
      <c r="E637" s="9" t="str">
        <f>IFERROR((IF(VLOOKUP(A637,'ECN-ECO_DATA'!B:G,6,FALSE)=0/1/1900,"",VLOOKUP(A637,'ECN-ECO_DATA'!B:G,6,FALSE))),"")</f>
        <v/>
      </c>
      <c r="F637" s="9" t="str">
        <f>IFERROR((IF(VLOOKUP(A637,'ECN-ECO_DATA'!B:J,7,FALSE)=0/1/1900,"",VLOOKUP(A637,'ECN-ECO_DATA'!B:J,7,FALSE))),"")</f>
        <v/>
      </c>
      <c r="G637" s="9" t="str">
        <f>IFERROR((IF(VLOOKUP(A637,'ECN-ECO_DATA'!B:J,8,FALSE)=0/1/1900,"",VLOOKUP(A637,'ECN-ECO_DATA'!B:J,8,FALSE))),"")</f>
        <v/>
      </c>
      <c r="H637" s="9" t="str">
        <f>IFERROR((IF(VLOOKUP(A637,'ECN-ECO_DATA'!B:J,9,FALSE)=0/1/1900,"",VLOOKUP(A637,'ECN-ECO_DATA'!B:J,9,FALSE))),"")</f>
        <v/>
      </c>
      <c r="I637" s="10" t="str">
        <f>IFERROR((IF(VLOOKUP(A637,'ECN-ECO_DATA'!B:Q,13,FALSE)="","",VLOOKUP(A637,'ECN-ECO_DATA'!B:Q,13,FALSE))),"")</f>
        <v/>
      </c>
      <c r="J637" s="10" t="str">
        <f>IFERROR((IF(VLOOKUP(A637,'ECN-ECO_DATA'!B:Q,14,FALSE)="","",VLOOKUP(A637,'ECN-ECO_DATA'!B:Q,14,FALSE))),"")</f>
        <v/>
      </c>
      <c r="K637" s="10" t="str">
        <f>IFERROR((IF(VLOOKUP(A637,'ECN-ECO_DATA'!B:Q,15,FALSE)="","",VLOOKUP(A637,'ECN-ECO_DATA'!B:Q,15,FALSE))),"")</f>
        <v/>
      </c>
      <c r="L637" s="10" t="str">
        <f>IFERROR((IF(VLOOKUP(A637,'ECN-ECO_DATA'!B:Q,16,FALSE)="","",VLOOKUP(A637,'ECN-ECO_DATA'!B:Q,16,FALSE))),"")</f>
        <v/>
      </c>
      <c r="M637" s="9" t="str">
        <f>IFERROR((IF(VLOOKUP(A637,'ECN-ECO_DATA'!B:V,18,FALSE)=0/1/1900,"",VLOOKUP(A637,'ECN-ECO_DATA'!B:V,18,FALSE))),"")</f>
        <v/>
      </c>
      <c r="N637" s="9" t="str">
        <f>IFERROR((IF(VLOOKUP(A637,'ECN-ECO_DATA'!B:V,19,FALSE)=0/1/1900,"",VLOOKUP(A637,'ECN-ECO_DATA'!B:V,19,FALSE))),"")</f>
        <v/>
      </c>
      <c r="O637" s="9" t="str">
        <f>IFERROR((IF(VLOOKUP(A637,'ECN-ECO_DATA'!B:V,20,FALSE)=0/1/1900,"",VLOOKUP(A637,'ECN-ECO_DATA'!B:V,20,FALSE))),"")</f>
        <v/>
      </c>
      <c r="P637" s="9" t="str">
        <f>IFERROR((IF(VLOOKUP(A637,'ECN-ECO_DATA'!B:V,21,FALSE)=0/1/1900,"",VLOOKUP(A637,'ECN-ECO_DATA'!B:V,21,FALSE))),"")</f>
        <v/>
      </c>
      <c r="Q637" s="10" t="str">
        <f t="shared" ca="1" si="45"/>
        <v/>
      </c>
      <c r="R637" s="4" t="str">
        <f t="shared" si="46"/>
        <v/>
      </c>
      <c r="S637" s="4" t="str">
        <f t="shared" si="47"/>
        <v/>
      </c>
      <c r="T637" s="4" t="str">
        <f t="shared" si="48"/>
        <v/>
      </c>
      <c r="U637" s="10" t="str">
        <f t="shared" si="49"/>
        <v/>
      </c>
      <c r="V637" s="4"/>
    </row>
    <row r="638" spans="2:22" x14ac:dyDescent="0.25">
      <c r="B638" s="4" t="str">
        <f>IFERROR(VLOOKUP(A638,'ECN-ECO_DATA'!B:G,4,FALSE),"")</f>
        <v/>
      </c>
      <c r="C638" s="9" t="str">
        <f>IFERROR(VLOOKUP(A638,'ECN-ECO_DATA'!B:G,5,FALSE),"")</f>
        <v/>
      </c>
      <c r="D638" s="9" t="str">
        <f ca="1">IFERROR((IF(VLOOKUP(A638,'ECN-ECO_DATA'!B:G,6,FALSE)=0/1/1900,TODAY(),VLOOKUP(A638,'ECN-ECO_DATA'!B:G,6,FALSE))),"")</f>
        <v/>
      </c>
      <c r="E638" s="9" t="str">
        <f>IFERROR((IF(VLOOKUP(A638,'ECN-ECO_DATA'!B:G,6,FALSE)=0/1/1900,"",VLOOKUP(A638,'ECN-ECO_DATA'!B:G,6,FALSE))),"")</f>
        <v/>
      </c>
      <c r="F638" s="9" t="str">
        <f>IFERROR((IF(VLOOKUP(A638,'ECN-ECO_DATA'!B:J,7,FALSE)=0/1/1900,"",VLOOKUP(A638,'ECN-ECO_DATA'!B:J,7,FALSE))),"")</f>
        <v/>
      </c>
      <c r="G638" s="9" t="str">
        <f>IFERROR((IF(VLOOKUP(A638,'ECN-ECO_DATA'!B:J,8,FALSE)=0/1/1900,"",VLOOKUP(A638,'ECN-ECO_DATA'!B:J,8,FALSE))),"")</f>
        <v/>
      </c>
      <c r="H638" s="9" t="str">
        <f>IFERROR((IF(VLOOKUP(A638,'ECN-ECO_DATA'!B:J,9,FALSE)=0/1/1900,"",VLOOKUP(A638,'ECN-ECO_DATA'!B:J,9,FALSE))),"")</f>
        <v/>
      </c>
      <c r="I638" s="10" t="str">
        <f>IFERROR((IF(VLOOKUP(A638,'ECN-ECO_DATA'!B:Q,13,FALSE)="","",VLOOKUP(A638,'ECN-ECO_DATA'!B:Q,13,FALSE))),"")</f>
        <v/>
      </c>
      <c r="J638" s="10" t="str">
        <f>IFERROR((IF(VLOOKUP(A638,'ECN-ECO_DATA'!B:Q,14,FALSE)="","",VLOOKUP(A638,'ECN-ECO_DATA'!B:Q,14,FALSE))),"")</f>
        <v/>
      </c>
      <c r="K638" s="10" t="str">
        <f>IFERROR((IF(VLOOKUP(A638,'ECN-ECO_DATA'!B:Q,15,FALSE)="","",VLOOKUP(A638,'ECN-ECO_DATA'!B:Q,15,FALSE))),"")</f>
        <v/>
      </c>
      <c r="L638" s="10" t="str">
        <f>IFERROR((IF(VLOOKUP(A638,'ECN-ECO_DATA'!B:Q,16,FALSE)="","",VLOOKUP(A638,'ECN-ECO_DATA'!B:Q,16,FALSE))),"")</f>
        <v/>
      </c>
      <c r="M638" s="9" t="str">
        <f>IFERROR((IF(VLOOKUP(A638,'ECN-ECO_DATA'!B:V,18,FALSE)=0/1/1900,"",VLOOKUP(A638,'ECN-ECO_DATA'!B:V,18,FALSE))),"")</f>
        <v/>
      </c>
      <c r="N638" s="9" t="str">
        <f>IFERROR((IF(VLOOKUP(A638,'ECN-ECO_DATA'!B:V,19,FALSE)=0/1/1900,"",VLOOKUP(A638,'ECN-ECO_DATA'!B:V,19,FALSE))),"")</f>
        <v/>
      </c>
      <c r="O638" s="9" t="str">
        <f>IFERROR((IF(VLOOKUP(A638,'ECN-ECO_DATA'!B:V,20,FALSE)=0/1/1900,"",VLOOKUP(A638,'ECN-ECO_DATA'!B:V,20,FALSE))),"")</f>
        <v/>
      </c>
      <c r="P638" s="9" t="str">
        <f>IFERROR((IF(VLOOKUP(A638,'ECN-ECO_DATA'!B:V,21,FALSE)=0/1/1900,"",VLOOKUP(A638,'ECN-ECO_DATA'!B:V,21,FALSE))),"")</f>
        <v/>
      </c>
      <c r="Q638" s="10" t="str">
        <f t="shared" ca="1" si="45"/>
        <v/>
      </c>
      <c r="R638" s="4" t="str">
        <f t="shared" si="46"/>
        <v/>
      </c>
      <c r="S638" s="4" t="str">
        <f t="shared" si="47"/>
        <v/>
      </c>
      <c r="T638" s="4" t="str">
        <f t="shared" si="48"/>
        <v/>
      </c>
      <c r="U638" s="10" t="str">
        <f t="shared" si="49"/>
        <v/>
      </c>
      <c r="V638" s="4"/>
    </row>
    <row r="639" spans="2:22" x14ac:dyDescent="0.25">
      <c r="B639" s="4" t="str">
        <f>IFERROR(VLOOKUP(A639,'ECN-ECO_DATA'!B:G,4,FALSE),"")</f>
        <v/>
      </c>
      <c r="C639" s="9" t="str">
        <f>IFERROR(VLOOKUP(A639,'ECN-ECO_DATA'!B:G,5,FALSE),"")</f>
        <v/>
      </c>
      <c r="D639" s="9" t="str">
        <f ca="1">IFERROR((IF(VLOOKUP(A639,'ECN-ECO_DATA'!B:G,6,FALSE)=0/1/1900,TODAY(),VLOOKUP(A639,'ECN-ECO_DATA'!B:G,6,FALSE))),"")</f>
        <v/>
      </c>
      <c r="E639" s="9" t="str">
        <f>IFERROR((IF(VLOOKUP(A639,'ECN-ECO_DATA'!B:G,6,FALSE)=0/1/1900,"",VLOOKUP(A639,'ECN-ECO_DATA'!B:G,6,FALSE))),"")</f>
        <v/>
      </c>
      <c r="F639" s="9" t="str">
        <f>IFERROR((IF(VLOOKUP(A639,'ECN-ECO_DATA'!B:J,7,FALSE)=0/1/1900,"",VLOOKUP(A639,'ECN-ECO_DATA'!B:J,7,FALSE))),"")</f>
        <v/>
      </c>
      <c r="G639" s="9" t="str">
        <f>IFERROR((IF(VLOOKUP(A639,'ECN-ECO_DATA'!B:J,8,FALSE)=0/1/1900,"",VLOOKUP(A639,'ECN-ECO_DATA'!B:J,8,FALSE))),"")</f>
        <v/>
      </c>
      <c r="H639" s="9" t="str">
        <f>IFERROR((IF(VLOOKUP(A639,'ECN-ECO_DATA'!B:J,9,FALSE)=0/1/1900,"",VLOOKUP(A639,'ECN-ECO_DATA'!B:J,9,FALSE))),"")</f>
        <v/>
      </c>
      <c r="I639" s="10" t="str">
        <f>IFERROR((IF(VLOOKUP(A639,'ECN-ECO_DATA'!B:Q,13,FALSE)="","",VLOOKUP(A639,'ECN-ECO_DATA'!B:Q,13,FALSE))),"")</f>
        <v/>
      </c>
      <c r="J639" s="10" t="str">
        <f>IFERROR((IF(VLOOKUP(A639,'ECN-ECO_DATA'!B:Q,14,FALSE)="","",VLOOKUP(A639,'ECN-ECO_DATA'!B:Q,14,FALSE))),"")</f>
        <v/>
      </c>
      <c r="K639" s="10" t="str">
        <f>IFERROR((IF(VLOOKUP(A639,'ECN-ECO_DATA'!B:Q,15,FALSE)="","",VLOOKUP(A639,'ECN-ECO_DATA'!B:Q,15,FALSE))),"")</f>
        <v/>
      </c>
      <c r="L639" s="10" t="str">
        <f>IFERROR((IF(VLOOKUP(A639,'ECN-ECO_DATA'!B:Q,16,FALSE)="","",VLOOKUP(A639,'ECN-ECO_DATA'!B:Q,16,FALSE))),"")</f>
        <v/>
      </c>
      <c r="M639" s="9" t="str">
        <f>IFERROR((IF(VLOOKUP(A639,'ECN-ECO_DATA'!B:V,18,FALSE)=0/1/1900,"",VLOOKUP(A639,'ECN-ECO_DATA'!B:V,18,FALSE))),"")</f>
        <v/>
      </c>
      <c r="N639" s="9" t="str">
        <f>IFERROR((IF(VLOOKUP(A639,'ECN-ECO_DATA'!B:V,19,FALSE)=0/1/1900,"",VLOOKUP(A639,'ECN-ECO_DATA'!B:V,19,FALSE))),"")</f>
        <v/>
      </c>
      <c r="O639" s="9" t="str">
        <f>IFERROR((IF(VLOOKUP(A639,'ECN-ECO_DATA'!B:V,20,FALSE)=0/1/1900,"",VLOOKUP(A639,'ECN-ECO_DATA'!B:V,20,FALSE))),"")</f>
        <v/>
      </c>
      <c r="P639" s="9" t="str">
        <f>IFERROR((IF(VLOOKUP(A639,'ECN-ECO_DATA'!B:V,21,FALSE)=0/1/1900,"",VLOOKUP(A639,'ECN-ECO_DATA'!B:V,21,FALSE))),"")</f>
        <v/>
      </c>
      <c r="Q639" s="10" t="str">
        <f t="shared" ca="1" si="45"/>
        <v/>
      </c>
      <c r="R639" s="4" t="str">
        <f t="shared" si="46"/>
        <v/>
      </c>
      <c r="S639" s="4" t="str">
        <f t="shared" si="47"/>
        <v/>
      </c>
      <c r="T639" s="4" t="str">
        <f t="shared" si="48"/>
        <v/>
      </c>
      <c r="U639" s="10" t="str">
        <f t="shared" si="49"/>
        <v/>
      </c>
      <c r="V639" s="4"/>
    </row>
    <row r="640" spans="2:22" x14ac:dyDescent="0.25">
      <c r="B640" s="4" t="str">
        <f>IFERROR(VLOOKUP(A640,'ECN-ECO_DATA'!B:G,4,FALSE),"")</f>
        <v/>
      </c>
      <c r="C640" s="9" t="str">
        <f>IFERROR(VLOOKUP(A640,'ECN-ECO_DATA'!B:G,5,FALSE),"")</f>
        <v/>
      </c>
      <c r="D640" s="9" t="str">
        <f ca="1">IFERROR((IF(VLOOKUP(A640,'ECN-ECO_DATA'!B:G,6,FALSE)=0/1/1900,TODAY(),VLOOKUP(A640,'ECN-ECO_DATA'!B:G,6,FALSE))),"")</f>
        <v/>
      </c>
      <c r="E640" s="9" t="str">
        <f>IFERROR((IF(VLOOKUP(A640,'ECN-ECO_DATA'!B:G,6,FALSE)=0/1/1900,"",VLOOKUP(A640,'ECN-ECO_DATA'!B:G,6,FALSE))),"")</f>
        <v/>
      </c>
      <c r="F640" s="9" t="str">
        <f>IFERROR((IF(VLOOKUP(A640,'ECN-ECO_DATA'!B:J,7,FALSE)=0/1/1900,"",VLOOKUP(A640,'ECN-ECO_DATA'!B:J,7,FALSE))),"")</f>
        <v/>
      </c>
      <c r="G640" s="9" t="str">
        <f>IFERROR((IF(VLOOKUP(A640,'ECN-ECO_DATA'!B:J,8,FALSE)=0/1/1900,"",VLOOKUP(A640,'ECN-ECO_DATA'!B:J,8,FALSE))),"")</f>
        <v/>
      </c>
      <c r="H640" s="9" t="str">
        <f>IFERROR((IF(VLOOKUP(A640,'ECN-ECO_DATA'!B:J,9,FALSE)=0/1/1900,"",VLOOKUP(A640,'ECN-ECO_DATA'!B:J,9,FALSE))),"")</f>
        <v/>
      </c>
      <c r="I640" s="10" t="str">
        <f>IFERROR((IF(VLOOKUP(A640,'ECN-ECO_DATA'!B:Q,13,FALSE)="","",VLOOKUP(A640,'ECN-ECO_DATA'!B:Q,13,FALSE))),"")</f>
        <v/>
      </c>
      <c r="J640" s="10" t="str">
        <f>IFERROR((IF(VLOOKUP(A640,'ECN-ECO_DATA'!B:Q,14,FALSE)="","",VLOOKUP(A640,'ECN-ECO_DATA'!B:Q,14,FALSE))),"")</f>
        <v/>
      </c>
      <c r="K640" s="10" t="str">
        <f>IFERROR((IF(VLOOKUP(A640,'ECN-ECO_DATA'!B:Q,15,FALSE)="","",VLOOKUP(A640,'ECN-ECO_DATA'!B:Q,15,FALSE))),"")</f>
        <v/>
      </c>
      <c r="L640" s="10" t="str">
        <f>IFERROR((IF(VLOOKUP(A640,'ECN-ECO_DATA'!B:Q,16,FALSE)="","",VLOOKUP(A640,'ECN-ECO_DATA'!B:Q,16,FALSE))),"")</f>
        <v/>
      </c>
      <c r="M640" s="9" t="str">
        <f>IFERROR((IF(VLOOKUP(A640,'ECN-ECO_DATA'!B:V,18,FALSE)=0/1/1900,"",VLOOKUP(A640,'ECN-ECO_DATA'!B:V,18,FALSE))),"")</f>
        <v/>
      </c>
      <c r="N640" s="9" t="str">
        <f>IFERROR((IF(VLOOKUP(A640,'ECN-ECO_DATA'!B:V,19,FALSE)=0/1/1900,"",VLOOKUP(A640,'ECN-ECO_DATA'!B:V,19,FALSE))),"")</f>
        <v/>
      </c>
      <c r="O640" s="9" t="str">
        <f>IFERROR((IF(VLOOKUP(A640,'ECN-ECO_DATA'!B:V,20,FALSE)=0/1/1900,"",VLOOKUP(A640,'ECN-ECO_DATA'!B:V,20,FALSE))),"")</f>
        <v/>
      </c>
      <c r="P640" s="9" t="str">
        <f>IFERROR((IF(VLOOKUP(A640,'ECN-ECO_DATA'!B:V,21,FALSE)=0/1/1900,"",VLOOKUP(A640,'ECN-ECO_DATA'!B:V,21,FALSE))),"")</f>
        <v/>
      </c>
      <c r="Q640" s="10" t="str">
        <f t="shared" ca="1" si="45"/>
        <v/>
      </c>
      <c r="R640" s="4" t="str">
        <f t="shared" si="46"/>
        <v/>
      </c>
      <c r="S640" s="4" t="str">
        <f t="shared" si="47"/>
        <v/>
      </c>
      <c r="T640" s="4" t="str">
        <f t="shared" si="48"/>
        <v/>
      </c>
      <c r="U640" s="10" t="str">
        <f t="shared" si="49"/>
        <v/>
      </c>
      <c r="V640" s="4"/>
    </row>
    <row r="641" spans="2:22" x14ac:dyDescent="0.25">
      <c r="B641" s="4" t="str">
        <f>IFERROR(VLOOKUP(A641,'ECN-ECO_DATA'!B:G,4,FALSE),"")</f>
        <v/>
      </c>
      <c r="C641" s="9" t="str">
        <f>IFERROR(VLOOKUP(A641,'ECN-ECO_DATA'!B:G,5,FALSE),"")</f>
        <v/>
      </c>
      <c r="D641" s="9" t="str">
        <f ca="1">IFERROR((IF(VLOOKUP(A641,'ECN-ECO_DATA'!B:G,6,FALSE)=0/1/1900,TODAY(),VLOOKUP(A641,'ECN-ECO_DATA'!B:G,6,FALSE))),"")</f>
        <v/>
      </c>
      <c r="E641" s="9" t="str">
        <f>IFERROR((IF(VLOOKUP(A641,'ECN-ECO_DATA'!B:G,6,FALSE)=0/1/1900,"",VLOOKUP(A641,'ECN-ECO_DATA'!B:G,6,FALSE))),"")</f>
        <v/>
      </c>
      <c r="F641" s="9" t="str">
        <f>IFERROR((IF(VLOOKUP(A641,'ECN-ECO_DATA'!B:J,7,FALSE)=0/1/1900,"",VLOOKUP(A641,'ECN-ECO_DATA'!B:J,7,FALSE))),"")</f>
        <v/>
      </c>
      <c r="G641" s="9" t="str">
        <f>IFERROR((IF(VLOOKUP(A641,'ECN-ECO_DATA'!B:J,8,FALSE)=0/1/1900,"",VLOOKUP(A641,'ECN-ECO_DATA'!B:J,8,FALSE))),"")</f>
        <v/>
      </c>
      <c r="H641" s="9" t="str">
        <f>IFERROR((IF(VLOOKUP(A641,'ECN-ECO_DATA'!B:J,9,FALSE)=0/1/1900,"",VLOOKUP(A641,'ECN-ECO_DATA'!B:J,9,FALSE))),"")</f>
        <v/>
      </c>
      <c r="I641" s="10" t="str">
        <f>IFERROR((IF(VLOOKUP(A641,'ECN-ECO_DATA'!B:Q,13,FALSE)="","",VLOOKUP(A641,'ECN-ECO_DATA'!B:Q,13,FALSE))),"")</f>
        <v/>
      </c>
      <c r="J641" s="10" t="str">
        <f>IFERROR((IF(VLOOKUP(A641,'ECN-ECO_DATA'!B:Q,14,FALSE)="","",VLOOKUP(A641,'ECN-ECO_DATA'!B:Q,14,FALSE))),"")</f>
        <v/>
      </c>
      <c r="K641" s="10" t="str">
        <f>IFERROR((IF(VLOOKUP(A641,'ECN-ECO_DATA'!B:Q,15,FALSE)="","",VLOOKUP(A641,'ECN-ECO_DATA'!B:Q,15,FALSE))),"")</f>
        <v/>
      </c>
      <c r="L641" s="10" t="str">
        <f>IFERROR((IF(VLOOKUP(A641,'ECN-ECO_DATA'!B:Q,16,FALSE)="","",VLOOKUP(A641,'ECN-ECO_DATA'!B:Q,16,FALSE))),"")</f>
        <v/>
      </c>
      <c r="M641" s="9" t="str">
        <f>IFERROR((IF(VLOOKUP(A641,'ECN-ECO_DATA'!B:V,18,FALSE)=0/1/1900,"",VLOOKUP(A641,'ECN-ECO_DATA'!B:V,18,FALSE))),"")</f>
        <v/>
      </c>
      <c r="N641" s="9" t="str">
        <f>IFERROR((IF(VLOOKUP(A641,'ECN-ECO_DATA'!B:V,19,FALSE)=0/1/1900,"",VLOOKUP(A641,'ECN-ECO_DATA'!B:V,19,FALSE))),"")</f>
        <v/>
      </c>
      <c r="O641" s="9" t="str">
        <f>IFERROR((IF(VLOOKUP(A641,'ECN-ECO_DATA'!B:V,20,FALSE)=0/1/1900,"",VLOOKUP(A641,'ECN-ECO_DATA'!B:V,20,FALSE))),"")</f>
        <v/>
      </c>
      <c r="P641" s="9" t="str">
        <f>IFERROR((IF(VLOOKUP(A641,'ECN-ECO_DATA'!B:V,21,FALSE)=0/1/1900,"",VLOOKUP(A641,'ECN-ECO_DATA'!B:V,21,FALSE))),"")</f>
        <v/>
      </c>
      <c r="Q641" s="10" t="str">
        <f t="shared" ca="1" si="45"/>
        <v/>
      </c>
      <c r="R641" s="4" t="str">
        <f t="shared" si="46"/>
        <v/>
      </c>
      <c r="S641" s="4" t="str">
        <f t="shared" si="47"/>
        <v/>
      </c>
      <c r="T641" s="4" t="str">
        <f t="shared" si="48"/>
        <v/>
      </c>
      <c r="U641" s="10" t="str">
        <f t="shared" si="49"/>
        <v/>
      </c>
      <c r="V641" s="4"/>
    </row>
    <row r="642" spans="2:22" x14ac:dyDescent="0.25">
      <c r="B642" s="4" t="str">
        <f>IFERROR(VLOOKUP(A642,'ECN-ECO_DATA'!B:G,4,FALSE),"")</f>
        <v/>
      </c>
      <c r="C642" s="9" t="str">
        <f>IFERROR(VLOOKUP(A642,'ECN-ECO_DATA'!B:G,5,FALSE),"")</f>
        <v/>
      </c>
      <c r="D642" s="9" t="str">
        <f ca="1">IFERROR((IF(VLOOKUP(A642,'ECN-ECO_DATA'!B:G,6,FALSE)=0/1/1900,TODAY(),VLOOKUP(A642,'ECN-ECO_DATA'!B:G,6,FALSE))),"")</f>
        <v/>
      </c>
      <c r="E642" s="9" t="str">
        <f>IFERROR((IF(VLOOKUP(A642,'ECN-ECO_DATA'!B:G,6,FALSE)=0/1/1900,"",VLOOKUP(A642,'ECN-ECO_DATA'!B:G,6,FALSE))),"")</f>
        <v/>
      </c>
      <c r="F642" s="9" t="str">
        <f>IFERROR((IF(VLOOKUP(A642,'ECN-ECO_DATA'!B:J,7,FALSE)=0/1/1900,"",VLOOKUP(A642,'ECN-ECO_DATA'!B:J,7,FALSE))),"")</f>
        <v/>
      </c>
      <c r="G642" s="9" t="str">
        <f>IFERROR((IF(VLOOKUP(A642,'ECN-ECO_DATA'!B:J,8,FALSE)=0/1/1900,"",VLOOKUP(A642,'ECN-ECO_DATA'!B:J,8,FALSE))),"")</f>
        <v/>
      </c>
      <c r="H642" s="9" t="str">
        <f>IFERROR((IF(VLOOKUP(A642,'ECN-ECO_DATA'!B:J,9,FALSE)=0/1/1900,"",VLOOKUP(A642,'ECN-ECO_DATA'!B:J,9,FALSE))),"")</f>
        <v/>
      </c>
      <c r="I642" s="10" t="str">
        <f>IFERROR((IF(VLOOKUP(A642,'ECN-ECO_DATA'!B:Q,13,FALSE)="","",VLOOKUP(A642,'ECN-ECO_DATA'!B:Q,13,FALSE))),"")</f>
        <v/>
      </c>
      <c r="J642" s="10" t="str">
        <f>IFERROR((IF(VLOOKUP(A642,'ECN-ECO_DATA'!B:Q,14,FALSE)="","",VLOOKUP(A642,'ECN-ECO_DATA'!B:Q,14,FALSE))),"")</f>
        <v/>
      </c>
      <c r="K642" s="10" t="str">
        <f>IFERROR((IF(VLOOKUP(A642,'ECN-ECO_DATA'!B:Q,15,FALSE)="","",VLOOKUP(A642,'ECN-ECO_DATA'!B:Q,15,FALSE))),"")</f>
        <v/>
      </c>
      <c r="L642" s="10" t="str">
        <f>IFERROR((IF(VLOOKUP(A642,'ECN-ECO_DATA'!B:Q,16,FALSE)="","",VLOOKUP(A642,'ECN-ECO_DATA'!B:Q,16,FALSE))),"")</f>
        <v/>
      </c>
      <c r="M642" s="9" t="str">
        <f>IFERROR((IF(VLOOKUP(A642,'ECN-ECO_DATA'!B:V,18,FALSE)=0/1/1900,"",VLOOKUP(A642,'ECN-ECO_DATA'!B:V,18,FALSE))),"")</f>
        <v/>
      </c>
      <c r="N642" s="9" t="str">
        <f>IFERROR((IF(VLOOKUP(A642,'ECN-ECO_DATA'!B:V,19,FALSE)=0/1/1900,"",VLOOKUP(A642,'ECN-ECO_DATA'!B:V,19,FALSE))),"")</f>
        <v/>
      </c>
      <c r="O642" s="9" t="str">
        <f>IFERROR((IF(VLOOKUP(A642,'ECN-ECO_DATA'!B:V,20,FALSE)=0/1/1900,"",VLOOKUP(A642,'ECN-ECO_DATA'!B:V,20,FALSE))),"")</f>
        <v/>
      </c>
      <c r="P642" s="9" t="str">
        <f>IFERROR((IF(VLOOKUP(A642,'ECN-ECO_DATA'!B:V,21,FALSE)=0/1/1900,"",VLOOKUP(A642,'ECN-ECO_DATA'!B:V,21,FALSE))),"")</f>
        <v/>
      </c>
      <c r="Q642" s="10" t="str">
        <f t="shared" ca="1" si="45"/>
        <v/>
      </c>
      <c r="R642" s="4" t="str">
        <f t="shared" si="46"/>
        <v/>
      </c>
      <c r="S642" s="4" t="str">
        <f t="shared" si="47"/>
        <v/>
      </c>
      <c r="T642" s="4" t="str">
        <f t="shared" si="48"/>
        <v/>
      </c>
      <c r="U642" s="10" t="str">
        <f t="shared" si="49"/>
        <v/>
      </c>
      <c r="V642" s="4"/>
    </row>
    <row r="643" spans="2:22" x14ac:dyDescent="0.25">
      <c r="B643" s="4" t="str">
        <f>IFERROR(VLOOKUP(A643,'ECN-ECO_DATA'!B:G,4,FALSE),"")</f>
        <v/>
      </c>
      <c r="C643" s="9" t="str">
        <f>IFERROR(VLOOKUP(A643,'ECN-ECO_DATA'!B:G,5,FALSE),"")</f>
        <v/>
      </c>
      <c r="D643" s="9" t="str">
        <f ca="1">IFERROR((IF(VLOOKUP(A643,'ECN-ECO_DATA'!B:G,6,FALSE)=0/1/1900,TODAY(),VLOOKUP(A643,'ECN-ECO_DATA'!B:G,6,FALSE))),"")</f>
        <v/>
      </c>
      <c r="E643" s="9" t="str">
        <f>IFERROR((IF(VLOOKUP(A643,'ECN-ECO_DATA'!B:G,6,FALSE)=0/1/1900,"",VLOOKUP(A643,'ECN-ECO_DATA'!B:G,6,FALSE))),"")</f>
        <v/>
      </c>
      <c r="F643" s="9" t="str">
        <f>IFERROR((IF(VLOOKUP(A643,'ECN-ECO_DATA'!B:J,7,FALSE)=0/1/1900,"",VLOOKUP(A643,'ECN-ECO_DATA'!B:J,7,FALSE))),"")</f>
        <v/>
      </c>
      <c r="G643" s="9" t="str">
        <f>IFERROR((IF(VLOOKUP(A643,'ECN-ECO_DATA'!B:J,8,FALSE)=0/1/1900,"",VLOOKUP(A643,'ECN-ECO_DATA'!B:J,8,FALSE))),"")</f>
        <v/>
      </c>
      <c r="H643" s="9" t="str">
        <f>IFERROR((IF(VLOOKUP(A643,'ECN-ECO_DATA'!B:J,9,FALSE)=0/1/1900,"",VLOOKUP(A643,'ECN-ECO_DATA'!B:J,9,FALSE))),"")</f>
        <v/>
      </c>
      <c r="I643" s="10" t="str">
        <f>IFERROR((IF(VLOOKUP(A643,'ECN-ECO_DATA'!B:Q,13,FALSE)="","",VLOOKUP(A643,'ECN-ECO_DATA'!B:Q,13,FALSE))),"")</f>
        <v/>
      </c>
      <c r="J643" s="10" t="str">
        <f>IFERROR((IF(VLOOKUP(A643,'ECN-ECO_DATA'!B:Q,14,FALSE)="","",VLOOKUP(A643,'ECN-ECO_DATA'!B:Q,14,FALSE))),"")</f>
        <v/>
      </c>
      <c r="K643" s="10" t="str">
        <f>IFERROR((IF(VLOOKUP(A643,'ECN-ECO_DATA'!B:Q,15,FALSE)="","",VLOOKUP(A643,'ECN-ECO_DATA'!B:Q,15,FALSE))),"")</f>
        <v/>
      </c>
      <c r="L643" s="10" t="str">
        <f>IFERROR((IF(VLOOKUP(A643,'ECN-ECO_DATA'!B:Q,16,FALSE)="","",VLOOKUP(A643,'ECN-ECO_DATA'!B:Q,16,FALSE))),"")</f>
        <v/>
      </c>
      <c r="M643" s="9" t="str">
        <f>IFERROR((IF(VLOOKUP(A643,'ECN-ECO_DATA'!B:V,18,FALSE)=0/1/1900,"",VLOOKUP(A643,'ECN-ECO_DATA'!B:V,18,FALSE))),"")</f>
        <v/>
      </c>
      <c r="N643" s="9" t="str">
        <f>IFERROR((IF(VLOOKUP(A643,'ECN-ECO_DATA'!B:V,19,FALSE)=0/1/1900,"",VLOOKUP(A643,'ECN-ECO_DATA'!B:V,19,FALSE))),"")</f>
        <v/>
      </c>
      <c r="O643" s="9" t="str">
        <f>IFERROR((IF(VLOOKUP(A643,'ECN-ECO_DATA'!B:V,20,FALSE)=0/1/1900,"",VLOOKUP(A643,'ECN-ECO_DATA'!B:V,20,FALSE))),"")</f>
        <v/>
      </c>
      <c r="P643" s="9" t="str">
        <f>IFERROR((IF(VLOOKUP(A643,'ECN-ECO_DATA'!B:V,21,FALSE)=0/1/1900,"",VLOOKUP(A643,'ECN-ECO_DATA'!B:V,21,FALSE))),"")</f>
        <v/>
      </c>
      <c r="Q643" s="10" t="str">
        <f t="shared" ref="Q643:Q706" ca="1" si="50">IFERROR(D643-C643,"")</f>
        <v/>
      </c>
      <c r="R643" s="4" t="str">
        <f t="shared" ref="R643:R706" si="51">IFERROR(H643-E643,"")</f>
        <v/>
      </c>
      <c r="S643" s="4" t="str">
        <f t="shared" ref="S643:S706" si="52">IFERROR(N643-H643,"")</f>
        <v/>
      </c>
      <c r="T643" s="4" t="str">
        <f t="shared" ref="T643:T706" si="53">IFERROR(O643-N643,"")</f>
        <v/>
      </c>
      <c r="U643" s="10" t="str">
        <f t="shared" ref="U643:U706" si="54">IF(O643="","",IF(SUM(Q643:T643)=0,"",SUM(Q643:T643)))</f>
        <v/>
      </c>
      <c r="V643" s="4"/>
    </row>
    <row r="644" spans="2:22" x14ac:dyDescent="0.25">
      <c r="B644" s="4" t="str">
        <f>IFERROR(VLOOKUP(A644,'ECN-ECO_DATA'!B:G,4,FALSE),"")</f>
        <v/>
      </c>
      <c r="C644" s="9" t="str">
        <f>IFERROR(VLOOKUP(A644,'ECN-ECO_DATA'!B:G,5,FALSE),"")</f>
        <v/>
      </c>
      <c r="D644" s="9" t="str">
        <f ca="1">IFERROR((IF(VLOOKUP(A644,'ECN-ECO_DATA'!B:G,6,FALSE)=0/1/1900,TODAY(),VLOOKUP(A644,'ECN-ECO_DATA'!B:G,6,FALSE))),"")</f>
        <v/>
      </c>
      <c r="E644" s="9" t="str">
        <f>IFERROR((IF(VLOOKUP(A644,'ECN-ECO_DATA'!B:G,6,FALSE)=0/1/1900,"",VLOOKUP(A644,'ECN-ECO_DATA'!B:G,6,FALSE))),"")</f>
        <v/>
      </c>
      <c r="F644" s="9" t="str">
        <f>IFERROR((IF(VLOOKUP(A644,'ECN-ECO_DATA'!B:J,7,FALSE)=0/1/1900,"",VLOOKUP(A644,'ECN-ECO_DATA'!B:J,7,FALSE))),"")</f>
        <v/>
      </c>
      <c r="G644" s="9" t="str">
        <f>IFERROR((IF(VLOOKUP(A644,'ECN-ECO_DATA'!B:J,8,FALSE)=0/1/1900,"",VLOOKUP(A644,'ECN-ECO_DATA'!B:J,8,FALSE))),"")</f>
        <v/>
      </c>
      <c r="H644" s="9" t="str">
        <f>IFERROR((IF(VLOOKUP(A644,'ECN-ECO_DATA'!B:J,9,FALSE)=0/1/1900,"",VLOOKUP(A644,'ECN-ECO_DATA'!B:J,9,FALSE))),"")</f>
        <v/>
      </c>
      <c r="I644" s="10" t="str">
        <f>IFERROR((IF(VLOOKUP(A644,'ECN-ECO_DATA'!B:Q,13,FALSE)="","",VLOOKUP(A644,'ECN-ECO_DATA'!B:Q,13,FALSE))),"")</f>
        <v/>
      </c>
      <c r="J644" s="10" t="str">
        <f>IFERROR((IF(VLOOKUP(A644,'ECN-ECO_DATA'!B:Q,14,FALSE)="","",VLOOKUP(A644,'ECN-ECO_DATA'!B:Q,14,FALSE))),"")</f>
        <v/>
      </c>
      <c r="K644" s="10" t="str">
        <f>IFERROR((IF(VLOOKUP(A644,'ECN-ECO_DATA'!B:Q,15,FALSE)="","",VLOOKUP(A644,'ECN-ECO_DATA'!B:Q,15,FALSE))),"")</f>
        <v/>
      </c>
      <c r="L644" s="10" t="str">
        <f>IFERROR((IF(VLOOKUP(A644,'ECN-ECO_DATA'!B:Q,16,FALSE)="","",VLOOKUP(A644,'ECN-ECO_DATA'!B:Q,16,FALSE))),"")</f>
        <v/>
      </c>
      <c r="M644" s="9" t="str">
        <f>IFERROR((IF(VLOOKUP(A644,'ECN-ECO_DATA'!B:V,18,FALSE)=0/1/1900,"",VLOOKUP(A644,'ECN-ECO_DATA'!B:V,18,FALSE))),"")</f>
        <v/>
      </c>
      <c r="N644" s="9" t="str">
        <f>IFERROR((IF(VLOOKUP(A644,'ECN-ECO_DATA'!B:V,19,FALSE)=0/1/1900,"",VLOOKUP(A644,'ECN-ECO_DATA'!B:V,19,FALSE))),"")</f>
        <v/>
      </c>
      <c r="O644" s="9" t="str">
        <f>IFERROR((IF(VLOOKUP(A644,'ECN-ECO_DATA'!B:V,20,FALSE)=0/1/1900,"",VLOOKUP(A644,'ECN-ECO_DATA'!B:V,20,FALSE))),"")</f>
        <v/>
      </c>
      <c r="P644" s="9" t="str">
        <f>IFERROR((IF(VLOOKUP(A644,'ECN-ECO_DATA'!B:V,21,FALSE)=0/1/1900,"",VLOOKUP(A644,'ECN-ECO_DATA'!B:V,21,FALSE))),"")</f>
        <v/>
      </c>
      <c r="Q644" s="10" t="str">
        <f t="shared" ca="1" si="50"/>
        <v/>
      </c>
      <c r="R644" s="4" t="str">
        <f t="shared" si="51"/>
        <v/>
      </c>
      <c r="S644" s="4" t="str">
        <f t="shared" si="52"/>
        <v/>
      </c>
      <c r="T644" s="4" t="str">
        <f t="shared" si="53"/>
        <v/>
      </c>
      <c r="U644" s="10" t="str">
        <f t="shared" si="54"/>
        <v/>
      </c>
      <c r="V644" s="4"/>
    </row>
    <row r="645" spans="2:22" x14ac:dyDescent="0.25">
      <c r="B645" s="4" t="str">
        <f>IFERROR(VLOOKUP(A645,'ECN-ECO_DATA'!B:G,4,FALSE),"")</f>
        <v/>
      </c>
      <c r="C645" s="9" t="str">
        <f>IFERROR(VLOOKUP(A645,'ECN-ECO_DATA'!B:G,5,FALSE),"")</f>
        <v/>
      </c>
      <c r="D645" s="9" t="str">
        <f ca="1">IFERROR((IF(VLOOKUP(A645,'ECN-ECO_DATA'!B:G,6,FALSE)=0/1/1900,TODAY(),VLOOKUP(A645,'ECN-ECO_DATA'!B:G,6,FALSE))),"")</f>
        <v/>
      </c>
      <c r="E645" s="9" t="str">
        <f>IFERROR((IF(VLOOKUP(A645,'ECN-ECO_DATA'!B:G,6,FALSE)=0/1/1900,"",VLOOKUP(A645,'ECN-ECO_DATA'!B:G,6,FALSE))),"")</f>
        <v/>
      </c>
      <c r="F645" s="9" t="str">
        <f>IFERROR((IF(VLOOKUP(A645,'ECN-ECO_DATA'!B:J,7,FALSE)=0/1/1900,"",VLOOKUP(A645,'ECN-ECO_DATA'!B:J,7,FALSE))),"")</f>
        <v/>
      </c>
      <c r="G645" s="9" t="str">
        <f>IFERROR((IF(VLOOKUP(A645,'ECN-ECO_DATA'!B:J,8,FALSE)=0/1/1900,"",VLOOKUP(A645,'ECN-ECO_DATA'!B:J,8,FALSE))),"")</f>
        <v/>
      </c>
      <c r="H645" s="9" t="str">
        <f>IFERROR((IF(VLOOKUP(A645,'ECN-ECO_DATA'!B:J,9,FALSE)=0/1/1900,"",VLOOKUP(A645,'ECN-ECO_DATA'!B:J,9,FALSE))),"")</f>
        <v/>
      </c>
      <c r="I645" s="10" t="str">
        <f>IFERROR((IF(VLOOKUP(A645,'ECN-ECO_DATA'!B:Q,13,FALSE)="","",VLOOKUP(A645,'ECN-ECO_DATA'!B:Q,13,FALSE))),"")</f>
        <v/>
      </c>
      <c r="J645" s="10" t="str">
        <f>IFERROR((IF(VLOOKUP(A645,'ECN-ECO_DATA'!B:Q,14,FALSE)="","",VLOOKUP(A645,'ECN-ECO_DATA'!B:Q,14,FALSE))),"")</f>
        <v/>
      </c>
      <c r="K645" s="10" t="str">
        <f>IFERROR((IF(VLOOKUP(A645,'ECN-ECO_DATA'!B:Q,15,FALSE)="","",VLOOKUP(A645,'ECN-ECO_DATA'!B:Q,15,FALSE))),"")</f>
        <v/>
      </c>
      <c r="L645" s="10" t="str">
        <f>IFERROR((IF(VLOOKUP(A645,'ECN-ECO_DATA'!B:Q,16,FALSE)="","",VLOOKUP(A645,'ECN-ECO_DATA'!B:Q,16,FALSE))),"")</f>
        <v/>
      </c>
      <c r="M645" s="9" t="str">
        <f>IFERROR((IF(VLOOKUP(A645,'ECN-ECO_DATA'!B:V,18,FALSE)=0/1/1900,"",VLOOKUP(A645,'ECN-ECO_DATA'!B:V,18,FALSE))),"")</f>
        <v/>
      </c>
      <c r="N645" s="9" t="str">
        <f>IFERROR((IF(VLOOKUP(A645,'ECN-ECO_DATA'!B:V,19,FALSE)=0/1/1900,"",VLOOKUP(A645,'ECN-ECO_DATA'!B:V,19,FALSE))),"")</f>
        <v/>
      </c>
      <c r="O645" s="9" t="str">
        <f>IFERROR((IF(VLOOKUP(A645,'ECN-ECO_DATA'!B:V,20,FALSE)=0/1/1900,"",VLOOKUP(A645,'ECN-ECO_DATA'!B:V,20,FALSE))),"")</f>
        <v/>
      </c>
      <c r="P645" s="9" t="str">
        <f>IFERROR((IF(VLOOKUP(A645,'ECN-ECO_DATA'!B:V,21,FALSE)=0/1/1900,"",VLOOKUP(A645,'ECN-ECO_DATA'!B:V,21,FALSE))),"")</f>
        <v/>
      </c>
      <c r="Q645" s="10" t="str">
        <f t="shared" ca="1" si="50"/>
        <v/>
      </c>
      <c r="R645" s="4" t="str">
        <f t="shared" si="51"/>
        <v/>
      </c>
      <c r="S645" s="4" t="str">
        <f t="shared" si="52"/>
        <v/>
      </c>
      <c r="T645" s="4" t="str">
        <f t="shared" si="53"/>
        <v/>
      </c>
      <c r="U645" s="10" t="str">
        <f t="shared" si="54"/>
        <v/>
      </c>
      <c r="V645" s="4"/>
    </row>
    <row r="646" spans="2:22" x14ac:dyDescent="0.25">
      <c r="B646" s="4" t="str">
        <f>IFERROR(VLOOKUP(A646,'ECN-ECO_DATA'!B:G,4,FALSE),"")</f>
        <v/>
      </c>
      <c r="C646" s="9" t="str">
        <f>IFERROR(VLOOKUP(A646,'ECN-ECO_DATA'!B:G,5,FALSE),"")</f>
        <v/>
      </c>
      <c r="D646" s="9" t="str">
        <f ca="1">IFERROR((IF(VLOOKUP(A646,'ECN-ECO_DATA'!B:G,6,FALSE)=0/1/1900,TODAY(),VLOOKUP(A646,'ECN-ECO_DATA'!B:G,6,FALSE))),"")</f>
        <v/>
      </c>
      <c r="E646" s="9" t="str">
        <f>IFERROR((IF(VLOOKUP(A646,'ECN-ECO_DATA'!B:G,6,FALSE)=0/1/1900,"",VLOOKUP(A646,'ECN-ECO_DATA'!B:G,6,FALSE))),"")</f>
        <v/>
      </c>
      <c r="F646" s="9" t="str">
        <f>IFERROR((IF(VLOOKUP(A646,'ECN-ECO_DATA'!B:J,7,FALSE)=0/1/1900,"",VLOOKUP(A646,'ECN-ECO_DATA'!B:J,7,FALSE))),"")</f>
        <v/>
      </c>
      <c r="G646" s="9" t="str">
        <f>IFERROR((IF(VLOOKUP(A646,'ECN-ECO_DATA'!B:J,8,FALSE)=0/1/1900,"",VLOOKUP(A646,'ECN-ECO_DATA'!B:J,8,FALSE))),"")</f>
        <v/>
      </c>
      <c r="H646" s="9" t="str">
        <f>IFERROR((IF(VLOOKUP(A646,'ECN-ECO_DATA'!B:J,9,FALSE)=0/1/1900,"",VLOOKUP(A646,'ECN-ECO_DATA'!B:J,9,FALSE))),"")</f>
        <v/>
      </c>
      <c r="I646" s="10" t="str">
        <f>IFERROR((IF(VLOOKUP(A646,'ECN-ECO_DATA'!B:Q,13,FALSE)="","",VLOOKUP(A646,'ECN-ECO_DATA'!B:Q,13,FALSE))),"")</f>
        <v/>
      </c>
      <c r="J646" s="10" t="str">
        <f>IFERROR((IF(VLOOKUP(A646,'ECN-ECO_DATA'!B:Q,14,FALSE)="","",VLOOKUP(A646,'ECN-ECO_DATA'!B:Q,14,FALSE))),"")</f>
        <v/>
      </c>
      <c r="K646" s="10" t="str">
        <f>IFERROR((IF(VLOOKUP(A646,'ECN-ECO_DATA'!B:Q,15,FALSE)="","",VLOOKUP(A646,'ECN-ECO_DATA'!B:Q,15,FALSE))),"")</f>
        <v/>
      </c>
      <c r="L646" s="10" t="str">
        <f>IFERROR((IF(VLOOKUP(A646,'ECN-ECO_DATA'!B:Q,16,FALSE)="","",VLOOKUP(A646,'ECN-ECO_DATA'!B:Q,16,FALSE))),"")</f>
        <v/>
      </c>
      <c r="M646" s="9" t="str">
        <f>IFERROR((IF(VLOOKUP(A646,'ECN-ECO_DATA'!B:V,18,FALSE)=0/1/1900,"",VLOOKUP(A646,'ECN-ECO_DATA'!B:V,18,FALSE))),"")</f>
        <v/>
      </c>
      <c r="N646" s="9" t="str">
        <f>IFERROR((IF(VLOOKUP(A646,'ECN-ECO_DATA'!B:V,19,FALSE)=0/1/1900,"",VLOOKUP(A646,'ECN-ECO_DATA'!B:V,19,FALSE))),"")</f>
        <v/>
      </c>
      <c r="O646" s="9" t="str">
        <f>IFERROR((IF(VLOOKUP(A646,'ECN-ECO_DATA'!B:V,20,FALSE)=0/1/1900,"",VLOOKUP(A646,'ECN-ECO_DATA'!B:V,20,FALSE))),"")</f>
        <v/>
      </c>
      <c r="P646" s="9" t="str">
        <f>IFERROR((IF(VLOOKUP(A646,'ECN-ECO_DATA'!B:V,21,FALSE)=0/1/1900,"",VLOOKUP(A646,'ECN-ECO_DATA'!B:V,21,FALSE))),"")</f>
        <v/>
      </c>
      <c r="Q646" s="10" t="str">
        <f t="shared" ca="1" si="50"/>
        <v/>
      </c>
      <c r="R646" s="4" t="str">
        <f t="shared" si="51"/>
        <v/>
      </c>
      <c r="S646" s="4" t="str">
        <f t="shared" si="52"/>
        <v/>
      </c>
      <c r="T646" s="4" t="str">
        <f t="shared" si="53"/>
        <v/>
      </c>
      <c r="U646" s="10" t="str">
        <f t="shared" si="54"/>
        <v/>
      </c>
      <c r="V646" s="4"/>
    </row>
    <row r="647" spans="2:22" x14ac:dyDescent="0.25">
      <c r="B647" s="4" t="str">
        <f>IFERROR(VLOOKUP(A647,'ECN-ECO_DATA'!B:G,4,FALSE),"")</f>
        <v/>
      </c>
      <c r="C647" s="9" t="str">
        <f>IFERROR(VLOOKUP(A647,'ECN-ECO_DATA'!B:G,5,FALSE),"")</f>
        <v/>
      </c>
      <c r="D647" s="9" t="str">
        <f ca="1">IFERROR((IF(VLOOKUP(A647,'ECN-ECO_DATA'!B:G,6,FALSE)=0/1/1900,TODAY(),VLOOKUP(A647,'ECN-ECO_DATA'!B:G,6,FALSE))),"")</f>
        <v/>
      </c>
      <c r="E647" s="9" t="str">
        <f>IFERROR((IF(VLOOKUP(A647,'ECN-ECO_DATA'!B:G,6,FALSE)=0/1/1900,"",VLOOKUP(A647,'ECN-ECO_DATA'!B:G,6,FALSE))),"")</f>
        <v/>
      </c>
      <c r="F647" s="9" t="str">
        <f>IFERROR((IF(VLOOKUP(A647,'ECN-ECO_DATA'!B:J,7,FALSE)=0/1/1900,"",VLOOKUP(A647,'ECN-ECO_DATA'!B:J,7,FALSE))),"")</f>
        <v/>
      </c>
      <c r="G647" s="9" t="str">
        <f>IFERROR((IF(VLOOKUP(A647,'ECN-ECO_DATA'!B:J,8,FALSE)=0/1/1900,"",VLOOKUP(A647,'ECN-ECO_DATA'!B:J,8,FALSE))),"")</f>
        <v/>
      </c>
      <c r="H647" s="9" t="str">
        <f>IFERROR((IF(VLOOKUP(A647,'ECN-ECO_DATA'!B:J,9,FALSE)=0/1/1900,"",VLOOKUP(A647,'ECN-ECO_DATA'!B:J,9,FALSE))),"")</f>
        <v/>
      </c>
      <c r="I647" s="10" t="str">
        <f>IFERROR((IF(VLOOKUP(A647,'ECN-ECO_DATA'!B:Q,13,FALSE)="","",VLOOKUP(A647,'ECN-ECO_DATA'!B:Q,13,FALSE))),"")</f>
        <v/>
      </c>
      <c r="J647" s="10" t="str">
        <f>IFERROR((IF(VLOOKUP(A647,'ECN-ECO_DATA'!B:Q,14,FALSE)="","",VLOOKUP(A647,'ECN-ECO_DATA'!B:Q,14,FALSE))),"")</f>
        <v/>
      </c>
      <c r="K647" s="10" t="str">
        <f>IFERROR((IF(VLOOKUP(A647,'ECN-ECO_DATA'!B:Q,15,FALSE)="","",VLOOKUP(A647,'ECN-ECO_DATA'!B:Q,15,FALSE))),"")</f>
        <v/>
      </c>
      <c r="L647" s="10" t="str">
        <f>IFERROR((IF(VLOOKUP(A647,'ECN-ECO_DATA'!B:Q,16,FALSE)="","",VLOOKUP(A647,'ECN-ECO_DATA'!B:Q,16,FALSE))),"")</f>
        <v/>
      </c>
      <c r="M647" s="9" t="str">
        <f>IFERROR((IF(VLOOKUP(A647,'ECN-ECO_DATA'!B:V,18,FALSE)=0/1/1900,"",VLOOKUP(A647,'ECN-ECO_DATA'!B:V,18,FALSE))),"")</f>
        <v/>
      </c>
      <c r="N647" s="9" t="str">
        <f>IFERROR((IF(VLOOKUP(A647,'ECN-ECO_DATA'!B:V,19,FALSE)=0/1/1900,"",VLOOKUP(A647,'ECN-ECO_DATA'!B:V,19,FALSE))),"")</f>
        <v/>
      </c>
      <c r="O647" s="9" t="str">
        <f>IFERROR((IF(VLOOKUP(A647,'ECN-ECO_DATA'!B:V,20,FALSE)=0/1/1900,"",VLOOKUP(A647,'ECN-ECO_DATA'!B:V,20,FALSE))),"")</f>
        <v/>
      </c>
      <c r="P647" s="9" t="str">
        <f>IFERROR((IF(VLOOKUP(A647,'ECN-ECO_DATA'!B:V,21,FALSE)=0/1/1900,"",VLOOKUP(A647,'ECN-ECO_DATA'!B:V,21,FALSE))),"")</f>
        <v/>
      </c>
      <c r="Q647" s="10" t="str">
        <f t="shared" ca="1" si="50"/>
        <v/>
      </c>
      <c r="R647" s="4" t="str">
        <f t="shared" si="51"/>
        <v/>
      </c>
      <c r="S647" s="4" t="str">
        <f t="shared" si="52"/>
        <v/>
      </c>
      <c r="T647" s="4" t="str">
        <f t="shared" si="53"/>
        <v/>
      </c>
      <c r="U647" s="10" t="str">
        <f t="shared" si="54"/>
        <v/>
      </c>
      <c r="V647" s="4"/>
    </row>
    <row r="648" spans="2:22" x14ac:dyDescent="0.25">
      <c r="B648" s="4" t="str">
        <f>IFERROR(VLOOKUP(A648,'ECN-ECO_DATA'!B:G,4,FALSE),"")</f>
        <v/>
      </c>
      <c r="C648" s="9" t="str">
        <f>IFERROR(VLOOKUP(A648,'ECN-ECO_DATA'!B:G,5,FALSE),"")</f>
        <v/>
      </c>
      <c r="D648" s="9" t="str">
        <f ca="1">IFERROR((IF(VLOOKUP(A648,'ECN-ECO_DATA'!B:G,6,FALSE)=0/1/1900,TODAY(),VLOOKUP(A648,'ECN-ECO_DATA'!B:G,6,FALSE))),"")</f>
        <v/>
      </c>
      <c r="E648" s="9" t="str">
        <f>IFERROR((IF(VLOOKUP(A648,'ECN-ECO_DATA'!B:G,6,FALSE)=0/1/1900,"",VLOOKUP(A648,'ECN-ECO_DATA'!B:G,6,FALSE))),"")</f>
        <v/>
      </c>
      <c r="F648" s="9" t="str">
        <f>IFERROR((IF(VLOOKUP(A648,'ECN-ECO_DATA'!B:J,7,FALSE)=0/1/1900,"",VLOOKUP(A648,'ECN-ECO_DATA'!B:J,7,FALSE))),"")</f>
        <v/>
      </c>
      <c r="G648" s="9" t="str">
        <f>IFERROR((IF(VLOOKUP(A648,'ECN-ECO_DATA'!B:J,8,FALSE)=0/1/1900,"",VLOOKUP(A648,'ECN-ECO_DATA'!B:J,8,FALSE))),"")</f>
        <v/>
      </c>
      <c r="H648" s="9" t="str">
        <f>IFERROR((IF(VLOOKUP(A648,'ECN-ECO_DATA'!B:J,9,FALSE)=0/1/1900,"",VLOOKUP(A648,'ECN-ECO_DATA'!B:J,9,FALSE))),"")</f>
        <v/>
      </c>
      <c r="I648" s="10" t="str">
        <f>IFERROR((IF(VLOOKUP(A648,'ECN-ECO_DATA'!B:Q,13,FALSE)="","",VLOOKUP(A648,'ECN-ECO_DATA'!B:Q,13,FALSE))),"")</f>
        <v/>
      </c>
      <c r="J648" s="10" t="str">
        <f>IFERROR((IF(VLOOKUP(A648,'ECN-ECO_DATA'!B:Q,14,FALSE)="","",VLOOKUP(A648,'ECN-ECO_DATA'!B:Q,14,FALSE))),"")</f>
        <v/>
      </c>
      <c r="K648" s="10" t="str">
        <f>IFERROR((IF(VLOOKUP(A648,'ECN-ECO_DATA'!B:Q,15,FALSE)="","",VLOOKUP(A648,'ECN-ECO_DATA'!B:Q,15,FALSE))),"")</f>
        <v/>
      </c>
      <c r="L648" s="10" t="str">
        <f>IFERROR((IF(VLOOKUP(A648,'ECN-ECO_DATA'!B:Q,16,FALSE)="","",VLOOKUP(A648,'ECN-ECO_DATA'!B:Q,16,FALSE))),"")</f>
        <v/>
      </c>
      <c r="M648" s="9" t="str">
        <f>IFERROR((IF(VLOOKUP(A648,'ECN-ECO_DATA'!B:V,18,FALSE)=0/1/1900,"",VLOOKUP(A648,'ECN-ECO_DATA'!B:V,18,FALSE))),"")</f>
        <v/>
      </c>
      <c r="N648" s="9" t="str">
        <f>IFERROR((IF(VLOOKUP(A648,'ECN-ECO_DATA'!B:V,19,FALSE)=0/1/1900,"",VLOOKUP(A648,'ECN-ECO_DATA'!B:V,19,FALSE))),"")</f>
        <v/>
      </c>
      <c r="O648" s="9" t="str">
        <f>IFERROR((IF(VLOOKUP(A648,'ECN-ECO_DATA'!B:V,20,FALSE)=0/1/1900,"",VLOOKUP(A648,'ECN-ECO_DATA'!B:V,20,FALSE))),"")</f>
        <v/>
      </c>
      <c r="P648" s="9" t="str">
        <f>IFERROR((IF(VLOOKUP(A648,'ECN-ECO_DATA'!B:V,21,FALSE)=0/1/1900,"",VLOOKUP(A648,'ECN-ECO_DATA'!B:V,21,FALSE))),"")</f>
        <v/>
      </c>
      <c r="Q648" s="10" t="str">
        <f t="shared" ca="1" si="50"/>
        <v/>
      </c>
      <c r="R648" s="4" t="str">
        <f t="shared" si="51"/>
        <v/>
      </c>
      <c r="S648" s="4" t="str">
        <f t="shared" si="52"/>
        <v/>
      </c>
      <c r="T648" s="4" t="str">
        <f t="shared" si="53"/>
        <v/>
      </c>
      <c r="U648" s="10" t="str">
        <f t="shared" si="54"/>
        <v/>
      </c>
      <c r="V648" s="4"/>
    </row>
    <row r="649" spans="2:22" x14ac:dyDescent="0.25">
      <c r="B649" s="4" t="str">
        <f>IFERROR(VLOOKUP(A649,'ECN-ECO_DATA'!B:G,4,FALSE),"")</f>
        <v/>
      </c>
      <c r="C649" s="9" t="str">
        <f>IFERROR(VLOOKUP(A649,'ECN-ECO_DATA'!B:G,5,FALSE),"")</f>
        <v/>
      </c>
      <c r="D649" s="9" t="str">
        <f ca="1">IFERROR((IF(VLOOKUP(A649,'ECN-ECO_DATA'!B:G,6,FALSE)=0/1/1900,TODAY(),VLOOKUP(A649,'ECN-ECO_DATA'!B:G,6,FALSE))),"")</f>
        <v/>
      </c>
      <c r="E649" s="9" t="str">
        <f>IFERROR((IF(VLOOKUP(A649,'ECN-ECO_DATA'!B:G,6,FALSE)=0/1/1900,"",VLOOKUP(A649,'ECN-ECO_DATA'!B:G,6,FALSE))),"")</f>
        <v/>
      </c>
      <c r="F649" s="9" t="str">
        <f>IFERROR((IF(VLOOKUP(A649,'ECN-ECO_DATA'!B:J,7,FALSE)=0/1/1900,"",VLOOKUP(A649,'ECN-ECO_DATA'!B:J,7,FALSE))),"")</f>
        <v/>
      </c>
      <c r="G649" s="9" t="str">
        <f>IFERROR((IF(VLOOKUP(A649,'ECN-ECO_DATA'!B:J,8,FALSE)=0/1/1900,"",VLOOKUP(A649,'ECN-ECO_DATA'!B:J,8,FALSE))),"")</f>
        <v/>
      </c>
      <c r="H649" s="9" t="str">
        <f>IFERROR((IF(VLOOKUP(A649,'ECN-ECO_DATA'!B:J,9,FALSE)=0/1/1900,"",VLOOKUP(A649,'ECN-ECO_DATA'!B:J,9,FALSE))),"")</f>
        <v/>
      </c>
      <c r="I649" s="10" t="str">
        <f>IFERROR((IF(VLOOKUP(A649,'ECN-ECO_DATA'!B:Q,13,FALSE)="","",VLOOKUP(A649,'ECN-ECO_DATA'!B:Q,13,FALSE))),"")</f>
        <v/>
      </c>
      <c r="J649" s="10" t="str">
        <f>IFERROR((IF(VLOOKUP(A649,'ECN-ECO_DATA'!B:Q,14,FALSE)="","",VLOOKUP(A649,'ECN-ECO_DATA'!B:Q,14,FALSE))),"")</f>
        <v/>
      </c>
      <c r="K649" s="10" t="str">
        <f>IFERROR((IF(VLOOKUP(A649,'ECN-ECO_DATA'!B:Q,15,FALSE)="","",VLOOKUP(A649,'ECN-ECO_DATA'!B:Q,15,FALSE))),"")</f>
        <v/>
      </c>
      <c r="L649" s="10" t="str">
        <f>IFERROR((IF(VLOOKUP(A649,'ECN-ECO_DATA'!B:Q,16,FALSE)="","",VLOOKUP(A649,'ECN-ECO_DATA'!B:Q,16,FALSE))),"")</f>
        <v/>
      </c>
      <c r="M649" s="9" t="str">
        <f>IFERROR((IF(VLOOKUP(A649,'ECN-ECO_DATA'!B:V,18,FALSE)=0/1/1900,"",VLOOKUP(A649,'ECN-ECO_DATA'!B:V,18,FALSE))),"")</f>
        <v/>
      </c>
      <c r="N649" s="9" t="str">
        <f>IFERROR((IF(VLOOKUP(A649,'ECN-ECO_DATA'!B:V,19,FALSE)=0/1/1900,"",VLOOKUP(A649,'ECN-ECO_DATA'!B:V,19,FALSE))),"")</f>
        <v/>
      </c>
      <c r="O649" s="9" t="str">
        <f>IFERROR((IF(VLOOKUP(A649,'ECN-ECO_DATA'!B:V,20,FALSE)=0/1/1900,"",VLOOKUP(A649,'ECN-ECO_DATA'!B:V,20,FALSE))),"")</f>
        <v/>
      </c>
      <c r="P649" s="9" t="str">
        <f>IFERROR((IF(VLOOKUP(A649,'ECN-ECO_DATA'!B:V,21,FALSE)=0/1/1900,"",VLOOKUP(A649,'ECN-ECO_DATA'!B:V,21,FALSE))),"")</f>
        <v/>
      </c>
      <c r="Q649" s="10" t="str">
        <f t="shared" ca="1" si="50"/>
        <v/>
      </c>
      <c r="R649" s="4" t="str">
        <f t="shared" si="51"/>
        <v/>
      </c>
      <c r="S649" s="4" t="str">
        <f t="shared" si="52"/>
        <v/>
      </c>
      <c r="T649" s="4" t="str">
        <f t="shared" si="53"/>
        <v/>
      </c>
      <c r="U649" s="10" t="str">
        <f t="shared" si="54"/>
        <v/>
      </c>
      <c r="V649" s="4"/>
    </row>
    <row r="650" spans="2:22" x14ac:dyDescent="0.25">
      <c r="B650" s="4" t="str">
        <f>IFERROR(VLOOKUP(A650,'ECN-ECO_DATA'!B:G,4,FALSE),"")</f>
        <v/>
      </c>
      <c r="C650" s="9" t="str">
        <f>IFERROR(VLOOKUP(A650,'ECN-ECO_DATA'!B:G,5,FALSE),"")</f>
        <v/>
      </c>
      <c r="D650" s="9" t="str">
        <f ca="1">IFERROR((IF(VLOOKUP(A650,'ECN-ECO_DATA'!B:G,6,FALSE)=0/1/1900,TODAY(),VLOOKUP(A650,'ECN-ECO_DATA'!B:G,6,FALSE))),"")</f>
        <v/>
      </c>
      <c r="E650" s="9" t="str">
        <f>IFERROR((IF(VLOOKUP(A650,'ECN-ECO_DATA'!B:G,6,FALSE)=0/1/1900,"",VLOOKUP(A650,'ECN-ECO_DATA'!B:G,6,FALSE))),"")</f>
        <v/>
      </c>
      <c r="F650" s="9" t="str">
        <f>IFERROR((IF(VLOOKUP(A650,'ECN-ECO_DATA'!B:J,7,FALSE)=0/1/1900,"",VLOOKUP(A650,'ECN-ECO_DATA'!B:J,7,FALSE))),"")</f>
        <v/>
      </c>
      <c r="G650" s="9" t="str">
        <f>IFERROR((IF(VLOOKUP(A650,'ECN-ECO_DATA'!B:J,8,FALSE)=0/1/1900,"",VLOOKUP(A650,'ECN-ECO_DATA'!B:J,8,FALSE))),"")</f>
        <v/>
      </c>
      <c r="H650" s="9" t="str">
        <f>IFERROR((IF(VLOOKUP(A650,'ECN-ECO_DATA'!B:J,9,FALSE)=0/1/1900,"",VLOOKUP(A650,'ECN-ECO_DATA'!B:J,9,FALSE))),"")</f>
        <v/>
      </c>
      <c r="I650" s="10" t="str">
        <f>IFERROR((IF(VLOOKUP(A650,'ECN-ECO_DATA'!B:Q,13,FALSE)="","",VLOOKUP(A650,'ECN-ECO_DATA'!B:Q,13,FALSE))),"")</f>
        <v/>
      </c>
      <c r="J650" s="10" t="str">
        <f>IFERROR((IF(VLOOKUP(A650,'ECN-ECO_DATA'!B:Q,14,FALSE)="","",VLOOKUP(A650,'ECN-ECO_DATA'!B:Q,14,FALSE))),"")</f>
        <v/>
      </c>
      <c r="K650" s="10" t="str">
        <f>IFERROR((IF(VLOOKUP(A650,'ECN-ECO_DATA'!B:Q,15,FALSE)="","",VLOOKUP(A650,'ECN-ECO_DATA'!B:Q,15,FALSE))),"")</f>
        <v/>
      </c>
      <c r="L650" s="10" t="str">
        <f>IFERROR((IF(VLOOKUP(A650,'ECN-ECO_DATA'!B:Q,16,FALSE)="","",VLOOKUP(A650,'ECN-ECO_DATA'!B:Q,16,FALSE))),"")</f>
        <v/>
      </c>
      <c r="M650" s="9" t="str">
        <f>IFERROR((IF(VLOOKUP(A650,'ECN-ECO_DATA'!B:V,18,FALSE)=0/1/1900,"",VLOOKUP(A650,'ECN-ECO_DATA'!B:V,18,FALSE))),"")</f>
        <v/>
      </c>
      <c r="N650" s="9" t="str">
        <f>IFERROR((IF(VLOOKUP(A650,'ECN-ECO_DATA'!B:V,19,FALSE)=0/1/1900,"",VLOOKUP(A650,'ECN-ECO_DATA'!B:V,19,FALSE))),"")</f>
        <v/>
      </c>
      <c r="O650" s="9" t="str">
        <f>IFERROR((IF(VLOOKUP(A650,'ECN-ECO_DATA'!B:V,20,FALSE)=0/1/1900,"",VLOOKUP(A650,'ECN-ECO_DATA'!B:V,20,FALSE))),"")</f>
        <v/>
      </c>
      <c r="P650" s="9" t="str">
        <f>IFERROR((IF(VLOOKUP(A650,'ECN-ECO_DATA'!B:V,21,FALSE)=0/1/1900,"",VLOOKUP(A650,'ECN-ECO_DATA'!B:V,21,FALSE))),"")</f>
        <v/>
      </c>
      <c r="Q650" s="10" t="str">
        <f t="shared" ca="1" si="50"/>
        <v/>
      </c>
      <c r="R650" s="4" t="str">
        <f t="shared" si="51"/>
        <v/>
      </c>
      <c r="S650" s="4" t="str">
        <f t="shared" si="52"/>
        <v/>
      </c>
      <c r="T650" s="4" t="str">
        <f t="shared" si="53"/>
        <v/>
      </c>
      <c r="U650" s="10" t="str">
        <f t="shared" si="54"/>
        <v/>
      </c>
      <c r="V650" s="4"/>
    </row>
    <row r="651" spans="2:22" x14ac:dyDescent="0.25">
      <c r="B651" s="4" t="str">
        <f>IFERROR(VLOOKUP(A651,'ECN-ECO_DATA'!B:G,4,FALSE),"")</f>
        <v/>
      </c>
      <c r="C651" s="9" t="str">
        <f>IFERROR(VLOOKUP(A651,'ECN-ECO_DATA'!B:G,5,FALSE),"")</f>
        <v/>
      </c>
      <c r="D651" s="9" t="str">
        <f ca="1">IFERROR((IF(VLOOKUP(A651,'ECN-ECO_DATA'!B:G,6,FALSE)=0/1/1900,TODAY(),VLOOKUP(A651,'ECN-ECO_DATA'!B:G,6,FALSE))),"")</f>
        <v/>
      </c>
      <c r="E651" s="9" t="str">
        <f>IFERROR((IF(VLOOKUP(A651,'ECN-ECO_DATA'!B:G,6,FALSE)=0/1/1900,"",VLOOKUP(A651,'ECN-ECO_DATA'!B:G,6,FALSE))),"")</f>
        <v/>
      </c>
      <c r="F651" s="9" t="str">
        <f>IFERROR((IF(VLOOKUP(A651,'ECN-ECO_DATA'!B:J,7,FALSE)=0/1/1900,"",VLOOKUP(A651,'ECN-ECO_DATA'!B:J,7,FALSE))),"")</f>
        <v/>
      </c>
      <c r="G651" s="9" t="str">
        <f>IFERROR((IF(VLOOKUP(A651,'ECN-ECO_DATA'!B:J,8,FALSE)=0/1/1900,"",VLOOKUP(A651,'ECN-ECO_DATA'!B:J,8,FALSE))),"")</f>
        <v/>
      </c>
      <c r="H651" s="9" t="str">
        <f>IFERROR((IF(VLOOKUP(A651,'ECN-ECO_DATA'!B:J,9,FALSE)=0/1/1900,"",VLOOKUP(A651,'ECN-ECO_DATA'!B:J,9,FALSE))),"")</f>
        <v/>
      </c>
      <c r="I651" s="10" t="str">
        <f>IFERROR((IF(VLOOKUP(A651,'ECN-ECO_DATA'!B:Q,13,FALSE)="","",VLOOKUP(A651,'ECN-ECO_DATA'!B:Q,13,FALSE))),"")</f>
        <v/>
      </c>
      <c r="J651" s="10" t="str">
        <f>IFERROR((IF(VLOOKUP(A651,'ECN-ECO_DATA'!B:Q,14,FALSE)="","",VLOOKUP(A651,'ECN-ECO_DATA'!B:Q,14,FALSE))),"")</f>
        <v/>
      </c>
      <c r="K651" s="10" t="str">
        <f>IFERROR((IF(VLOOKUP(A651,'ECN-ECO_DATA'!B:Q,15,FALSE)="","",VLOOKUP(A651,'ECN-ECO_DATA'!B:Q,15,FALSE))),"")</f>
        <v/>
      </c>
      <c r="L651" s="10" t="str">
        <f>IFERROR((IF(VLOOKUP(A651,'ECN-ECO_DATA'!B:Q,16,FALSE)="","",VLOOKUP(A651,'ECN-ECO_DATA'!B:Q,16,FALSE))),"")</f>
        <v/>
      </c>
      <c r="M651" s="9" t="str">
        <f>IFERROR((IF(VLOOKUP(A651,'ECN-ECO_DATA'!B:V,18,FALSE)=0/1/1900,"",VLOOKUP(A651,'ECN-ECO_DATA'!B:V,18,FALSE))),"")</f>
        <v/>
      </c>
      <c r="N651" s="9" t="str">
        <f>IFERROR((IF(VLOOKUP(A651,'ECN-ECO_DATA'!B:V,19,FALSE)=0/1/1900,"",VLOOKUP(A651,'ECN-ECO_DATA'!B:V,19,FALSE))),"")</f>
        <v/>
      </c>
      <c r="O651" s="9" t="str">
        <f>IFERROR((IF(VLOOKUP(A651,'ECN-ECO_DATA'!B:V,20,FALSE)=0/1/1900,"",VLOOKUP(A651,'ECN-ECO_DATA'!B:V,20,FALSE))),"")</f>
        <v/>
      </c>
      <c r="P651" s="9" t="str">
        <f>IFERROR((IF(VLOOKUP(A651,'ECN-ECO_DATA'!B:V,21,FALSE)=0/1/1900,"",VLOOKUP(A651,'ECN-ECO_DATA'!B:V,21,FALSE))),"")</f>
        <v/>
      </c>
      <c r="Q651" s="10" t="str">
        <f t="shared" ca="1" si="50"/>
        <v/>
      </c>
      <c r="R651" s="4" t="str">
        <f t="shared" si="51"/>
        <v/>
      </c>
      <c r="S651" s="4" t="str">
        <f t="shared" si="52"/>
        <v/>
      </c>
      <c r="T651" s="4" t="str">
        <f t="shared" si="53"/>
        <v/>
      </c>
      <c r="U651" s="10" t="str">
        <f t="shared" si="54"/>
        <v/>
      </c>
      <c r="V651" s="4"/>
    </row>
    <row r="652" spans="2:22" x14ac:dyDescent="0.25">
      <c r="B652" s="4" t="str">
        <f>IFERROR(VLOOKUP(A652,'ECN-ECO_DATA'!B:G,4,FALSE),"")</f>
        <v/>
      </c>
      <c r="C652" s="9" t="str">
        <f>IFERROR(VLOOKUP(A652,'ECN-ECO_DATA'!B:G,5,FALSE),"")</f>
        <v/>
      </c>
      <c r="D652" s="9" t="str">
        <f ca="1">IFERROR((IF(VLOOKUP(A652,'ECN-ECO_DATA'!B:G,6,FALSE)=0/1/1900,TODAY(),VLOOKUP(A652,'ECN-ECO_DATA'!B:G,6,FALSE))),"")</f>
        <v/>
      </c>
      <c r="E652" s="9" t="str">
        <f>IFERROR((IF(VLOOKUP(A652,'ECN-ECO_DATA'!B:G,6,FALSE)=0/1/1900,"",VLOOKUP(A652,'ECN-ECO_DATA'!B:G,6,FALSE))),"")</f>
        <v/>
      </c>
      <c r="F652" s="9" t="str">
        <f>IFERROR((IF(VLOOKUP(A652,'ECN-ECO_DATA'!B:J,7,FALSE)=0/1/1900,"",VLOOKUP(A652,'ECN-ECO_DATA'!B:J,7,FALSE))),"")</f>
        <v/>
      </c>
      <c r="G652" s="9" t="str">
        <f>IFERROR((IF(VLOOKUP(A652,'ECN-ECO_DATA'!B:J,8,FALSE)=0/1/1900,"",VLOOKUP(A652,'ECN-ECO_DATA'!B:J,8,FALSE))),"")</f>
        <v/>
      </c>
      <c r="H652" s="9" t="str">
        <f>IFERROR((IF(VLOOKUP(A652,'ECN-ECO_DATA'!B:J,9,FALSE)=0/1/1900,"",VLOOKUP(A652,'ECN-ECO_DATA'!B:J,9,FALSE))),"")</f>
        <v/>
      </c>
      <c r="I652" s="10" t="str">
        <f>IFERROR((IF(VLOOKUP(A652,'ECN-ECO_DATA'!B:Q,13,FALSE)="","",VLOOKUP(A652,'ECN-ECO_DATA'!B:Q,13,FALSE))),"")</f>
        <v/>
      </c>
      <c r="J652" s="10" t="str">
        <f>IFERROR((IF(VLOOKUP(A652,'ECN-ECO_DATA'!B:Q,14,FALSE)="","",VLOOKUP(A652,'ECN-ECO_DATA'!B:Q,14,FALSE))),"")</f>
        <v/>
      </c>
      <c r="K652" s="10" t="str">
        <f>IFERROR((IF(VLOOKUP(A652,'ECN-ECO_DATA'!B:Q,15,FALSE)="","",VLOOKUP(A652,'ECN-ECO_DATA'!B:Q,15,FALSE))),"")</f>
        <v/>
      </c>
      <c r="L652" s="10" t="str">
        <f>IFERROR((IF(VLOOKUP(A652,'ECN-ECO_DATA'!B:Q,16,FALSE)="","",VLOOKUP(A652,'ECN-ECO_DATA'!B:Q,16,FALSE))),"")</f>
        <v/>
      </c>
      <c r="M652" s="9" t="str">
        <f>IFERROR((IF(VLOOKUP(A652,'ECN-ECO_DATA'!B:V,18,FALSE)=0/1/1900,"",VLOOKUP(A652,'ECN-ECO_DATA'!B:V,18,FALSE))),"")</f>
        <v/>
      </c>
      <c r="N652" s="9" t="str">
        <f>IFERROR((IF(VLOOKUP(A652,'ECN-ECO_DATA'!B:V,19,FALSE)=0/1/1900,"",VLOOKUP(A652,'ECN-ECO_DATA'!B:V,19,FALSE))),"")</f>
        <v/>
      </c>
      <c r="O652" s="9" t="str">
        <f>IFERROR((IF(VLOOKUP(A652,'ECN-ECO_DATA'!B:V,20,FALSE)=0/1/1900,"",VLOOKUP(A652,'ECN-ECO_DATA'!B:V,20,FALSE))),"")</f>
        <v/>
      </c>
      <c r="P652" s="9" t="str">
        <f>IFERROR((IF(VLOOKUP(A652,'ECN-ECO_DATA'!B:V,21,FALSE)=0/1/1900,"",VLOOKUP(A652,'ECN-ECO_DATA'!B:V,21,FALSE))),"")</f>
        <v/>
      </c>
      <c r="Q652" s="10" t="str">
        <f t="shared" ca="1" si="50"/>
        <v/>
      </c>
      <c r="R652" s="4" t="str">
        <f t="shared" si="51"/>
        <v/>
      </c>
      <c r="S652" s="4" t="str">
        <f t="shared" si="52"/>
        <v/>
      </c>
      <c r="T652" s="4" t="str">
        <f t="shared" si="53"/>
        <v/>
      </c>
      <c r="U652" s="10" t="str">
        <f t="shared" si="54"/>
        <v/>
      </c>
      <c r="V652" s="4"/>
    </row>
    <row r="653" spans="2:22" x14ac:dyDescent="0.25">
      <c r="B653" s="4" t="str">
        <f>IFERROR(VLOOKUP(A653,'ECN-ECO_DATA'!B:G,4,FALSE),"")</f>
        <v/>
      </c>
      <c r="C653" s="9" t="str">
        <f>IFERROR(VLOOKUP(A653,'ECN-ECO_DATA'!B:G,5,FALSE),"")</f>
        <v/>
      </c>
      <c r="D653" s="9" t="str">
        <f ca="1">IFERROR((IF(VLOOKUP(A653,'ECN-ECO_DATA'!B:G,6,FALSE)=0/1/1900,TODAY(),VLOOKUP(A653,'ECN-ECO_DATA'!B:G,6,FALSE))),"")</f>
        <v/>
      </c>
      <c r="E653" s="9" t="str">
        <f>IFERROR((IF(VLOOKUP(A653,'ECN-ECO_DATA'!B:G,6,FALSE)=0/1/1900,"",VLOOKUP(A653,'ECN-ECO_DATA'!B:G,6,FALSE))),"")</f>
        <v/>
      </c>
      <c r="F653" s="9" t="str">
        <f>IFERROR((IF(VLOOKUP(A653,'ECN-ECO_DATA'!B:J,7,FALSE)=0/1/1900,"",VLOOKUP(A653,'ECN-ECO_DATA'!B:J,7,FALSE))),"")</f>
        <v/>
      </c>
      <c r="G653" s="9" t="str">
        <f>IFERROR((IF(VLOOKUP(A653,'ECN-ECO_DATA'!B:J,8,FALSE)=0/1/1900,"",VLOOKUP(A653,'ECN-ECO_DATA'!B:J,8,FALSE))),"")</f>
        <v/>
      </c>
      <c r="H653" s="9" t="str">
        <f>IFERROR((IF(VLOOKUP(A653,'ECN-ECO_DATA'!B:J,9,FALSE)=0/1/1900,"",VLOOKUP(A653,'ECN-ECO_DATA'!B:J,9,FALSE))),"")</f>
        <v/>
      </c>
      <c r="I653" s="10" t="str">
        <f>IFERROR((IF(VLOOKUP(A653,'ECN-ECO_DATA'!B:Q,13,FALSE)="","",VLOOKUP(A653,'ECN-ECO_DATA'!B:Q,13,FALSE))),"")</f>
        <v/>
      </c>
      <c r="J653" s="10" t="str">
        <f>IFERROR((IF(VLOOKUP(A653,'ECN-ECO_DATA'!B:Q,14,FALSE)="","",VLOOKUP(A653,'ECN-ECO_DATA'!B:Q,14,FALSE))),"")</f>
        <v/>
      </c>
      <c r="K653" s="10" t="str">
        <f>IFERROR((IF(VLOOKUP(A653,'ECN-ECO_DATA'!B:Q,15,FALSE)="","",VLOOKUP(A653,'ECN-ECO_DATA'!B:Q,15,FALSE))),"")</f>
        <v/>
      </c>
      <c r="L653" s="10" t="str">
        <f>IFERROR((IF(VLOOKUP(A653,'ECN-ECO_DATA'!B:Q,16,FALSE)="","",VLOOKUP(A653,'ECN-ECO_DATA'!B:Q,16,FALSE))),"")</f>
        <v/>
      </c>
      <c r="M653" s="9" t="str">
        <f>IFERROR((IF(VLOOKUP(A653,'ECN-ECO_DATA'!B:V,18,FALSE)=0/1/1900,"",VLOOKUP(A653,'ECN-ECO_DATA'!B:V,18,FALSE))),"")</f>
        <v/>
      </c>
      <c r="N653" s="9" t="str">
        <f>IFERROR((IF(VLOOKUP(A653,'ECN-ECO_DATA'!B:V,19,FALSE)=0/1/1900,"",VLOOKUP(A653,'ECN-ECO_DATA'!B:V,19,FALSE))),"")</f>
        <v/>
      </c>
      <c r="O653" s="9" t="str">
        <f>IFERROR((IF(VLOOKUP(A653,'ECN-ECO_DATA'!B:V,20,FALSE)=0/1/1900,"",VLOOKUP(A653,'ECN-ECO_DATA'!B:V,20,FALSE))),"")</f>
        <v/>
      </c>
      <c r="P653" s="9" t="str">
        <f>IFERROR((IF(VLOOKUP(A653,'ECN-ECO_DATA'!B:V,21,FALSE)=0/1/1900,"",VLOOKUP(A653,'ECN-ECO_DATA'!B:V,21,FALSE))),"")</f>
        <v/>
      </c>
      <c r="Q653" s="10" t="str">
        <f t="shared" ca="1" si="50"/>
        <v/>
      </c>
      <c r="R653" s="4" t="str">
        <f t="shared" si="51"/>
        <v/>
      </c>
      <c r="S653" s="4" t="str">
        <f t="shared" si="52"/>
        <v/>
      </c>
      <c r="T653" s="4" t="str">
        <f t="shared" si="53"/>
        <v/>
      </c>
      <c r="U653" s="10" t="str">
        <f t="shared" si="54"/>
        <v/>
      </c>
      <c r="V653" s="4"/>
    </row>
    <row r="654" spans="2:22" x14ac:dyDescent="0.25">
      <c r="B654" s="4" t="str">
        <f>IFERROR(VLOOKUP(A654,'ECN-ECO_DATA'!B:G,4,FALSE),"")</f>
        <v/>
      </c>
      <c r="C654" s="9" t="str">
        <f>IFERROR(VLOOKUP(A654,'ECN-ECO_DATA'!B:G,5,FALSE),"")</f>
        <v/>
      </c>
      <c r="D654" s="9" t="str">
        <f ca="1">IFERROR((IF(VLOOKUP(A654,'ECN-ECO_DATA'!B:G,6,FALSE)=0/1/1900,TODAY(),VLOOKUP(A654,'ECN-ECO_DATA'!B:G,6,FALSE))),"")</f>
        <v/>
      </c>
      <c r="E654" s="9" t="str">
        <f>IFERROR((IF(VLOOKUP(A654,'ECN-ECO_DATA'!B:G,6,FALSE)=0/1/1900,"",VLOOKUP(A654,'ECN-ECO_DATA'!B:G,6,FALSE))),"")</f>
        <v/>
      </c>
      <c r="F654" s="9" t="str">
        <f>IFERROR((IF(VLOOKUP(A654,'ECN-ECO_DATA'!B:J,7,FALSE)=0/1/1900,"",VLOOKUP(A654,'ECN-ECO_DATA'!B:J,7,FALSE))),"")</f>
        <v/>
      </c>
      <c r="G654" s="9" t="str">
        <f>IFERROR((IF(VLOOKUP(A654,'ECN-ECO_DATA'!B:J,8,FALSE)=0/1/1900,"",VLOOKUP(A654,'ECN-ECO_DATA'!B:J,8,FALSE))),"")</f>
        <v/>
      </c>
      <c r="H654" s="9" t="str">
        <f>IFERROR((IF(VLOOKUP(A654,'ECN-ECO_DATA'!B:J,9,FALSE)=0/1/1900,"",VLOOKUP(A654,'ECN-ECO_DATA'!B:J,9,FALSE))),"")</f>
        <v/>
      </c>
      <c r="I654" s="10" t="str">
        <f>IFERROR((IF(VLOOKUP(A654,'ECN-ECO_DATA'!B:Q,13,FALSE)="","",VLOOKUP(A654,'ECN-ECO_DATA'!B:Q,13,FALSE))),"")</f>
        <v/>
      </c>
      <c r="J654" s="10" t="str">
        <f>IFERROR((IF(VLOOKUP(A654,'ECN-ECO_DATA'!B:Q,14,FALSE)="","",VLOOKUP(A654,'ECN-ECO_DATA'!B:Q,14,FALSE))),"")</f>
        <v/>
      </c>
      <c r="K654" s="10" t="str">
        <f>IFERROR((IF(VLOOKUP(A654,'ECN-ECO_DATA'!B:Q,15,FALSE)="","",VLOOKUP(A654,'ECN-ECO_DATA'!B:Q,15,FALSE))),"")</f>
        <v/>
      </c>
      <c r="L654" s="10" t="str">
        <f>IFERROR((IF(VLOOKUP(A654,'ECN-ECO_DATA'!B:Q,16,FALSE)="","",VLOOKUP(A654,'ECN-ECO_DATA'!B:Q,16,FALSE))),"")</f>
        <v/>
      </c>
      <c r="M654" s="9" t="str">
        <f>IFERROR((IF(VLOOKUP(A654,'ECN-ECO_DATA'!B:V,18,FALSE)=0/1/1900,"",VLOOKUP(A654,'ECN-ECO_DATA'!B:V,18,FALSE))),"")</f>
        <v/>
      </c>
      <c r="N654" s="9" t="str">
        <f>IFERROR((IF(VLOOKUP(A654,'ECN-ECO_DATA'!B:V,19,FALSE)=0/1/1900,"",VLOOKUP(A654,'ECN-ECO_DATA'!B:V,19,FALSE))),"")</f>
        <v/>
      </c>
      <c r="O654" s="9" t="str">
        <f>IFERROR((IF(VLOOKUP(A654,'ECN-ECO_DATA'!B:V,20,FALSE)=0/1/1900,"",VLOOKUP(A654,'ECN-ECO_DATA'!B:V,20,FALSE))),"")</f>
        <v/>
      </c>
      <c r="P654" s="9" t="str">
        <f>IFERROR((IF(VLOOKUP(A654,'ECN-ECO_DATA'!B:V,21,FALSE)=0/1/1900,"",VLOOKUP(A654,'ECN-ECO_DATA'!B:V,21,FALSE))),"")</f>
        <v/>
      </c>
      <c r="Q654" s="10" t="str">
        <f t="shared" ca="1" si="50"/>
        <v/>
      </c>
      <c r="R654" s="4" t="str">
        <f t="shared" si="51"/>
        <v/>
      </c>
      <c r="S654" s="4" t="str">
        <f t="shared" si="52"/>
        <v/>
      </c>
      <c r="T654" s="4" t="str">
        <f t="shared" si="53"/>
        <v/>
      </c>
      <c r="U654" s="10" t="str">
        <f t="shared" si="54"/>
        <v/>
      </c>
      <c r="V654" s="4"/>
    </row>
    <row r="655" spans="2:22" x14ac:dyDescent="0.25">
      <c r="B655" s="4" t="str">
        <f>IFERROR(VLOOKUP(A655,'ECN-ECO_DATA'!B:G,4,FALSE),"")</f>
        <v/>
      </c>
      <c r="C655" s="9" t="str">
        <f>IFERROR(VLOOKUP(A655,'ECN-ECO_DATA'!B:G,5,FALSE),"")</f>
        <v/>
      </c>
      <c r="D655" s="9" t="str">
        <f ca="1">IFERROR((IF(VLOOKUP(A655,'ECN-ECO_DATA'!B:G,6,FALSE)=0/1/1900,TODAY(),VLOOKUP(A655,'ECN-ECO_DATA'!B:G,6,FALSE))),"")</f>
        <v/>
      </c>
      <c r="E655" s="9" t="str">
        <f>IFERROR((IF(VLOOKUP(A655,'ECN-ECO_DATA'!B:G,6,FALSE)=0/1/1900,"",VLOOKUP(A655,'ECN-ECO_DATA'!B:G,6,FALSE))),"")</f>
        <v/>
      </c>
      <c r="F655" s="9" t="str">
        <f>IFERROR((IF(VLOOKUP(A655,'ECN-ECO_DATA'!B:J,7,FALSE)=0/1/1900,"",VLOOKUP(A655,'ECN-ECO_DATA'!B:J,7,FALSE))),"")</f>
        <v/>
      </c>
      <c r="G655" s="9" t="str">
        <f>IFERROR((IF(VLOOKUP(A655,'ECN-ECO_DATA'!B:J,8,FALSE)=0/1/1900,"",VLOOKUP(A655,'ECN-ECO_DATA'!B:J,8,FALSE))),"")</f>
        <v/>
      </c>
      <c r="H655" s="9" t="str">
        <f>IFERROR((IF(VLOOKUP(A655,'ECN-ECO_DATA'!B:J,9,FALSE)=0/1/1900,"",VLOOKUP(A655,'ECN-ECO_DATA'!B:J,9,FALSE))),"")</f>
        <v/>
      </c>
      <c r="I655" s="10" t="str">
        <f>IFERROR((IF(VLOOKUP(A655,'ECN-ECO_DATA'!B:Q,13,FALSE)="","",VLOOKUP(A655,'ECN-ECO_DATA'!B:Q,13,FALSE))),"")</f>
        <v/>
      </c>
      <c r="J655" s="10" t="str">
        <f>IFERROR((IF(VLOOKUP(A655,'ECN-ECO_DATA'!B:Q,14,FALSE)="","",VLOOKUP(A655,'ECN-ECO_DATA'!B:Q,14,FALSE))),"")</f>
        <v/>
      </c>
      <c r="K655" s="10" t="str">
        <f>IFERROR((IF(VLOOKUP(A655,'ECN-ECO_DATA'!B:Q,15,FALSE)="","",VLOOKUP(A655,'ECN-ECO_DATA'!B:Q,15,FALSE))),"")</f>
        <v/>
      </c>
      <c r="L655" s="10" t="str">
        <f>IFERROR((IF(VLOOKUP(A655,'ECN-ECO_DATA'!B:Q,16,FALSE)="","",VLOOKUP(A655,'ECN-ECO_DATA'!B:Q,16,FALSE))),"")</f>
        <v/>
      </c>
      <c r="M655" s="9" t="str">
        <f>IFERROR((IF(VLOOKUP(A655,'ECN-ECO_DATA'!B:V,18,FALSE)=0/1/1900,"",VLOOKUP(A655,'ECN-ECO_DATA'!B:V,18,FALSE))),"")</f>
        <v/>
      </c>
      <c r="N655" s="9" t="str">
        <f>IFERROR((IF(VLOOKUP(A655,'ECN-ECO_DATA'!B:V,19,FALSE)=0/1/1900,"",VLOOKUP(A655,'ECN-ECO_DATA'!B:V,19,FALSE))),"")</f>
        <v/>
      </c>
      <c r="O655" s="9" t="str">
        <f>IFERROR((IF(VLOOKUP(A655,'ECN-ECO_DATA'!B:V,20,FALSE)=0/1/1900,"",VLOOKUP(A655,'ECN-ECO_DATA'!B:V,20,FALSE))),"")</f>
        <v/>
      </c>
      <c r="P655" s="9" t="str">
        <f>IFERROR((IF(VLOOKUP(A655,'ECN-ECO_DATA'!B:V,21,FALSE)=0/1/1900,"",VLOOKUP(A655,'ECN-ECO_DATA'!B:V,21,FALSE))),"")</f>
        <v/>
      </c>
      <c r="Q655" s="10" t="str">
        <f t="shared" ca="1" si="50"/>
        <v/>
      </c>
      <c r="R655" s="4" t="str">
        <f t="shared" si="51"/>
        <v/>
      </c>
      <c r="S655" s="4" t="str">
        <f t="shared" si="52"/>
        <v/>
      </c>
      <c r="T655" s="4" t="str">
        <f t="shared" si="53"/>
        <v/>
      </c>
      <c r="U655" s="10" t="str">
        <f t="shared" si="54"/>
        <v/>
      </c>
      <c r="V655" s="4"/>
    </row>
    <row r="656" spans="2:22" x14ac:dyDescent="0.25">
      <c r="B656" s="4" t="str">
        <f>IFERROR(VLOOKUP(A656,'ECN-ECO_DATA'!B:G,4,FALSE),"")</f>
        <v/>
      </c>
      <c r="C656" s="9" t="str">
        <f>IFERROR(VLOOKUP(A656,'ECN-ECO_DATA'!B:G,5,FALSE),"")</f>
        <v/>
      </c>
      <c r="D656" s="9" t="str">
        <f ca="1">IFERROR((IF(VLOOKUP(A656,'ECN-ECO_DATA'!B:G,6,FALSE)=0/1/1900,TODAY(),VLOOKUP(A656,'ECN-ECO_DATA'!B:G,6,FALSE))),"")</f>
        <v/>
      </c>
      <c r="E656" s="9" t="str">
        <f>IFERROR((IF(VLOOKUP(A656,'ECN-ECO_DATA'!B:G,6,FALSE)=0/1/1900,"",VLOOKUP(A656,'ECN-ECO_DATA'!B:G,6,FALSE))),"")</f>
        <v/>
      </c>
      <c r="F656" s="9" t="str">
        <f>IFERROR((IF(VLOOKUP(A656,'ECN-ECO_DATA'!B:J,7,FALSE)=0/1/1900,"",VLOOKUP(A656,'ECN-ECO_DATA'!B:J,7,FALSE))),"")</f>
        <v/>
      </c>
      <c r="G656" s="9" t="str">
        <f>IFERROR((IF(VLOOKUP(A656,'ECN-ECO_DATA'!B:J,8,FALSE)=0/1/1900,"",VLOOKUP(A656,'ECN-ECO_DATA'!B:J,8,FALSE))),"")</f>
        <v/>
      </c>
      <c r="H656" s="9" t="str">
        <f>IFERROR((IF(VLOOKUP(A656,'ECN-ECO_DATA'!B:J,9,FALSE)=0/1/1900,"",VLOOKUP(A656,'ECN-ECO_DATA'!B:J,9,FALSE))),"")</f>
        <v/>
      </c>
      <c r="I656" s="10" t="str">
        <f>IFERROR((IF(VLOOKUP(A656,'ECN-ECO_DATA'!B:Q,13,FALSE)="","",VLOOKUP(A656,'ECN-ECO_DATA'!B:Q,13,FALSE))),"")</f>
        <v/>
      </c>
      <c r="J656" s="10" t="str">
        <f>IFERROR((IF(VLOOKUP(A656,'ECN-ECO_DATA'!B:Q,14,FALSE)="","",VLOOKUP(A656,'ECN-ECO_DATA'!B:Q,14,FALSE))),"")</f>
        <v/>
      </c>
      <c r="K656" s="10" t="str">
        <f>IFERROR((IF(VLOOKUP(A656,'ECN-ECO_DATA'!B:Q,15,FALSE)="","",VLOOKUP(A656,'ECN-ECO_DATA'!B:Q,15,FALSE))),"")</f>
        <v/>
      </c>
      <c r="L656" s="10" t="str">
        <f>IFERROR((IF(VLOOKUP(A656,'ECN-ECO_DATA'!B:Q,16,FALSE)="","",VLOOKUP(A656,'ECN-ECO_DATA'!B:Q,16,FALSE))),"")</f>
        <v/>
      </c>
      <c r="M656" s="9" t="str">
        <f>IFERROR((IF(VLOOKUP(A656,'ECN-ECO_DATA'!B:V,18,FALSE)=0/1/1900,"",VLOOKUP(A656,'ECN-ECO_DATA'!B:V,18,FALSE))),"")</f>
        <v/>
      </c>
      <c r="N656" s="9" t="str">
        <f>IFERROR((IF(VLOOKUP(A656,'ECN-ECO_DATA'!B:V,19,FALSE)=0/1/1900,"",VLOOKUP(A656,'ECN-ECO_DATA'!B:V,19,FALSE))),"")</f>
        <v/>
      </c>
      <c r="O656" s="9" t="str">
        <f>IFERROR((IF(VLOOKUP(A656,'ECN-ECO_DATA'!B:V,20,FALSE)=0/1/1900,"",VLOOKUP(A656,'ECN-ECO_DATA'!B:V,20,FALSE))),"")</f>
        <v/>
      </c>
      <c r="P656" s="9" t="str">
        <f>IFERROR((IF(VLOOKUP(A656,'ECN-ECO_DATA'!B:V,21,FALSE)=0/1/1900,"",VLOOKUP(A656,'ECN-ECO_DATA'!B:V,21,FALSE))),"")</f>
        <v/>
      </c>
      <c r="Q656" s="10" t="str">
        <f t="shared" ca="1" si="50"/>
        <v/>
      </c>
      <c r="R656" s="4" t="str">
        <f t="shared" si="51"/>
        <v/>
      </c>
      <c r="S656" s="4" t="str">
        <f t="shared" si="52"/>
        <v/>
      </c>
      <c r="T656" s="4" t="str">
        <f t="shared" si="53"/>
        <v/>
      </c>
      <c r="U656" s="10" t="str">
        <f t="shared" si="54"/>
        <v/>
      </c>
      <c r="V656" s="4"/>
    </row>
    <row r="657" spans="2:22" x14ac:dyDescent="0.25">
      <c r="B657" s="4" t="str">
        <f>IFERROR(VLOOKUP(A657,'ECN-ECO_DATA'!B:G,4,FALSE),"")</f>
        <v/>
      </c>
      <c r="C657" s="9" t="str">
        <f>IFERROR(VLOOKUP(A657,'ECN-ECO_DATA'!B:G,5,FALSE),"")</f>
        <v/>
      </c>
      <c r="D657" s="9" t="str">
        <f ca="1">IFERROR((IF(VLOOKUP(A657,'ECN-ECO_DATA'!B:G,6,FALSE)=0/1/1900,TODAY(),VLOOKUP(A657,'ECN-ECO_DATA'!B:G,6,FALSE))),"")</f>
        <v/>
      </c>
      <c r="E657" s="9" t="str">
        <f>IFERROR((IF(VLOOKUP(A657,'ECN-ECO_DATA'!B:G,6,FALSE)=0/1/1900,"",VLOOKUP(A657,'ECN-ECO_DATA'!B:G,6,FALSE))),"")</f>
        <v/>
      </c>
      <c r="F657" s="9" t="str">
        <f>IFERROR((IF(VLOOKUP(A657,'ECN-ECO_DATA'!B:J,7,FALSE)=0/1/1900,"",VLOOKUP(A657,'ECN-ECO_DATA'!B:J,7,FALSE))),"")</f>
        <v/>
      </c>
      <c r="G657" s="9" t="str">
        <f>IFERROR((IF(VLOOKUP(A657,'ECN-ECO_DATA'!B:J,8,FALSE)=0/1/1900,"",VLOOKUP(A657,'ECN-ECO_DATA'!B:J,8,FALSE))),"")</f>
        <v/>
      </c>
      <c r="H657" s="9" t="str">
        <f>IFERROR((IF(VLOOKUP(A657,'ECN-ECO_DATA'!B:J,9,FALSE)=0/1/1900,"",VLOOKUP(A657,'ECN-ECO_DATA'!B:J,9,FALSE))),"")</f>
        <v/>
      </c>
      <c r="I657" s="10" t="str">
        <f>IFERROR((IF(VLOOKUP(A657,'ECN-ECO_DATA'!B:Q,13,FALSE)="","",VLOOKUP(A657,'ECN-ECO_DATA'!B:Q,13,FALSE))),"")</f>
        <v/>
      </c>
      <c r="J657" s="10" t="str">
        <f>IFERROR((IF(VLOOKUP(A657,'ECN-ECO_DATA'!B:Q,14,FALSE)="","",VLOOKUP(A657,'ECN-ECO_DATA'!B:Q,14,FALSE))),"")</f>
        <v/>
      </c>
      <c r="K657" s="10" t="str">
        <f>IFERROR((IF(VLOOKUP(A657,'ECN-ECO_DATA'!B:Q,15,FALSE)="","",VLOOKUP(A657,'ECN-ECO_DATA'!B:Q,15,FALSE))),"")</f>
        <v/>
      </c>
      <c r="L657" s="10" t="str">
        <f>IFERROR((IF(VLOOKUP(A657,'ECN-ECO_DATA'!B:Q,16,FALSE)="","",VLOOKUP(A657,'ECN-ECO_DATA'!B:Q,16,FALSE))),"")</f>
        <v/>
      </c>
      <c r="M657" s="9" t="str">
        <f>IFERROR((IF(VLOOKUP(A657,'ECN-ECO_DATA'!B:V,18,FALSE)=0/1/1900,"",VLOOKUP(A657,'ECN-ECO_DATA'!B:V,18,FALSE))),"")</f>
        <v/>
      </c>
      <c r="N657" s="9" t="str">
        <f>IFERROR((IF(VLOOKUP(A657,'ECN-ECO_DATA'!B:V,19,FALSE)=0/1/1900,"",VLOOKUP(A657,'ECN-ECO_DATA'!B:V,19,FALSE))),"")</f>
        <v/>
      </c>
      <c r="O657" s="9" t="str">
        <f>IFERROR((IF(VLOOKUP(A657,'ECN-ECO_DATA'!B:V,20,FALSE)=0/1/1900,"",VLOOKUP(A657,'ECN-ECO_DATA'!B:V,20,FALSE))),"")</f>
        <v/>
      </c>
      <c r="P657" s="9" t="str">
        <f>IFERROR((IF(VLOOKUP(A657,'ECN-ECO_DATA'!B:V,21,FALSE)=0/1/1900,"",VLOOKUP(A657,'ECN-ECO_DATA'!B:V,21,FALSE))),"")</f>
        <v/>
      </c>
      <c r="Q657" s="10" t="str">
        <f t="shared" ca="1" si="50"/>
        <v/>
      </c>
      <c r="R657" s="4" t="str">
        <f t="shared" si="51"/>
        <v/>
      </c>
      <c r="S657" s="4" t="str">
        <f t="shared" si="52"/>
        <v/>
      </c>
      <c r="T657" s="4" t="str">
        <f t="shared" si="53"/>
        <v/>
      </c>
      <c r="U657" s="10" t="str">
        <f t="shared" si="54"/>
        <v/>
      </c>
      <c r="V657" s="4"/>
    </row>
    <row r="658" spans="2:22" x14ac:dyDescent="0.25">
      <c r="B658" s="4" t="str">
        <f>IFERROR(VLOOKUP(A658,'ECN-ECO_DATA'!B:G,4,FALSE),"")</f>
        <v/>
      </c>
      <c r="C658" s="9" t="str">
        <f>IFERROR(VLOOKUP(A658,'ECN-ECO_DATA'!B:G,5,FALSE),"")</f>
        <v/>
      </c>
      <c r="D658" s="9" t="str">
        <f ca="1">IFERROR((IF(VLOOKUP(A658,'ECN-ECO_DATA'!B:G,6,FALSE)=0/1/1900,TODAY(),VLOOKUP(A658,'ECN-ECO_DATA'!B:G,6,FALSE))),"")</f>
        <v/>
      </c>
      <c r="E658" s="9" t="str">
        <f>IFERROR((IF(VLOOKUP(A658,'ECN-ECO_DATA'!B:G,6,FALSE)=0/1/1900,"",VLOOKUP(A658,'ECN-ECO_DATA'!B:G,6,FALSE))),"")</f>
        <v/>
      </c>
      <c r="F658" s="9" t="str">
        <f>IFERROR((IF(VLOOKUP(A658,'ECN-ECO_DATA'!B:J,7,FALSE)=0/1/1900,"",VLOOKUP(A658,'ECN-ECO_DATA'!B:J,7,FALSE))),"")</f>
        <v/>
      </c>
      <c r="G658" s="9" t="str">
        <f>IFERROR((IF(VLOOKUP(A658,'ECN-ECO_DATA'!B:J,8,FALSE)=0/1/1900,"",VLOOKUP(A658,'ECN-ECO_DATA'!B:J,8,FALSE))),"")</f>
        <v/>
      </c>
      <c r="H658" s="9" t="str">
        <f>IFERROR((IF(VLOOKUP(A658,'ECN-ECO_DATA'!B:J,9,FALSE)=0/1/1900,"",VLOOKUP(A658,'ECN-ECO_DATA'!B:J,9,FALSE))),"")</f>
        <v/>
      </c>
      <c r="I658" s="10" t="str">
        <f>IFERROR((IF(VLOOKUP(A658,'ECN-ECO_DATA'!B:Q,13,FALSE)="","",VLOOKUP(A658,'ECN-ECO_DATA'!B:Q,13,FALSE))),"")</f>
        <v/>
      </c>
      <c r="J658" s="10" t="str">
        <f>IFERROR((IF(VLOOKUP(A658,'ECN-ECO_DATA'!B:Q,14,FALSE)="","",VLOOKUP(A658,'ECN-ECO_DATA'!B:Q,14,FALSE))),"")</f>
        <v/>
      </c>
      <c r="K658" s="10" t="str">
        <f>IFERROR((IF(VLOOKUP(A658,'ECN-ECO_DATA'!B:Q,15,FALSE)="","",VLOOKUP(A658,'ECN-ECO_DATA'!B:Q,15,FALSE))),"")</f>
        <v/>
      </c>
      <c r="L658" s="10" t="str">
        <f>IFERROR((IF(VLOOKUP(A658,'ECN-ECO_DATA'!B:Q,16,FALSE)="","",VLOOKUP(A658,'ECN-ECO_DATA'!B:Q,16,FALSE))),"")</f>
        <v/>
      </c>
      <c r="M658" s="9" t="str">
        <f>IFERROR((IF(VLOOKUP(A658,'ECN-ECO_DATA'!B:V,18,FALSE)=0/1/1900,"",VLOOKUP(A658,'ECN-ECO_DATA'!B:V,18,FALSE))),"")</f>
        <v/>
      </c>
      <c r="N658" s="9" t="str">
        <f>IFERROR((IF(VLOOKUP(A658,'ECN-ECO_DATA'!B:V,19,FALSE)=0/1/1900,"",VLOOKUP(A658,'ECN-ECO_DATA'!B:V,19,FALSE))),"")</f>
        <v/>
      </c>
      <c r="O658" s="9" t="str">
        <f>IFERROR((IF(VLOOKUP(A658,'ECN-ECO_DATA'!B:V,20,FALSE)=0/1/1900,"",VLOOKUP(A658,'ECN-ECO_DATA'!B:V,20,FALSE))),"")</f>
        <v/>
      </c>
      <c r="P658" s="9" t="str">
        <f>IFERROR((IF(VLOOKUP(A658,'ECN-ECO_DATA'!B:V,21,FALSE)=0/1/1900,"",VLOOKUP(A658,'ECN-ECO_DATA'!B:V,21,FALSE))),"")</f>
        <v/>
      </c>
      <c r="Q658" s="10" t="str">
        <f t="shared" ca="1" si="50"/>
        <v/>
      </c>
      <c r="R658" s="4" t="str">
        <f t="shared" si="51"/>
        <v/>
      </c>
      <c r="S658" s="4" t="str">
        <f t="shared" si="52"/>
        <v/>
      </c>
      <c r="T658" s="4" t="str">
        <f t="shared" si="53"/>
        <v/>
      </c>
      <c r="U658" s="10" t="str">
        <f t="shared" si="54"/>
        <v/>
      </c>
      <c r="V658" s="4"/>
    </row>
    <row r="659" spans="2:22" x14ac:dyDescent="0.25">
      <c r="B659" s="4" t="str">
        <f>IFERROR(VLOOKUP(A659,'ECN-ECO_DATA'!B:G,4,FALSE),"")</f>
        <v/>
      </c>
      <c r="C659" s="9" t="str">
        <f>IFERROR(VLOOKUP(A659,'ECN-ECO_DATA'!B:G,5,FALSE),"")</f>
        <v/>
      </c>
      <c r="D659" s="9" t="str">
        <f ca="1">IFERROR((IF(VLOOKUP(A659,'ECN-ECO_DATA'!B:G,6,FALSE)=0/1/1900,TODAY(),VLOOKUP(A659,'ECN-ECO_DATA'!B:G,6,FALSE))),"")</f>
        <v/>
      </c>
      <c r="E659" s="9" t="str">
        <f>IFERROR((IF(VLOOKUP(A659,'ECN-ECO_DATA'!B:G,6,FALSE)=0/1/1900,"",VLOOKUP(A659,'ECN-ECO_DATA'!B:G,6,FALSE))),"")</f>
        <v/>
      </c>
      <c r="F659" s="9" t="str">
        <f>IFERROR((IF(VLOOKUP(A659,'ECN-ECO_DATA'!B:J,7,FALSE)=0/1/1900,"",VLOOKUP(A659,'ECN-ECO_DATA'!B:J,7,FALSE))),"")</f>
        <v/>
      </c>
      <c r="G659" s="9" t="str">
        <f>IFERROR((IF(VLOOKUP(A659,'ECN-ECO_DATA'!B:J,8,FALSE)=0/1/1900,"",VLOOKUP(A659,'ECN-ECO_DATA'!B:J,8,FALSE))),"")</f>
        <v/>
      </c>
      <c r="H659" s="9" t="str">
        <f>IFERROR((IF(VLOOKUP(A659,'ECN-ECO_DATA'!B:J,9,FALSE)=0/1/1900,"",VLOOKUP(A659,'ECN-ECO_DATA'!B:J,9,FALSE))),"")</f>
        <v/>
      </c>
      <c r="I659" s="10" t="str">
        <f>IFERROR((IF(VLOOKUP(A659,'ECN-ECO_DATA'!B:Q,13,FALSE)="","",VLOOKUP(A659,'ECN-ECO_DATA'!B:Q,13,FALSE))),"")</f>
        <v/>
      </c>
      <c r="J659" s="10" t="str">
        <f>IFERROR((IF(VLOOKUP(A659,'ECN-ECO_DATA'!B:Q,14,FALSE)="","",VLOOKUP(A659,'ECN-ECO_DATA'!B:Q,14,FALSE))),"")</f>
        <v/>
      </c>
      <c r="K659" s="10" t="str">
        <f>IFERROR((IF(VLOOKUP(A659,'ECN-ECO_DATA'!B:Q,15,FALSE)="","",VLOOKUP(A659,'ECN-ECO_DATA'!B:Q,15,FALSE))),"")</f>
        <v/>
      </c>
      <c r="L659" s="10" t="str">
        <f>IFERROR((IF(VLOOKUP(A659,'ECN-ECO_DATA'!B:Q,16,FALSE)="","",VLOOKUP(A659,'ECN-ECO_DATA'!B:Q,16,FALSE))),"")</f>
        <v/>
      </c>
      <c r="M659" s="9" t="str">
        <f>IFERROR((IF(VLOOKUP(A659,'ECN-ECO_DATA'!B:V,18,FALSE)=0/1/1900,"",VLOOKUP(A659,'ECN-ECO_DATA'!B:V,18,FALSE))),"")</f>
        <v/>
      </c>
      <c r="N659" s="9" t="str">
        <f>IFERROR((IF(VLOOKUP(A659,'ECN-ECO_DATA'!B:V,19,FALSE)=0/1/1900,"",VLOOKUP(A659,'ECN-ECO_DATA'!B:V,19,FALSE))),"")</f>
        <v/>
      </c>
      <c r="O659" s="9" t="str">
        <f>IFERROR((IF(VLOOKUP(A659,'ECN-ECO_DATA'!B:V,20,FALSE)=0/1/1900,"",VLOOKUP(A659,'ECN-ECO_DATA'!B:V,20,FALSE))),"")</f>
        <v/>
      </c>
      <c r="P659" s="9" t="str">
        <f>IFERROR((IF(VLOOKUP(A659,'ECN-ECO_DATA'!B:V,21,FALSE)=0/1/1900,"",VLOOKUP(A659,'ECN-ECO_DATA'!B:V,21,FALSE))),"")</f>
        <v/>
      </c>
      <c r="Q659" s="10" t="str">
        <f t="shared" ca="1" si="50"/>
        <v/>
      </c>
      <c r="R659" s="4" t="str">
        <f t="shared" si="51"/>
        <v/>
      </c>
      <c r="S659" s="4" t="str">
        <f t="shared" si="52"/>
        <v/>
      </c>
      <c r="T659" s="4" t="str">
        <f t="shared" si="53"/>
        <v/>
      </c>
      <c r="U659" s="10" t="str">
        <f t="shared" si="54"/>
        <v/>
      </c>
      <c r="V659" s="4"/>
    </row>
    <row r="660" spans="2:22" x14ac:dyDescent="0.25">
      <c r="B660" s="4" t="str">
        <f>IFERROR(VLOOKUP(A660,'ECN-ECO_DATA'!B:G,4,FALSE),"")</f>
        <v/>
      </c>
      <c r="C660" s="9" t="str">
        <f>IFERROR(VLOOKUP(A660,'ECN-ECO_DATA'!B:G,5,FALSE),"")</f>
        <v/>
      </c>
      <c r="D660" s="9" t="str">
        <f ca="1">IFERROR((IF(VLOOKUP(A660,'ECN-ECO_DATA'!B:G,6,FALSE)=0/1/1900,TODAY(),VLOOKUP(A660,'ECN-ECO_DATA'!B:G,6,FALSE))),"")</f>
        <v/>
      </c>
      <c r="E660" s="9" t="str">
        <f>IFERROR((IF(VLOOKUP(A660,'ECN-ECO_DATA'!B:G,6,FALSE)=0/1/1900,"",VLOOKUP(A660,'ECN-ECO_DATA'!B:G,6,FALSE))),"")</f>
        <v/>
      </c>
      <c r="F660" s="9" t="str">
        <f>IFERROR((IF(VLOOKUP(A660,'ECN-ECO_DATA'!B:J,7,FALSE)=0/1/1900,"",VLOOKUP(A660,'ECN-ECO_DATA'!B:J,7,FALSE))),"")</f>
        <v/>
      </c>
      <c r="G660" s="9" t="str">
        <f>IFERROR((IF(VLOOKUP(A660,'ECN-ECO_DATA'!B:J,8,FALSE)=0/1/1900,"",VLOOKUP(A660,'ECN-ECO_DATA'!B:J,8,FALSE))),"")</f>
        <v/>
      </c>
      <c r="H660" s="9" t="str">
        <f>IFERROR((IF(VLOOKUP(A660,'ECN-ECO_DATA'!B:J,9,FALSE)=0/1/1900,"",VLOOKUP(A660,'ECN-ECO_DATA'!B:J,9,FALSE))),"")</f>
        <v/>
      </c>
      <c r="I660" s="10" t="str">
        <f>IFERROR((IF(VLOOKUP(A660,'ECN-ECO_DATA'!B:Q,13,FALSE)="","",VLOOKUP(A660,'ECN-ECO_DATA'!B:Q,13,FALSE))),"")</f>
        <v/>
      </c>
      <c r="J660" s="10" t="str">
        <f>IFERROR((IF(VLOOKUP(A660,'ECN-ECO_DATA'!B:Q,14,FALSE)="","",VLOOKUP(A660,'ECN-ECO_DATA'!B:Q,14,FALSE))),"")</f>
        <v/>
      </c>
      <c r="K660" s="10" t="str">
        <f>IFERROR((IF(VLOOKUP(A660,'ECN-ECO_DATA'!B:Q,15,FALSE)="","",VLOOKUP(A660,'ECN-ECO_DATA'!B:Q,15,FALSE))),"")</f>
        <v/>
      </c>
      <c r="L660" s="10" t="str">
        <f>IFERROR((IF(VLOOKUP(A660,'ECN-ECO_DATA'!B:Q,16,FALSE)="","",VLOOKUP(A660,'ECN-ECO_DATA'!B:Q,16,FALSE))),"")</f>
        <v/>
      </c>
      <c r="M660" s="9" t="str">
        <f>IFERROR((IF(VLOOKUP(A660,'ECN-ECO_DATA'!B:V,18,FALSE)=0/1/1900,"",VLOOKUP(A660,'ECN-ECO_DATA'!B:V,18,FALSE))),"")</f>
        <v/>
      </c>
      <c r="N660" s="9" t="str">
        <f>IFERROR((IF(VLOOKUP(A660,'ECN-ECO_DATA'!B:V,19,FALSE)=0/1/1900,"",VLOOKUP(A660,'ECN-ECO_DATA'!B:V,19,FALSE))),"")</f>
        <v/>
      </c>
      <c r="O660" s="9" t="str">
        <f>IFERROR((IF(VLOOKUP(A660,'ECN-ECO_DATA'!B:V,20,FALSE)=0/1/1900,"",VLOOKUP(A660,'ECN-ECO_DATA'!B:V,20,FALSE))),"")</f>
        <v/>
      </c>
      <c r="P660" s="9" t="str">
        <f>IFERROR((IF(VLOOKUP(A660,'ECN-ECO_DATA'!B:V,21,FALSE)=0/1/1900,"",VLOOKUP(A660,'ECN-ECO_DATA'!B:V,21,FALSE))),"")</f>
        <v/>
      </c>
      <c r="Q660" s="10" t="str">
        <f t="shared" ca="1" si="50"/>
        <v/>
      </c>
      <c r="R660" s="4" t="str">
        <f t="shared" si="51"/>
        <v/>
      </c>
      <c r="S660" s="4" t="str">
        <f t="shared" si="52"/>
        <v/>
      </c>
      <c r="T660" s="4" t="str">
        <f t="shared" si="53"/>
        <v/>
      </c>
      <c r="U660" s="10" t="str">
        <f t="shared" si="54"/>
        <v/>
      </c>
      <c r="V660" s="4"/>
    </row>
    <row r="661" spans="2:22" x14ac:dyDescent="0.25">
      <c r="B661" s="4" t="str">
        <f>IFERROR(VLOOKUP(A661,'ECN-ECO_DATA'!B:G,4,FALSE),"")</f>
        <v/>
      </c>
      <c r="C661" s="9" t="str">
        <f>IFERROR(VLOOKUP(A661,'ECN-ECO_DATA'!B:G,5,FALSE),"")</f>
        <v/>
      </c>
      <c r="D661" s="9" t="str">
        <f ca="1">IFERROR((IF(VLOOKUP(A661,'ECN-ECO_DATA'!B:G,6,FALSE)=0/1/1900,TODAY(),VLOOKUP(A661,'ECN-ECO_DATA'!B:G,6,FALSE))),"")</f>
        <v/>
      </c>
      <c r="E661" s="9" t="str">
        <f>IFERROR((IF(VLOOKUP(A661,'ECN-ECO_DATA'!B:G,6,FALSE)=0/1/1900,"",VLOOKUP(A661,'ECN-ECO_DATA'!B:G,6,FALSE))),"")</f>
        <v/>
      </c>
      <c r="F661" s="9" t="str">
        <f>IFERROR((IF(VLOOKUP(A661,'ECN-ECO_DATA'!B:J,7,FALSE)=0/1/1900,"",VLOOKUP(A661,'ECN-ECO_DATA'!B:J,7,FALSE))),"")</f>
        <v/>
      </c>
      <c r="G661" s="9" t="str">
        <f>IFERROR((IF(VLOOKUP(A661,'ECN-ECO_DATA'!B:J,8,FALSE)=0/1/1900,"",VLOOKUP(A661,'ECN-ECO_DATA'!B:J,8,FALSE))),"")</f>
        <v/>
      </c>
      <c r="H661" s="9" t="str">
        <f>IFERROR((IF(VLOOKUP(A661,'ECN-ECO_DATA'!B:J,9,FALSE)=0/1/1900,"",VLOOKUP(A661,'ECN-ECO_DATA'!B:J,9,FALSE))),"")</f>
        <v/>
      </c>
      <c r="I661" s="10" t="str">
        <f>IFERROR((IF(VLOOKUP(A661,'ECN-ECO_DATA'!B:Q,13,FALSE)="","",VLOOKUP(A661,'ECN-ECO_DATA'!B:Q,13,FALSE))),"")</f>
        <v/>
      </c>
      <c r="J661" s="10" t="str">
        <f>IFERROR((IF(VLOOKUP(A661,'ECN-ECO_DATA'!B:Q,14,FALSE)="","",VLOOKUP(A661,'ECN-ECO_DATA'!B:Q,14,FALSE))),"")</f>
        <v/>
      </c>
      <c r="K661" s="10" t="str">
        <f>IFERROR((IF(VLOOKUP(A661,'ECN-ECO_DATA'!B:Q,15,FALSE)="","",VLOOKUP(A661,'ECN-ECO_DATA'!B:Q,15,FALSE))),"")</f>
        <v/>
      </c>
      <c r="L661" s="10" t="str">
        <f>IFERROR((IF(VLOOKUP(A661,'ECN-ECO_DATA'!B:Q,16,FALSE)="","",VLOOKUP(A661,'ECN-ECO_DATA'!B:Q,16,FALSE))),"")</f>
        <v/>
      </c>
      <c r="M661" s="9" t="str">
        <f>IFERROR((IF(VLOOKUP(A661,'ECN-ECO_DATA'!B:V,18,FALSE)=0/1/1900,"",VLOOKUP(A661,'ECN-ECO_DATA'!B:V,18,FALSE))),"")</f>
        <v/>
      </c>
      <c r="N661" s="9" t="str">
        <f>IFERROR((IF(VLOOKUP(A661,'ECN-ECO_DATA'!B:V,19,FALSE)=0/1/1900,"",VLOOKUP(A661,'ECN-ECO_DATA'!B:V,19,FALSE))),"")</f>
        <v/>
      </c>
      <c r="O661" s="9" t="str">
        <f>IFERROR((IF(VLOOKUP(A661,'ECN-ECO_DATA'!B:V,20,FALSE)=0/1/1900,"",VLOOKUP(A661,'ECN-ECO_DATA'!B:V,20,FALSE))),"")</f>
        <v/>
      </c>
      <c r="P661" s="9" t="str">
        <f>IFERROR((IF(VLOOKUP(A661,'ECN-ECO_DATA'!B:V,21,FALSE)=0/1/1900,"",VLOOKUP(A661,'ECN-ECO_DATA'!B:V,21,FALSE))),"")</f>
        <v/>
      </c>
      <c r="Q661" s="10" t="str">
        <f t="shared" ca="1" si="50"/>
        <v/>
      </c>
      <c r="R661" s="4" t="str">
        <f t="shared" si="51"/>
        <v/>
      </c>
      <c r="S661" s="4" t="str">
        <f t="shared" si="52"/>
        <v/>
      </c>
      <c r="T661" s="4" t="str">
        <f t="shared" si="53"/>
        <v/>
      </c>
      <c r="U661" s="10" t="str">
        <f t="shared" si="54"/>
        <v/>
      </c>
      <c r="V661" s="4"/>
    </row>
    <row r="662" spans="2:22" x14ac:dyDescent="0.25">
      <c r="B662" s="4" t="str">
        <f>IFERROR(VLOOKUP(A662,'ECN-ECO_DATA'!B:G,4,FALSE),"")</f>
        <v/>
      </c>
      <c r="C662" s="9" t="str">
        <f>IFERROR(VLOOKUP(A662,'ECN-ECO_DATA'!B:G,5,FALSE),"")</f>
        <v/>
      </c>
      <c r="D662" s="9" t="str">
        <f ca="1">IFERROR((IF(VLOOKUP(A662,'ECN-ECO_DATA'!B:G,6,FALSE)=0/1/1900,TODAY(),VLOOKUP(A662,'ECN-ECO_DATA'!B:G,6,FALSE))),"")</f>
        <v/>
      </c>
      <c r="E662" s="9" t="str">
        <f>IFERROR((IF(VLOOKUP(A662,'ECN-ECO_DATA'!B:G,6,FALSE)=0/1/1900,"",VLOOKUP(A662,'ECN-ECO_DATA'!B:G,6,FALSE))),"")</f>
        <v/>
      </c>
      <c r="F662" s="9" t="str">
        <f>IFERROR((IF(VLOOKUP(A662,'ECN-ECO_DATA'!B:J,7,FALSE)=0/1/1900,"",VLOOKUP(A662,'ECN-ECO_DATA'!B:J,7,FALSE))),"")</f>
        <v/>
      </c>
      <c r="G662" s="9" t="str">
        <f>IFERROR((IF(VLOOKUP(A662,'ECN-ECO_DATA'!B:J,8,FALSE)=0/1/1900,"",VLOOKUP(A662,'ECN-ECO_DATA'!B:J,8,FALSE))),"")</f>
        <v/>
      </c>
      <c r="H662" s="9" t="str">
        <f>IFERROR((IF(VLOOKUP(A662,'ECN-ECO_DATA'!B:J,9,FALSE)=0/1/1900,"",VLOOKUP(A662,'ECN-ECO_DATA'!B:J,9,FALSE))),"")</f>
        <v/>
      </c>
      <c r="I662" s="10" t="str">
        <f>IFERROR((IF(VLOOKUP(A662,'ECN-ECO_DATA'!B:Q,13,FALSE)="","",VLOOKUP(A662,'ECN-ECO_DATA'!B:Q,13,FALSE))),"")</f>
        <v/>
      </c>
      <c r="J662" s="10" t="str">
        <f>IFERROR((IF(VLOOKUP(A662,'ECN-ECO_DATA'!B:Q,14,FALSE)="","",VLOOKUP(A662,'ECN-ECO_DATA'!B:Q,14,FALSE))),"")</f>
        <v/>
      </c>
      <c r="K662" s="10" t="str">
        <f>IFERROR((IF(VLOOKUP(A662,'ECN-ECO_DATA'!B:Q,15,FALSE)="","",VLOOKUP(A662,'ECN-ECO_DATA'!B:Q,15,FALSE))),"")</f>
        <v/>
      </c>
      <c r="L662" s="10" t="str">
        <f>IFERROR((IF(VLOOKUP(A662,'ECN-ECO_DATA'!B:Q,16,FALSE)="","",VLOOKUP(A662,'ECN-ECO_DATA'!B:Q,16,FALSE))),"")</f>
        <v/>
      </c>
      <c r="M662" s="9" t="str">
        <f>IFERROR((IF(VLOOKUP(A662,'ECN-ECO_DATA'!B:V,18,FALSE)=0/1/1900,"",VLOOKUP(A662,'ECN-ECO_DATA'!B:V,18,FALSE))),"")</f>
        <v/>
      </c>
      <c r="N662" s="9" t="str">
        <f>IFERROR((IF(VLOOKUP(A662,'ECN-ECO_DATA'!B:V,19,FALSE)=0/1/1900,"",VLOOKUP(A662,'ECN-ECO_DATA'!B:V,19,FALSE))),"")</f>
        <v/>
      </c>
      <c r="O662" s="9" t="str">
        <f>IFERROR((IF(VLOOKUP(A662,'ECN-ECO_DATA'!B:V,20,FALSE)=0/1/1900,"",VLOOKUP(A662,'ECN-ECO_DATA'!B:V,20,FALSE))),"")</f>
        <v/>
      </c>
      <c r="P662" s="9" t="str">
        <f>IFERROR((IF(VLOOKUP(A662,'ECN-ECO_DATA'!B:V,21,FALSE)=0/1/1900,"",VLOOKUP(A662,'ECN-ECO_DATA'!B:V,21,FALSE))),"")</f>
        <v/>
      </c>
      <c r="Q662" s="10" t="str">
        <f t="shared" ca="1" si="50"/>
        <v/>
      </c>
      <c r="R662" s="4" t="str">
        <f t="shared" si="51"/>
        <v/>
      </c>
      <c r="S662" s="4" t="str">
        <f t="shared" si="52"/>
        <v/>
      </c>
      <c r="T662" s="4" t="str">
        <f t="shared" si="53"/>
        <v/>
      </c>
      <c r="U662" s="10" t="str">
        <f t="shared" si="54"/>
        <v/>
      </c>
      <c r="V662" s="4"/>
    </row>
    <row r="663" spans="2:22" x14ac:dyDescent="0.25">
      <c r="B663" s="4" t="str">
        <f>IFERROR(VLOOKUP(A663,'ECN-ECO_DATA'!B:G,4,FALSE),"")</f>
        <v/>
      </c>
      <c r="C663" s="9" t="str">
        <f>IFERROR(VLOOKUP(A663,'ECN-ECO_DATA'!B:G,5,FALSE),"")</f>
        <v/>
      </c>
      <c r="D663" s="9" t="str">
        <f ca="1">IFERROR((IF(VLOOKUP(A663,'ECN-ECO_DATA'!B:G,6,FALSE)=0/1/1900,TODAY(),VLOOKUP(A663,'ECN-ECO_DATA'!B:G,6,FALSE))),"")</f>
        <v/>
      </c>
      <c r="E663" s="9" t="str">
        <f>IFERROR((IF(VLOOKUP(A663,'ECN-ECO_DATA'!B:G,6,FALSE)=0/1/1900,"",VLOOKUP(A663,'ECN-ECO_DATA'!B:G,6,FALSE))),"")</f>
        <v/>
      </c>
      <c r="F663" s="9" t="str">
        <f>IFERROR((IF(VLOOKUP(A663,'ECN-ECO_DATA'!B:J,7,FALSE)=0/1/1900,"",VLOOKUP(A663,'ECN-ECO_DATA'!B:J,7,FALSE))),"")</f>
        <v/>
      </c>
      <c r="G663" s="9" t="str">
        <f>IFERROR((IF(VLOOKUP(A663,'ECN-ECO_DATA'!B:J,8,FALSE)=0/1/1900,"",VLOOKUP(A663,'ECN-ECO_DATA'!B:J,8,FALSE))),"")</f>
        <v/>
      </c>
      <c r="H663" s="9" t="str">
        <f>IFERROR((IF(VLOOKUP(A663,'ECN-ECO_DATA'!B:J,9,FALSE)=0/1/1900,"",VLOOKUP(A663,'ECN-ECO_DATA'!B:J,9,FALSE))),"")</f>
        <v/>
      </c>
      <c r="I663" s="10" t="str">
        <f>IFERROR((IF(VLOOKUP(A663,'ECN-ECO_DATA'!B:Q,13,FALSE)="","",VLOOKUP(A663,'ECN-ECO_DATA'!B:Q,13,FALSE))),"")</f>
        <v/>
      </c>
      <c r="J663" s="10" t="str">
        <f>IFERROR((IF(VLOOKUP(A663,'ECN-ECO_DATA'!B:Q,14,FALSE)="","",VLOOKUP(A663,'ECN-ECO_DATA'!B:Q,14,FALSE))),"")</f>
        <v/>
      </c>
      <c r="K663" s="10" t="str">
        <f>IFERROR((IF(VLOOKUP(A663,'ECN-ECO_DATA'!B:Q,15,FALSE)="","",VLOOKUP(A663,'ECN-ECO_DATA'!B:Q,15,FALSE))),"")</f>
        <v/>
      </c>
      <c r="L663" s="10" t="str">
        <f>IFERROR((IF(VLOOKUP(A663,'ECN-ECO_DATA'!B:Q,16,FALSE)="","",VLOOKUP(A663,'ECN-ECO_DATA'!B:Q,16,FALSE))),"")</f>
        <v/>
      </c>
      <c r="M663" s="9" t="str">
        <f>IFERROR((IF(VLOOKUP(A663,'ECN-ECO_DATA'!B:V,18,FALSE)=0/1/1900,"",VLOOKUP(A663,'ECN-ECO_DATA'!B:V,18,FALSE))),"")</f>
        <v/>
      </c>
      <c r="N663" s="9" t="str">
        <f>IFERROR((IF(VLOOKUP(A663,'ECN-ECO_DATA'!B:V,19,FALSE)=0/1/1900,"",VLOOKUP(A663,'ECN-ECO_DATA'!B:V,19,FALSE))),"")</f>
        <v/>
      </c>
      <c r="O663" s="9" t="str">
        <f>IFERROR((IF(VLOOKUP(A663,'ECN-ECO_DATA'!B:V,20,FALSE)=0/1/1900,"",VLOOKUP(A663,'ECN-ECO_DATA'!B:V,20,FALSE))),"")</f>
        <v/>
      </c>
      <c r="P663" s="9" t="str">
        <f>IFERROR((IF(VLOOKUP(A663,'ECN-ECO_DATA'!B:V,21,FALSE)=0/1/1900,"",VLOOKUP(A663,'ECN-ECO_DATA'!B:V,21,FALSE))),"")</f>
        <v/>
      </c>
      <c r="Q663" s="10" t="str">
        <f t="shared" ca="1" si="50"/>
        <v/>
      </c>
      <c r="R663" s="4" t="str">
        <f t="shared" si="51"/>
        <v/>
      </c>
      <c r="S663" s="4" t="str">
        <f t="shared" si="52"/>
        <v/>
      </c>
      <c r="T663" s="4" t="str">
        <f t="shared" si="53"/>
        <v/>
      </c>
      <c r="U663" s="10" t="str">
        <f t="shared" si="54"/>
        <v/>
      </c>
      <c r="V663" s="4"/>
    </row>
    <row r="664" spans="2:22" x14ac:dyDescent="0.25">
      <c r="B664" s="4" t="str">
        <f>IFERROR(VLOOKUP(A664,'ECN-ECO_DATA'!B:G,4,FALSE),"")</f>
        <v/>
      </c>
      <c r="C664" s="9" t="str">
        <f>IFERROR(VLOOKUP(A664,'ECN-ECO_DATA'!B:G,5,FALSE),"")</f>
        <v/>
      </c>
      <c r="D664" s="9" t="str">
        <f ca="1">IFERROR((IF(VLOOKUP(A664,'ECN-ECO_DATA'!B:G,6,FALSE)=0/1/1900,TODAY(),VLOOKUP(A664,'ECN-ECO_DATA'!B:G,6,FALSE))),"")</f>
        <v/>
      </c>
      <c r="E664" s="9" t="str">
        <f>IFERROR((IF(VLOOKUP(A664,'ECN-ECO_DATA'!B:G,6,FALSE)=0/1/1900,"",VLOOKUP(A664,'ECN-ECO_DATA'!B:G,6,FALSE))),"")</f>
        <v/>
      </c>
      <c r="F664" s="9" t="str">
        <f>IFERROR((IF(VLOOKUP(A664,'ECN-ECO_DATA'!B:J,7,FALSE)=0/1/1900,"",VLOOKUP(A664,'ECN-ECO_DATA'!B:J,7,FALSE))),"")</f>
        <v/>
      </c>
      <c r="G664" s="9" t="str">
        <f>IFERROR((IF(VLOOKUP(A664,'ECN-ECO_DATA'!B:J,8,FALSE)=0/1/1900,"",VLOOKUP(A664,'ECN-ECO_DATA'!B:J,8,FALSE))),"")</f>
        <v/>
      </c>
      <c r="H664" s="9" t="str">
        <f>IFERROR((IF(VLOOKUP(A664,'ECN-ECO_DATA'!B:J,9,FALSE)=0/1/1900,"",VLOOKUP(A664,'ECN-ECO_DATA'!B:J,9,FALSE))),"")</f>
        <v/>
      </c>
      <c r="I664" s="10" t="str">
        <f>IFERROR((IF(VLOOKUP(A664,'ECN-ECO_DATA'!B:Q,13,FALSE)="","",VLOOKUP(A664,'ECN-ECO_DATA'!B:Q,13,FALSE))),"")</f>
        <v/>
      </c>
      <c r="J664" s="10" t="str">
        <f>IFERROR((IF(VLOOKUP(A664,'ECN-ECO_DATA'!B:Q,14,FALSE)="","",VLOOKUP(A664,'ECN-ECO_DATA'!B:Q,14,FALSE))),"")</f>
        <v/>
      </c>
      <c r="K664" s="10" t="str">
        <f>IFERROR((IF(VLOOKUP(A664,'ECN-ECO_DATA'!B:Q,15,FALSE)="","",VLOOKUP(A664,'ECN-ECO_DATA'!B:Q,15,FALSE))),"")</f>
        <v/>
      </c>
      <c r="L664" s="10" t="str">
        <f>IFERROR((IF(VLOOKUP(A664,'ECN-ECO_DATA'!B:Q,16,FALSE)="","",VLOOKUP(A664,'ECN-ECO_DATA'!B:Q,16,FALSE))),"")</f>
        <v/>
      </c>
      <c r="M664" s="9" t="str">
        <f>IFERROR((IF(VLOOKUP(A664,'ECN-ECO_DATA'!B:V,18,FALSE)=0/1/1900,"",VLOOKUP(A664,'ECN-ECO_DATA'!B:V,18,FALSE))),"")</f>
        <v/>
      </c>
      <c r="N664" s="9" t="str">
        <f>IFERROR((IF(VLOOKUP(A664,'ECN-ECO_DATA'!B:V,19,FALSE)=0/1/1900,"",VLOOKUP(A664,'ECN-ECO_DATA'!B:V,19,FALSE))),"")</f>
        <v/>
      </c>
      <c r="O664" s="9" t="str">
        <f>IFERROR((IF(VLOOKUP(A664,'ECN-ECO_DATA'!B:V,20,FALSE)=0/1/1900,"",VLOOKUP(A664,'ECN-ECO_DATA'!B:V,20,FALSE))),"")</f>
        <v/>
      </c>
      <c r="P664" s="9" t="str">
        <f>IFERROR((IF(VLOOKUP(A664,'ECN-ECO_DATA'!B:V,21,FALSE)=0/1/1900,"",VLOOKUP(A664,'ECN-ECO_DATA'!B:V,21,FALSE))),"")</f>
        <v/>
      </c>
      <c r="Q664" s="10" t="str">
        <f t="shared" ca="1" si="50"/>
        <v/>
      </c>
      <c r="R664" s="4" t="str">
        <f t="shared" si="51"/>
        <v/>
      </c>
      <c r="S664" s="4" t="str">
        <f t="shared" si="52"/>
        <v/>
      </c>
      <c r="T664" s="4" t="str">
        <f t="shared" si="53"/>
        <v/>
      </c>
      <c r="U664" s="10" t="str">
        <f t="shared" si="54"/>
        <v/>
      </c>
      <c r="V664" s="4"/>
    </row>
    <row r="665" spans="2:22" x14ac:dyDescent="0.25">
      <c r="B665" s="4" t="str">
        <f>IFERROR(VLOOKUP(A665,'ECN-ECO_DATA'!B:G,4,FALSE),"")</f>
        <v/>
      </c>
      <c r="C665" s="9" t="str">
        <f>IFERROR(VLOOKUP(A665,'ECN-ECO_DATA'!B:G,5,FALSE),"")</f>
        <v/>
      </c>
      <c r="D665" s="9" t="str">
        <f ca="1">IFERROR((IF(VLOOKUP(A665,'ECN-ECO_DATA'!B:G,6,FALSE)=0/1/1900,TODAY(),VLOOKUP(A665,'ECN-ECO_DATA'!B:G,6,FALSE))),"")</f>
        <v/>
      </c>
      <c r="E665" s="9" t="str">
        <f>IFERROR((IF(VLOOKUP(A665,'ECN-ECO_DATA'!B:G,6,FALSE)=0/1/1900,"",VLOOKUP(A665,'ECN-ECO_DATA'!B:G,6,FALSE))),"")</f>
        <v/>
      </c>
      <c r="F665" s="9" t="str">
        <f>IFERROR((IF(VLOOKUP(A665,'ECN-ECO_DATA'!B:J,7,FALSE)=0/1/1900,"",VLOOKUP(A665,'ECN-ECO_DATA'!B:J,7,FALSE))),"")</f>
        <v/>
      </c>
      <c r="G665" s="9" t="str">
        <f>IFERROR((IF(VLOOKUP(A665,'ECN-ECO_DATA'!B:J,8,FALSE)=0/1/1900,"",VLOOKUP(A665,'ECN-ECO_DATA'!B:J,8,FALSE))),"")</f>
        <v/>
      </c>
      <c r="H665" s="9" t="str">
        <f>IFERROR((IF(VLOOKUP(A665,'ECN-ECO_DATA'!B:J,9,FALSE)=0/1/1900,"",VLOOKUP(A665,'ECN-ECO_DATA'!B:J,9,FALSE))),"")</f>
        <v/>
      </c>
      <c r="I665" s="10" t="str">
        <f>IFERROR((IF(VLOOKUP(A665,'ECN-ECO_DATA'!B:Q,13,FALSE)="","",VLOOKUP(A665,'ECN-ECO_DATA'!B:Q,13,FALSE))),"")</f>
        <v/>
      </c>
      <c r="J665" s="10" t="str">
        <f>IFERROR((IF(VLOOKUP(A665,'ECN-ECO_DATA'!B:Q,14,FALSE)="","",VLOOKUP(A665,'ECN-ECO_DATA'!B:Q,14,FALSE))),"")</f>
        <v/>
      </c>
      <c r="K665" s="10" t="str">
        <f>IFERROR((IF(VLOOKUP(A665,'ECN-ECO_DATA'!B:Q,15,FALSE)="","",VLOOKUP(A665,'ECN-ECO_DATA'!B:Q,15,FALSE))),"")</f>
        <v/>
      </c>
      <c r="L665" s="10" t="str">
        <f>IFERROR((IF(VLOOKUP(A665,'ECN-ECO_DATA'!B:Q,16,FALSE)="","",VLOOKUP(A665,'ECN-ECO_DATA'!B:Q,16,FALSE))),"")</f>
        <v/>
      </c>
      <c r="M665" s="9" t="str">
        <f>IFERROR((IF(VLOOKUP(A665,'ECN-ECO_DATA'!B:V,18,FALSE)=0/1/1900,"",VLOOKUP(A665,'ECN-ECO_DATA'!B:V,18,FALSE))),"")</f>
        <v/>
      </c>
      <c r="N665" s="9" t="str">
        <f>IFERROR((IF(VLOOKUP(A665,'ECN-ECO_DATA'!B:V,19,FALSE)=0/1/1900,"",VLOOKUP(A665,'ECN-ECO_DATA'!B:V,19,FALSE))),"")</f>
        <v/>
      </c>
      <c r="O665" s="9" t="str">
        <f>IFERROR((IF(VLOOKUP(A665,'ECN-ECO_DATA'!B:V,20,FALSE)=0/1/1900,"",VLOOKUP(A665,'ECN-ECO_DATA'!B:V,20,FALSE))),"")</f>
        <v/>
      </c>
      <c r="P665" s="9" t="str">
        <f>IFERROR((IF(VLOOKUP(A665,'ECN-ECO_DATA'!B:V,21,FALSE)=0/1/1900,"",VLOOKUP(A665,'ECN-ECO_DATA'!B:V,21,FALSE))),"")</f>
        <v/>
      </c>
      <c r="Q665" s="10" t="str">
        <f t="shared" ca="1" si="50"/>
        <v/>
      </c>
      <c r="R665" s="4" t="str">
        <f t="shared" si="51"/>
        <v/>
      </c>
      <c r="S665" s="4" t="str">
        <f t="shared" si="52"/>
        <v/>
      </c>
      <c r="T665" s="4" t="str">
        <f t="shared" si="53"/>
        <v/>
      </c>
      <c r="U665" s="10" t="str">
        <f t="shared" si="54"/>
        <v/>
      </c>
      <c r="V665" s="4"/>
    </row>
    <row r="666" spans="2:22" x14ac:dyDescent="0.25">
      <c r="B666" s="4" t="str">
        <f>IFERROR(VLOOKUP(A666,'ECN-ECO_DATA'!B:G,4,FALSE),"")</f>
        <v/>
      </c>
      <c r="C666" s="9" t="str">
        <f>IFERROR(VLOOKUP(A666,'ECN-ECO_DATA'!B:G,5,FALSE),"")</f>
        <v/>
      </c>
      <c r="D666" s="9" t="str">
        <f ca="1">IFERROR((IF(VLOOKUP(A666,'ECN-ECO_DATA'!B:G,6,FALSE)=0/1/1900,TODAY(),VLOOKUP(A666,'ECN-ECO_DATA'!B:G,6,FALSE))),"")</f>
        <v/>
      </c>
      <c r="E666" s="9" t="str">
        <f>IFERROR((IF(VLOOKUP(A666,'ECN-ECO_DATA'!B:G,6,FALSE)=0/1/1900,"",VLOOKUP(A666,'ECN-ECO_DATA'!B:G,6,FALSE))),"")</f>
        <v/>
      </c>
      <c r="F666" s="9" t="str">
        <f>IFERROR((IF(VLOOKUP(A666,'ECN-ECO_DATA'!B:J,7,FALSE)=0/1/1900,"",VLOOKUP(A666,'ECN-ECO_DATA'!B:J,7,FALSE))),"")</f>
        <v/>
      </c>
      <c r="G666" s="9" t="str">
        <f>IFERROR((IF(VLOOKUP(A666,'ECN-ECO_DATA'!B:J,8,FALSE)=0/1/1900,"",VLOOKUP(A666,'ECN-ECO_DATA'!B:J,8,FALSE))),"")</f>
        <v/>
      </c>
      <c r="H666" s="9" t="str">
        <f>IFERROR((IF(VLOOKUP(A666,'ECN-ECO_DATA'!B:J,9,FALSE)=0/1/1900,"",VLOOKUP(A666,'ECN-ECO_DATA'!B:J,9,FALSE))),"")</f>
        <v/>
      </c>
      <c r="I666" s="10" t="str">
        <f>IFERROR((IF(VLOOKUP(A666,'ECN-ECO_DATA'!B:Q,13,FALSE)="","",VLOOKUP(A666,'ECN-ECO_DATA'!B:Q,13,FALSE))),"")</f>
        <v/>
      </c>
      <c r="J666" s="10" t="str">
        <f>IFERROR((IF(VLOOKUP(A666,'ECN-ECO_DATA'!B:Q,14,FALSE)="","",VLOOKUP(A666,'ECN-ECO_DATA'!B:Q,14,FALSE))),"")</f>
        <v/>
      </c>
      <c r="K666" s="10" t="str">
        <f>IFERROR((IF(VLOOKUP(A666,'ECN-ECO_DATA'!B:Q,15,FALSE)="","",VLOOKUP(A666,'ECN-ECO_DATA'!B:Q,15,FALSE))),"")</f>
        <v/>
      </c>
      <c r="L666" s="10" t="str">
        <f>IFERROR((IF(VLOOKUP(A666,'ECN-ECO_DATA'!B:Q,16,FALSE)="","",VLOOKUP(A666,'ECN-ECO_DATA'!B:Q,16,FALSE))),"")</f>
        <v/>
      </c>
      <c r="M666" s="9" t="str">
        <f>IFERROR((IF(VLOOKUP(A666,'ECN-ECO_DATA'!B:V,18,FALSE)=0/1/1900,"",VLOOKUP(A666,'ECN-ECO_DATA'!B:V,18,FALSE))),"")</f>
        <v/>
      </c>
      <c r="N666" s="9" t="str">
        <f>IFERROR((IF(VLOOKUP(A666,'ECN-ECO_DATA'!B:V,19,FALSE)=0/1/1900,"",VLOOKUP(A666,'ECN-ECO_DATA'!B:V,19,FALSE))),"")</f>
        <v/>
      </c>
      <c r="O666" s="9" t="str">
        <f>IFERROR((IF(VLOOKUP(A666,'ECN-ECO_DATA'!B:V,20,FALSE)=0/1/1900,"",VLOOKUP(A666,'ECN-ECO_DATA'!B:V,20,FALSE))),"")</f>
        <v/>
      </c>
      <c r="P666" s="9" t="str">
        <f>IFERROR((IF(VLOOKUP(A666,'ECN-ECO_DATA'!B:V,21,FALSE)=0/1/1900,"",VLOOKUP(A666,'ECN-ECO_DATA'!B:V,21,FALSE))),"")</f>
        <v/>
      </c>
      <c r="Q666" s="10" t="str">
        <f t="shared" ca="1" si="50"/>
        <v/>
      </c>
      <c r="R666" s="4" t="str">
        <f t="shared" si="51"/>
        <v/>
      </c>
      <c r="S666" s="4" t="str">
        <f t="shared" si="52"/>
        <v/>
      </c>
      <c r="T666" s="4" t="str">
        <f t="shared" si="53"/>
        <v/>
      </c>
      <c r="U666" s="10" t="str">
        <f t="shared" si="54"/>
        <v/>
      </c>
      <c r="V666" s="4"/>
    </row>
    <row r="667" spans="2:22" x14ac:dyDescent="0.25">
      <c r="B667" s="4" t="str">
        <f>IFERROR(VLOOKUP(A667,'ECN-ECO_DATA'!B:G,4,FALSE),"")</f>
        <v/>
      </c>
      <c r="C667" s="9" t="str">
        <f>IFERROR(VLOOKUP(A667,'ECN-ECO_DATA'!B:G,5,FALSE),"")</f>
        <v/>
      </c>
      <c r="D667" s="9" t="str">
        <f ca="1">IFERROR((IF(VLOOKUP(A667,'ECN-ECO_DATA'!B:G,6,FALSE)=0/1/1900,TODAY(),VLOOKUP(A667,'ECN-ECO_DATA'!B:G,6,FALSE))),"")</f>
        <v/>
      </c>
      <c r="E667" s="9" t="str">
        <f>IFERROR((IF(VLOOKUP(A667,'ECN-ECO_DATA'!B:G,6,FALSE)=0/1/1900,"",VLOOKUP(A667,'ECN-ECO_DATA'!B:G,6,FALSE))),"")</f>
        <v/>
      </c>
      <c r="F667" s="9" t="str">
        <f>IFERROR((IF(VLOOKUP(A667,'ECN-ECO_DATA'!B:J,7,FALSE)=0/1/1900,"",VLOOKUP(A667,'ECN-ECO_DATA'!B:J,7,FALSE))),"")</f>
        <v/>
      </c>
      <c r="G667" s="9" t="str">
        <f>IFERROR((IF(VLOOKUP(A667,'ECN-ECO_DATA'!B:J,8,FALSE)=0/1/1900,"",VLOOKUP(A667,'ECN-ECO_DATA'!B:J,8,FALSE))),"")</f>
        <v/>
      </c>
      <c r="H667" s="9" t="str">
        <f>IFERROR((IF(VLOOKUP(A667,'ECN-ECO_DATA'!B:J,9,FALSE)=0/1/1900,"",VLOOKUP(A667,'ECN-ECO_DATA'!B:J,9,FALSE))),"")</f>
        <v/>
      </c>
      <c r="I667" s="10" t="str">
        <f>IFERROR((IF(VLOOKUP(A667,'ECN-ECO_DATA'!B:Q,13,FALSE)="","",VLOOKUP(A667,'ECN-ECO_DATA'!B:Q,13,FALSE))),"")</f>
        <v/>
      </c>
      <c r="J667" s="10" t="str">
        <f>IFERROR((IF(VLOOKUP(A667,'ECN-ECO_DATA'!B:Q,14,FALSE)="","",VLOOKUP(A667,'ECN-ECO_DATA'!B:Q,14,FALSE))),"")</f>
        <v/>
      </c>
      <c r="K667" s="10" t="str">
        <f>IFERROR((IF(VLOOKUP(A667,'ECN-ECO_DATA'!B:Q,15,FALSE)="","",VLOOKUP(A667,'ECN-ECO_DATA'!B:Q,15,FALSE))),"")</f>
        <v/>
      </c>
      <c r="L667" s="10" t="str">
        <f>IFERROR((IF(VLOOKUP(A667,'ECN-ECO_DATA'!B:Q,16,FALSE)="","",VLOOKUP(A667,'ECN-ECO_DATA'!B:Q,16,FALSE))),"")</f>
        <v/>
      </c>
      <c r="M667" s="9" t="str">
        <f>IFERROR((IF(VLOOKUP(A667,'ECN-ECO_DATA'!B:V,18,FALSE)=0/1/1900,"",VLOOKUP(A667,'ECN-ECO_DATA'!B:V,18,FALSE))),"")</f>
        <v/>
      </c>
      <c r="N667" s="9" t="str">
        <f>IFERROR((IF(VLOOKUP(A667,'ECN-ECO_DATA'!B:V,19,FALSE)=0/1/1900,"",VLOOKUP(A667,'ECN-ECO_DATA'!B:V,19,FALSE))),"")</f>
        <v/>
      </c>
      <c r="O667" s="9" t="str">
        <f>IFERROR((IF(VLOOKUP(A667,'ECN-ECO_DATA'!B:V,20,FALSE)=0/1/1900,"",VLOOKUP(A667,'ECN-ECO_DATA'!B:V,20,FALSE))),"")</f>
        <v/>
      </c>
      <c r="P667" s="9" t="str">
        <f>IFERROR((IF(VLOOKUP(A667,'ECN-ECO_DATA'!B:V,21,FALSE)=0/1/1900,"",VLOOKUP(A667,'ECN-ECO_DATA'!B:V,21,FALSE))),"")</f>
        <v/>
      </c>
      <c r="Q667" s="10" t="str">
        <f t="shared" ca="1" si="50"/>
        <v/>
      </c>
      <c r="R667" s="4" t="str">
        <f t="shared" si="51"/>
        <v/>
      </c>
      <c r="S667" s="4" t="str">
        <f t="shared" si="52"/>
        <v/>
      </c>
      <c r="T667" s="4" t="str">
        <f t="shared" si="53"/>
        <v/>
      </c>
      <c r="U667" s="10" t="str">
        <f t="shared" si="54"/>
        <v/>
      </c>
      <c r="V667" s="4"/>
    </row>
    <row r="668" spans="2:22" x14ac:dyDescent="0.25">
      <c r="B668" s="4" t="str">
        <f>IFERROR(VLOOKUP(A668,'ECN-ECO_DATA'!B:G,4,FALSE),"")</f>
        <v/>
      </c>
      <c r="C668" s="9" t="str">
        <f>IFERROR(VLOOKUP(A668,'ECN-ECO_DATA'!B:G,5,FALSE),"")</f>
        <v/>
      </c>
      <c r="D668" s="9" t="str">
        <f ca="1">IFERROR((IF(VLOOKUP(A668,'ECN-ECO_DATA'!B:G,6,FALSE)=0/1/1900,TODAY(),VLOOKUP(A668,'ECN-ECO_DATA'!B:G,6,FALSE))),"")</f>
        <v/>
      </c>
      <c r="E668" s="9" t="str">
        <f>IFERROR((IF(VLOOKUP(A668,'ECN-ECO_DATA'!B:G,6,FALSE)=0/1/1900,"",VLOOKUP(A668,'ECN-ECO_DATA'!B:G,6,FALSE))),"")</f>
        <v/>
      </c>
      <c r="F668" s="9" t="str">
        <f>IFERROR((IF(VLOOKUP(A668,'ECN-ECO_DATA'!B:J,7,FALSE)=0/1/1900,"",VLOOKUP(A668,'ECN-ECO_DATA'!B:J,7,FALSE))),"")</f>
        <v/>
      </c>
      <c r="G668" s="9" t="str">
        <f>IFERROR((IF(VLOOKUP(A668,'ECN-ECO_DATA'!B:J,8,FALSE)=0/1/1900,"",VLOOKUP(A668,'ECN-ECO_DATA'!B:J,8,FALSE))),"")</f>
        <v/>
      </c>
      <c r="H668" s="9" t="str">
        <f>IFERROR((IF(VLOOKUP(A668,'ECN-ECO_DATA'!B:J,9,FALSE)=0/1/1900,"",VLOOKUP(A668,'ECN-ECO_DATA'!B:J,9,FALSE))),"")</f>
        <v/>
      </c>
      <c r="I668" s="10" t="str">
        <f>IFERROR((IF(VLOOKUP(A668,'ECN-ECO_DATA'!B:Q,13,FALSE)="","",VLOOKUP(A668,'ECN-ECO_DATA'!B:Q,13,FALSE))),"")</f>
        <v/>
      </c>
      <c r="J668" s="10" t="str">
        <f>IFERROR((IF(VLOOKUP(A668,'ECN-ECO_DATA'!B:Q,14,FALSE)="","",VLOOKUP(A668,'ECN-ECO_DATA'!B:Q,14,FALSE))),"")</f>
        <v/>
      </c>
      <c r="K668" s="10" t="str">
        <f>IFERROR((IF(VLOOKUP(A668,'ECN-ECO_DATA'!B:Q,15,FALSE)="","",VLOOKUP(A668,'ECN-ECO_DATA'!B:Q,15,FALSE))),"")</f>
        <v/>
      </c>
      <c r="L668" s="10" t="str">
        <f>IFERROR((IF(VLOOKUP(A668,'ECN-ECO_DATA'!B:Q,16,FALSE)="","",VLOOKUP(A668,'ECN-ECO_DATA'!B:Q,16,FALSE))),"")</f>
        <v/>
      </c>
      <c r="M668" s="9" t="str">
        <f>IFERROR((IF(VLOOKUP(A668,'ECN-ECO_DATA'!B:V,18,FALSE)=0/1/1900,"",VLOOKUP(A668,'ECN-ECO_DATA'!B:V,18,FALSE))),"")</f>
        <v/>
      </c>
      <c r="N668" s="9" t="str">
        <f>IFERROR((IF(VLOOKUP(A668,'ECN-ECO_DATA'!B:V,19,FALSE)=0/1/1900,"",VLOOKUP(A668,'ECN-ECO_DATA'!B:V,19,FALSE))),"")</f>
        <v/>
      </c>
      <c r="O668" s="9" t="str">
        <f>IFERROR((IF(VLOOKUP(A668,'ECN-ECO_DATA'!B:V,20,FALSE)=0/1/1900,"",VLOOKUP(A668,'ECN-ECO_DATA'!B:V,20,FALSE))),"")</f>
        <v/>
      </c>
      <c r="P668" s="9" t="str">
        <f>IFERROR((IF(VLOOKUP(A668,'ECN-ECO_DATA'!B:V,21,FALSE)=0/1/1900,"",VLOOKUP(A668,'ECN-ECO_DATA'!B:V,21,FALSE))),"")</f>
        <v/>
      </c>
      <c r="Q668" s="10" t="str">
        <f t="shared" ca="1" si="50"/>
        <v/>
      </c>
      <c r="R668" s="4" t="str">
        <f t="shared" si="51"/>
        <v/>
      </c>
      <c r="S668" s="4" t="str">
        <f t="shared" si="52"/>
        <v/>
      </c>
      <c r="T668" s="4" t="str">
        <f t="shared" si="53"/>
        <v/>
      </c>
      <c r="U668" s="10" t="str">
        <f t="shared" si="54"/>
        <v/>
      </c>
      <c r="V668" s="4"/>
    </row>
    <row r="669" spans="2:22" x14ac:dyDescent="0.25">
      <c r="B669" s="4" t="str">
        <f>IFERROR(VLOOKUP(A669,'ECN-ECO_DATA'!B:G,4,FALSE),"")</f>
        <v/>
      </c>
      <c r="C669" s="9" t="str">
        <f>IFERROR(VLOOKUP(A669,'ECN-ECO_DATA'!B:G,5,FALSE),"")</f>
        <v/>
      </c>
      <c r="D669" s="9" t="str">
        <f ca="1">IFERROR((IF(VLOOKUP(A669,'ECN-ECO_DATA'!B:G,6,FALSE)=0/1/1900,TODAY(),VLOOKUP(A669,'ECN-ECO_DATA'!B:G,6,FALSE))),"")</f>
        <v/>
      </c>
      <c r="E669" s="9" t="str">
        <f>IFERROR((IF(VLOOKUP(A669,'ECN-ECO_DATA'!B:G,6,FALSE)=0/1/1900,"",VLOOKUP(A669,'ECN-ECO_DATA'!B:G,6,FALSE))),"")</f>
        <v/>
      </c>
      <c r="F669" s="9" t="str">
        <f>IFERROR((IF(VLOOKUP(A669,'ECN-ECO_DATA'!B:J,7,FALSE)=0/1/1900,"",VLOOKUP(A669,'ECN-ECO_DATA'!B:J,7,FALSE))),"")</f>
        <v/>
      </c>
      <c r="G669" s="9" t="str">
        <f>IFERROR((IF(VLOOKUP(A669,'ECN-ECO_DATA'!B:J,8,FALSE)=0/1/1900,"",VLOOKUP(A669,'ECN-ECO_DATA'!B:J,8,FALSE))),"")</f>
        <v/>
      </c>
      <c r="H669" s="9" t="str">
        <f>IFERROR((IF(VLOOKUP(A669,'ECN-ECO_DATA'!B:J,9,FALSE)=0/1/1900,"",VLOOKUP(A669,'ECN-ECO_DATA'!B:J,9,FALSE))),"")</f>
        <v/>
      </c>
      <c r="I669" s="10" t="str">
        <f>IFERROR((IF(VLOOKUP(A669,'ECN-ECO_DATA'!B:Q,13,FALSE)="","",VLOOKUP(A669,'ECN-ECO_DATA'!B:Q,13,FALSE))),"")</f>
        <v/>
      </c>
      <c r="J669" s="10" t="str">
        <f>IFERROR((IF(VLOOKUP(A669,'ECN-ECO_DATA'!B:Q,14,FALSE)="","",VLOOKUP(A669,'ECN-ECO_DATA'!B:Q,14,FALSE))),"")</f>
        <v/>
      </c>
      <c r="K669" s="10" t="str">
        <f>IFERROR((IF(VLOOKUP(A669,'ECN-ECO_DATA'!B:Q,15,FALSE)="","",VLOOKUP(A669,'ECN-ECO_DATA'!B:Q,15,FALSE))),"")</f>
        <v/>
      </c>
      <c r="L669" s="10" t="str">
        <f>IFERROR((IF(VLOOKUP(A669,'ECN-ECO_DATA'!B:Q,16,FALSE)="","",VLOOKUP(A669,'ECN-ECO_DATA'!B:Q,16,FALSE))),"")</f>
        <v/>
      </c>
      <c r="M669" s="9" t="str">
        <f>IFERROR((IF(VLOOKUP(A669,'ECN-ECO_DATA'!B:V,18,FALSE)=0/1/1900,"",VLOOKUP(A669,'ECN-ECO_DATA'!B:V,18,FALSE))),"")</f>
        <v/>
      </c>
      <c r="N669" s="9" t="str">
        <f>IFERROR((IF(VLOOKUP(A669,'ECN-ECO_DATA'!B:V,19,FALSE)=0/1/1900,"",VLOOKUP(A669,'ECN-ECO_DATA'!B:V,19,FALSE))),"")</f>
        <v/>
      </c>
      <c r="O669" s="9" t="str">
        <f>IFERROR((IF(VLOOKUP(A669,'ECN-ECO_DATA'!B:V,20,FALSE)=0/1/1900,"",VLOOKUP(A669,'ECN-ECO_DATA'!B:V,20,FALSE))),"")</f>
        <v/>
      </c>
      <c r="P669" s="9" t="str">
        <f>IFERROR((IF(VLOOKUP(A669,'ECN-ECO_DATA'!B:V,21,FALSE)=0/1/1900,"",VLOOKUP(A669,'ECN-ECO_DATA'!B:V,21,FALSE))),"")</f>
        <v/>
      </c>
      <c r="Q669" s="10" t="str">
        <f t="shared" ca="1" si="50"/>
        <v/>
      </c>
      <c r="R669" s="4" t="str">
        <f t="shared" si="51"/>
        <v/>
      </c>
      <c r="S669" s="4" t="str">
        <f t="shared" si="52"/>
        <v/>
      </c>
      <c r="T669" s="4" t="str">
        <f t="shared" si="53"/>
        <v/>
      </c>
      <c r="U669" s="10" t="str">
        <f t="shared" si="54"/>
        <v/>
      </c>
      <c r="V669" s="4"/>
    </row>
    <row r="670" spans="2:22" x14ac:dyDescent="0.25">
      <c r="B670" s="4" t="str">
        <f>IFERROR(VLOOKUP(A670,'ECN-ECO_DATA'!B:G,4,FALSE),"")</f>
        <v/>
      </c>
      <c r="C670" s="9" t="str">
        <f>IFERROR(VLOOKUP(A670,'ECN-ECO_DATA'!B:G,5,FALSE),"")</f>
        <v/>
      </c>
      <c r="D670" s="9" t="str">
        <f ca="1">IFERROR((IF(VLOOKUP(A670,'ECN-ECO_DATA'!B:G,6,FALSE)=0/1/1900,TODAY(),VLOOKUP(A670,'ECN-ECO_DATA'!B:G,6,FALSE))),"")</f>
        <v/>
      </c>
      <c r="E670" s="9" t="str">
        <f>IFERROR((IF(VLOOKUP(A670,'ECN-ECO_DATA'!B:G,6,FALSE)=0/1/1900,"",VLOOKUP(A670,'ECN-ECO_DATA'!B:G,6,FALSE))),"")</f>
        <v/>
      </c>
      <c r="F670" s="9" t="str">
        <f>IFERROR((IF(VLOOKUP(A670,'ECN-ECO_DATA'!B:J,7,FALSE)=0/1/1900,"",VLOOKUP(A670,'ECN-ECO_DATA'!B:J,7,FALSE))),"")</f>
        <v/>
      </c>
      <c r="G670" s="9" t="str">
        <f>IFERROR((IF(VLOOKUP(A670,'ECN-ECO_DATA'!B:J,8,FALSE)=0/1/1900,"",VLOOKUP(A670,'ECN-ECO_DATA'!B:J,8,FALSE))),"")</f>
        <v/>
      </c>
      <c r="H670" s="9" t="str">
        <f>IFERROR((IF(VLOOKUP(A670,'ECN-ECO_DATA'!B:J,9,FALSE)=0/1/1900,"",VLOOKUP(A670,'ECN-ECO_DATA'!B:J,9,FALSE))),"")</f>
        <v/>
      </c>
      <c r="I670" s="10" t="str">
        <f>IFERROR((IF(VLOOKUP(A670,'ECN-ECO_DATA'!B:Q,13,FALSE)="","",VLOOKUP(A670,'ECN-ECO_DATA'!B:Q,13,FALSE))),"")</f>
        <v/>
      </c>
      <c r="J670" s="10" t="str">
        <f>IFERROR((IF(VLOOKUP(A670,'ECN-ECO_DATA'!B:Q,14,FALSE)="","",VLOOKUP(A670,'ECN-ECO_DATA'!B:Q,14,FALSE))),"")</f>
        <v/>
      </c>
      <c r="K670" s="10" t="str">
        <f>IFERROR((IF(VLOOKUP(A670,'ECN-ECO_DATA'!B:Q,15,FALSE)="","",VLOOKUP(A670,'ECN-ECO_DATA'!B:Q,15,FALSE))),"")</f>
        <v/>
      </c>
      <c r="L670" s="10" t="str">
        <f>IFERROR((IF(VLOOKUP(A670,'ECN-ECO_DATA'!B:Q,16,FALSE)="","",VLOOKUP(A670,'ECN-ECO_DATA'!B:Q,16,FALSE))),"")</f>
        <v/>
      </c>
      <c r="M670" s="9" t="str">
        <f>IFERROR((IF(VLOOKUP(A670,'ECN-ECO_DATA'!B:V,18,FALSE)=0/1/1900,"",VLOOKUP(A670,'ECN-ECO_DATA'!B:V,18,FALSE))),"")</f>
        <v/>
      </c>
      <c r="N670" s="9" t="str">
        <f>IFERROR((IF(VLOOKUP(A670,'ECN-ECO_DATA'!B:V,19,FALSE)=0/1/1900,"",VLOOKUP(A670,'ECN-ECO_DATA'!B:V,19,FALSE))),"")</f>
        <v/>
      </c>
      <c r="O670" s="9" t="str">
        <f>IFERROR((IF(VLOOKUP(A670,'ECN-ECO_DATA'!B:V,20,FALSE)=0/1/1900,"",VLOOKUP(A670,'ECN-ECO_DATA'!B:V,20,FALSE))),"")</f>
        <v/>
      </c>
      <c r="P670" s="9" t="str">
        <f>IFERROR((IF(VLOOKUP(A670,'ECN-ECO_DATA'!B:V,21,FALSE)=0/1/1900,"",VLOOKUP(A670,'ECN-ECO_DATA'!B:V,21,FALSE))),"")</f>
        <v/>
      </c>
      <c r="Q670" s="10" t="str">
        <f t="shared" ca="1" si="50"/>
        <v/>
      </c>
      <c r="R670" s="4" t="str">
        <f t="shared" si="51"/>
        <v/>
      </c>
      <c r="S670" s="4" t="str">
        <f t="shared" si="52"/>
        <v/>
      </c>
      <c r="T670" s="4" t="str">
        <f t="shared" si="53"/>
        <v/>
      </c>
      <c r="U670" s="10" t="str">
        <f t="shared" si="54"/>
        <v/>
      </c>
      <c r="V670" s="4"/>
    </row>
    <row r="671" spans="2:22" x14ac:dyDescent="0.25">
      <c r="B671" s="4" t="str">
        <f>IFERROR(VLOOKUP(A671,'ECN-ECO_DATA'!B:G,4,FALSE),"")</f>
        <v/>
      </c>
      <c r="C671" s="9" t="str">
        <f>IFERROR(VLOOKUP(A671,'ECN-ECO_DATA'!B:G,5,FALSE),"")</f>
        <v/>
      </c>
      <c r="D671" s="9" t="str">
        <f ca="1">IFERROR((IF(VLOOKUP(A671,'ECN-ECO_DATA'!B:G,6,FALSE)=0/1/1900,TODAY(),VLOOKUP(A671,'ECN-ECO_DATA'!B:G,6,FALSE))),"")</f>
        <v/>
      </c>
      <c r="E671" s="9" t="str">
        <f>IFERROR((IF(VLOOKUP(A671,'ECN-ECO_DATA'!B:G,6,FALSE)=0/1/1900,"",VLOOKUP(A671,'ECN-ECO_DATA'!B:G,6,FALSE))),"")</f>
        <v/>
      </c>
      <c r="F671" s="9" t="str">
        <f>IFERROR((IF(VLOOKUP(A671,'ECN-ECO_DATA'!B:J,7,FALSE)=0/1/1900,"",VLOOKUP(A671,'ECN-ECO_DATA'!B:J,7,FALSE))),"")</f>
        <v/>
      </c>
      <c r="G671" s="9" t="str">
        <f>IFERROR((IF(VLOOKUP(A671,'ECN-ECO_DATA'!B:J,8,FALSE)=0/1/1900,"",VLOOKUP(A671,'ECN-ECO_DATA'!B:J,8,FALSE))),"")</f>
        <v/>
      </c>
      <c r="H671" s="9" t="str">
        <f>IFERROR((IF(VLOOKUP(A671,'ECN-ECO_DATA'!B:J,9,FALSE)=0/1/1900,"",VLOOKUP(A671,'ECN-ECO_DATA'!B:J,9,FALSE))),"")</f>
        <v/>
      </c>
      <c r="I671" s="10" t="str">
        <f>IFERROR((IF(VLOOKUP(A671,'ECN-ECO_DATA'!B:Q,13,FALSE)="","",VLOOKUP(A671,'ECN-ECO_DATA'!B:Q,13,FALSE))),"")</f>
        <v/>
      </c>
      <c r="J671" s="10" t="str">
        <f>IFERROR((IF(VLOOKUP(A671,'ECN-ECO_DATA'!B:Q,14,FALSE)="","",VLOOKUP(A671,'ECN-ECO_DATA'!B:Q,14,FALSE))),"")</f>
        <v/>
      </c>
      <c r="K671" s="10" t="str">
        <f>IFERROR((IF(VLOOKUP(A671,'ECN-ECO_DATA'!B:Q,15,FALSE)="","",VLOOKUP(A671,'ECN-ECO_DATA'!B:Q,15,FALSE))),"")</f>
        <v/>
      </c>
      <c r="L671" s="10" t="str">
        <f>IFERROR((IF(VLOOKUP(A671,'ECN-ECO_DATA'!B:Q,16,FALSE)="","",VLOOKUP(A671,'ECN-ECO_DATA'!B:Q,16,FALSE))),"")</f>
        <v/>
      </c>
      <c r="M671" s="9" t="str">
        <f>IFERROR((IF(VLOOKUP(A671,'ECN-ECO_DATA'!B:V,18,FALSE)=0/1/1900,"",VLOOKUP(A671,'ECN-ECO_DATA'!B:V,18,FALSE))),"")</f>
        <v/>
      </c>
      <c r="N671" s="9" t="str">
        <f>IFERROR((IF(VLOOKUP(A671,'ECN-ECO_DATA'!B:V,19,FALSE)=0/1/1900,"",VLOOKUP(A671,'ECN-ECO_DATA'!B:V,19,FALSE))),"")</f>
        <v/>
      </c>
      <c r="O671" s="9" t="str">
        <f>IFERROR((IF(VLOOKUP(A671,'ECN-ECO_DATA'!B:V,20,FALSE)=0/1/1900,"",VLOOKUP(A671,'ECN-ECO_DATA'!B:V,20,FALSE))),"")</f>
        <v/>
      </c>
      <c r="P671" s="9" t="str">
        <f>IFERROR((IF(VLOOKUP(A671,'ECN-ECO_DATA'!B:V,21,FALSE)=0/1/1900,"",VLOOKUP(A671,'ECN-ECO_DATA'!B:V,21,FALSE))),"")</f>
        <v/>
      </c>
      <c r="Q671" s="10" t="str">
        <f t="shared" ca="1" si="50"/>
        <v/>
      </c>
      <c r="R671" s="4" t="str">
        <f t="shared" si="51"/>
        <v/>
      </c>
      <c r="S671" s="4" t="str">
        <f t="shared" si="52"/>
        <v/>
      </c>
      <c r="T671" s="4" t="str">
        <f t="shared" si="53"/>
        <v/>
      </c>
      <c r="U671" s="10" t="str">
        <f t="shared" si="54"/>
        <v/>
      </c>
      <c r="V671" s="4"/>
    </row>
    <row r="672" spans="2:22" x14ac:dyDescent="0.25">
      <c r="B672" s="4" t="str">
        <f>IFERROR(VLOOKUP(A672,'ECN-ECO_DATA'!B:G,4,FALSE),"")</f>
        <v/>
      </c>
      <c r="C672" s="9" t="str">
        <f>IFERROR(VLOOKUP(A672,'ECN-ECO_DATA'!B:G,5,FALSE),"")</f>
        <v/>
      </c>
      <c r="D672" s="9" t="str">
        <f ca="1">IFERROR((IF(VLOOKUP(A672,'ECN-ECO_DATA'!B:G,6,FALSE)=0/1/1900,TODAY(),VLOOKUP(A672,'ECN-ECO_DATA'!B:G,6,FALSE))),"")</f>
        <v/>
      </c>
      <c r="E672" s="9" t="str">
        <f>IFERROR((IF(VLOOKUP(A672,'ECN-ECO_DATA'!B:G,6,FALSE)=0/1/1900,"",VLOOKUP(A672,'ECN-ECO_DATA'!B:G,6,FALSE))),"")</f>
        <v/>
      </c>
      <c r="F672" s="9" t="str">
        <f>IFERROR((IF(VLOOKUP(A672,'ECN-ECO_DATA'!B:J,7,FALSE)=0/1/1900,"",VLOOKUP(A672,'ECN-ECO_DATA'!B:J,7,FALSE))),"")</f>
        <v/>
      </c>
      <c r="G672" s="9" t="str">
        <f>IFERROR((IF(VLOOKUP(A672,'ECN-ECO_DATA'!B:J,8,FALSE)=0/1/1900,"",VLOOKUP(A672,'ECN-ECO_DATA'!B:J,8,FALSE))),"")</f>
        <v/>
      </c>
      <c r="H672" s="9" t="str">
        <f>IFERROR((IF(VLOOKUP(A672,'ECN-ECO_DATA'!B:J,9,FALSE)=0/1/1900,"",VLOOKUP(A672,'ECN-ECO_DATA'!B:J,9,FALSE))),"")</f>
        <v/>
      </c>
      <c r="I672" s="10" t="str">
        <f>IFERROR((IF(VLOOKUP(A672,'ECN-ECO_DATA'!B:Q,13,FALSE)="","",VLOOKUP(A672,'ECN-ECO_DATA'!B:Q,13,FALSE))),"")</f>
        <v/>
      </c>
      <c r="J672" s="10" t="str">
        <f>IFERROR((IF(VLOOKUP(A672,'ECN-ECO_DATA'!B:Q,14,FALSE)="","",VLOOKUP(A672,'ECN-ECO_DATA'!B:Q,14,FALSE))),"")</f>
        <v/>
      </c>
      <c r="K672" s="10" t="str">
        <f>IFERROR((IF(VLOOKUP(A672,'ECN-ECO_DATA'!B:Q,15,FALSE)="","",VLOOKUP(A672,'ECN-ECO_DATA'!B:Q,15,FALSE))),"")</f>
        <v/>
      </c>
      <c r="L672" s="10" t="str">
        <f>IFERROR((IF(VLOOKUP(A672,'ECN-ECO_DATA'!B:Q,16,FALSE)="","",VLOOKUP(A672,'ECN-ECO_DATA'!B:Q,16,FALSE))),"")</f>
        <v/>
      </c>
      <c r="M672" s="9" t="str">
        <f>IFERROR((IF(VLOOKUP(A672,'ECN-ECO_DATA'!B:V,18,FALSE)=0/1/1900,"",VLOOKUP(A672,'ECN-ECO_DATA'!B:V,18,FALSE))),"")</f>
        <v/>
      </c>
      <c r="N672" s="9" t="str">
        <f>IFERROR((IF(VLOOKUP(A672,'ECN-ECO_DATA'!B:V,19,FALSE)=0/1/1900,"",VLOOKUP(A672,'ECN-ECO_DATA'!B:V,19,FALSE))),"")</f>
        <v/>
      </c>
      <c r="O672" s="9" t="str">
        <f>IFERROR((IF(VLOOKUP(A672,'ECN-ECO_DATA'!B:V,20,FALSE)=0/1/1900,"",VLOOKUP(A672,'ECN-ECO_DATA'!B:V,20,FALSE))),"")</f>
        <v/>
      </c>
      <c r="P672" s="9" t="str">
        <f>IFERROR((IF(VLOOKUP(A672,'ECN-ECO_DATA'!B:V,21,FALSE)=0/1/1900,"",VLOOKUP(A672,'ECN-ECO_DATA'!B:V,21,FALSE))),"")</f>
        <v/>
      </c>
      <c r="Q672" s="10" t="str">
        <f t="shared" ca="1" si="50"/>
        <v/>
      </c>
      <c r="R672" s="4" t="str">
        <f t="shared" si="51"/>
        <v/>
      </c>
      <c r="S672" s="4" t="str">
        <f t="shared" si="52"/>
        <v/>
      </c>
      <c r="T672" s="4" t="str">
        <f t="shared" si="53"/>
        <v/>
      </c>
      <c r="U672" s="10" t="str">
        <f t="shared" si="54"/>
        <v/>
      </c>
      <c r="V672" s="4"/>
    </row>
    <row r="673" spans="2:22" x14ac:dyDescent="0.25">
      <c r="B673" s="4" t="str">
        <f>IFERROR(VLOOKUP(A673,'ECN-ECO_DATA'!B:G,4,FALSE),"")</f>
        <v/>
      </c>
      <c r="C673" s="9" t="str">
        <f>IFERROR(VLOOKUP(A673,'ECN-ECO_DATA'!B:G,5,FALSE),"")</f>
        <v/>
      </c>
      <c r="D673" s="9" t="str">
        <f ca="1">IFERROR((IF(VLOOKUP(A673,'ECN-ECO_DATA'!B:G,6,FALSE)=0/1/1900,TODAY(),VLOOKUP(A673,'ECN-ECO_DATA'!B:G,6,FALSE))),"")</f>
        <v/>
      </c>
      <c r="E673" s="9" t="str">
        <f>IFERROR((IF(VLOOKUP(A673,'ECN-ECO_DATA'!B:G,6,FALSE)=0/1/1900,"",VLOOKUP(A673,'ECN-ECO_DATA'!B:G,6,FALSE))),"")</f>
        <v/>
      </c>
      <c r="F673" s="9" t="str">
        <f>IFERROR((IF(VLOOKUP(A673,'ECN-ECO_DATA'!B:J,7,FALSE)=0/1/1900,"",VLOOKUP(A673,'ECN-ECO_DATA'!B:J,7,FALSE))),"")</f>
        <v/>
      </c>
      <c r="G673" s="9" t="str">
        <f>IFERROR((IF(VLOOKUP(A673,'ECN-ECO_DATA'!B:J,8,FALSE)=0/1/1900,"",VLOOKUP(A673,'ECN-ECO_DATA'!B:J,8,FALSE))),"")</f>
        <v/>
      </c>
      <c r="H673" s="9" t="str">
        <f>IFERROR((IF(VLOOKUP(A673,'ECN-ECO_DATA'!B:J,9,FALSE)=0/1/1900,"",VLOOKUP(A673,'ECN-ECO_DATA'!B:J,9,FALSE))),"")</f>
        <v/>
      </c>
      <c r="I673" s="10" t="str">
        <f>IFERROR((IF(VLOOKUP(A673,'ECN-ECO_DATA'!B:Q,13,FALSE)="","",VLOOKUP(A673,'ECN-ECO_DATA'!B:Q,13,FALSE))),"")</f>
        <v/>
      </c>
      <c r="J673" s="10" t="str">
        <f>IFERROR((IF(VLOOKUP(A673,'ECN-ECO_DATA'!B:Q,14,FALSE)="","",VLOOKUP(A673,'ECN-ECO_DATA'!B:Q,14,FALSE))),"")</f>
        <v/>
      </c>
      <c r="K673" s="10" t="str">
        <f>IFERROR((IF(VLOOKUP(A673,'ECN-ECO_DATA'!B:Q,15,FALSE)="","",VLOOKUP(A673,'ECN-ECO_DATA'!B:Q,15,FALSE))),"")</f>
        <v/>
      </c>
      <c r="L673" s="10" t="str">
        <f>IFERROR((IF(VLOOKUP(A673,'ECN-ECO_DATA'!B:Q,16,FALSE)="","",VLOOKUP(A673,'ECN-ECO_DATA'!B:Q,16,FALSE))),"")</f>
        <v/>
      </c>
      <c r="M673" s="9" t="str">
        <f>IFERROR((IF(VLOOKUP(A673,'ECN-ECO_DATA'!B:V,18,FALSE)=0/1/1900,"",VLOOKUP(A673,'ECN-ECO_DATA'!B:V,18,FALSE))),"")</f>
        <v/>
      </c>
      <c r="N673" s="9" t="str">
        <f>IFERROR((IF(VLOOKUP(A673,'ECN-ECO_DATA'!B:V,19,FALSE)=0/1/1900,"",VLOOKUP(A673,'ECN-ECO_DATA'!B:V,19,FALSE))),"")</f>
        <v/>
      </c>
      <c r="O673" s="9" t="str">
        <f>IFERROR((IF(VLOOKUP(A673,'ECN-ECO_DATA'!B:V,20,FALSE)=0/1/1900,"",VLOOKUP(A673,'ECN-ECO_DATA'!B:V,20,FALSE))),"")</f>
        <v/>
      </c>
      <c r="P673" s="9" t="str">
        <f>IFERROR((IF(VLOOKUP(A673,'ECN-ECO_DATA'!B:V,21,FALSE)=0/1/1900,"",VLOOKUP(A673,'ECN-ECO_DATA'!B:V,21,FALSE))),"")</f>
        <v/>
      </c>
      <c r="Q673" s="10" t="str">
        <f t="shared" ca="1" si="50"/>
        <v/>
      </c>
      <c r="R673" s="4" t="str">
        <f t="shared" si="51"/>
        <v/>
      </c>
      <c r="S673" s="4" t="str">
        <f t="shared" si="52"/>
        <v/>
      </c>
      <c r="T673" s="4" t="str">
        <f t="shared" si="53"/>
        <v/>
      </c>
      <c r="U673" s="10" t="str">
        <f t="shared" si="54"/>
        <v/>
      </c>
      <c r="V673" s="4"/>
    </row>
    <row r="674" spans="2:22" x14ac:dyDescent="0.25">
      <c r="B674" s="4" t="str">
        <f>IFERROR(VLOOKUP(A674,'ECN-ECO_DATA'!B:G,4,FALSE),"")</f>
        <v/>
      </c>
      <c r="C674" s="9" t="str">
        <f>IFERROR(VLOOKUP(A674,'ECN-ECO_DATA'!B:G,5,FALSE),"")</f>
        <v/>
      </c>
      <c r="D674" s="9" t="str">
        <f ca="1">IFERROR((IF(VLOOKUP(A674,'ECN-ECO_DATA'!B:G,6,FALSE)=0/1/1900,TODAY(),VLOOKUP(A674,'ECN-ECO_DATA'!B:G,6,FALSE))),"")</f>
        <v/>
      </c>
      <c r="E674" s="9" t="str">
        <f>IFERROR((IF(VLOOKUP(A674,'ECN-ECO_DATA'!B:G,6,FALSE)=0/1/1900,"",VLOOKUP(A674,'ECN-ECO_DATA'!B:G,6,FALSE))),"")</f>
        <v/>
      </c>
      <c r="F674" s="9" t="str">
        <f>IFERROR((IF(VLOOKUP(A674,'ECN-ECO_DATA'!B:J,7,FALSE)=0/1/1900,"",VLOOKUP(A674,'ECN-ECO_DATA'!B:J,7,FALSE))),"")</f>
        <v/>
      </c>
      <c r="G674" s="9" t="str">
        <f>IFERROR((IF(VLOOKUP(A674,'ECN-ECO_DATA'!B:J,8,FALSE)=0/1/1900,"",VLOOKUP(A674,'ECN-ECO_DATA'!B:J,8,FALSE))),"")</f>
        <v/>
      </c>
      <c r="H674" s="9" t="str">
        <f>IFERROR((IF(VLOOKUP(A674,'ECN-ECO_DATA'!B:J,9,FALSE)=0/1/1900,"",VLOOKUP(A674,'ECN-ECO_DATA'!B:J,9,FALSE))),"")</f>
        <v/>
      </c>
      <c r="I674" s="10" t="str">
        <f>IFERROR((IF(VLOOKUP(A674,'ECN-ECO_DATA'!B:Q,13,FALSE)="","",VLOOKUP(A674,'ECN-ECO_DATA'!B:Q,13,FALSE))),"")</f>
        <v/>
      </c>
      <c r="J674" s="10" t="str">
        <f>IFERROR((IF(VLOOKUP(A674,'ECN-ECO_DATA'!B:Q,14,FALSE)="","",VLOOKUP(A674,'ECN-ECO_DATA'!B:Q,14,FALSE))),"")</f>
        <v/>
      </c>
      <c r="K674" s="10" t="str">
        <f>IFERROR((IF(VLOOKUP(A674,'ECN-ECO_DATA'!B:Q,15,FALSE)="","",VLOOKUP(A674,'ECN-ECO_DATA'!B:Q,15,FALSE))),"")</f>
        <v/>
      </c>
      <c r="L674" s="10" t="str">
        <f>IFERROR((IF(VLOOKUP(A674,'ECN-ECO_DATA'!B:Q,16,FALSE)="","",VLOOKUP(A674,'ECN-ECO_DATA'!B:Q,16,FALSE))),"")</f>
        <v/>
      </c>
      <c r="M674" s="9" t="str">
        <f>IFERROR((IF(VLOOKUP(A674,'ECN-ECO_DATA'!B:V,18,FALSE)=0/1/1900,"",VLOOKUP(A674,'ECN-ECO_DATA'!B:V,18,FALSE))),"")</f>
        <v/>
      </c>
      <c r="N674" s="9" t="str">
        <f>IFERROR((IF(VLOOKUP(A674,'ECN-ECO_DATA'!B:V,19,FALSE)=0/1/1900,"",VLOOKUP(A674,'ECN-ECO_DATA'!B:V,19,FALSE))),"")</f>
        <v/>
      </c>
      <c r="O674" s="9" t="str">
        <f>IFERROR((IF(VLOOKUP(A674,'ECN-ECO_DATA'!B:V,20,FALSE)=0/1/1900,"",VLOOKUP(A674,'ECN-ECO_DATA'!B:V,20,FALSE))),"")</f>
        <v/>
      </c>
      <c r="P674" s="9" t="str">
        <f>IFERROR((IF(VLOOKUP(A674,'ECN-ECO_DATA'!B:V,21,FALSE)=0/1/1900,"",VLOOKUP(A674,'ECN-ECO_DATA'!B:V,21,FALSE))),"")</f>
        <v/>
      </c>
      <c r="Q674" s="10" t="str">
        <f t="shared" ca="1" si="50"/>
        <v/>
      </c>
      <c r="R674" s="4" t="str">
        <f t="shared" si="51"/>
        <v/>
      </c>
      <c r="S674" s="4" t="str">
        <f t="shared" si="52"/>
        <v/>
      </c>
      <c r="T674" s="4" t="str">
        <f t="shared" si="53"/>
        <v/>
      </c>
      <c r="U674" s="10" t="str">
        <f t="shared" si="54"/>
        <v/>
      </c>
      <c r="V674" s="4"/>
    </row>
    <row r="675" spans="2:22" x14ac:dyDescent="0.25">
      <c r="B675" s="4" t="str">
        <f>IFERROR(VLOOKUP(A675,'ECN-ECO_DATA'!B:G,4,FALSE),"")</f>
        <v/>
      </c>
      <c r="C675" s="9" t="str">
        <f>IFERROR(VLOOKUP(A675,'ECN-ECO_DATA'!B:G,5,FALSE),"")</f>
        <v/>
      </c>
      <c r="D675" s="9" t="str">
        <f ca="1">IFERROR((IF(VLOOKUP(A675,'ECN-ECO_DATA'!B:G,6,FALSE)=0/1/1900,TODAY(),VLOOKUP(A675,'ECN-ECO_DATA'!B:G,6,FALSE))),"")</f>
        <v/>
      </c>
      <c r="E675" s="9" t="str">
        <f>IFERROR((IF(VLOOKUP(A675,'ECN-ECO_DATA'!B:G,6,FALSE)=0/1/1900,"",VLOOKUP(A675,'ECN-ECO_DATA'!B:G,6,FALSE))),"")</f>
        <v/>
      </c>
      <c r="F675" s="9" t="str">
        <f>IFERROR((IF(VLOOKUP(A675,'ECN-ECO_DATA'!B:J,7,FALSE)=0/1/1900,"",VLOOKUP(A675,'ECN-ECO_DATA'!B:J,7,FALSE))),"")</f>
        <v/>
      </c>
      <c r="G675" s="9" t="str">
        <f>IFERROR((IF(VLOOKUP(A675,'ECN-ECO_DATA'!B:J,8,FALSE)=0/1/1900,"",VLOOKUP(A675,'ECN-ECO_DATA'!B:J,8,FALSE))),"")</f>
        <v/>
      </c>
      <c r="H675" s="9" t="str">
        <f>IFERROR((IF(VLOOKUP(A675,'ECN-ECO_DATA'!B:J,9,FALSE)=0/1/1900,"",VLOOKUP(A675,'ECN-ECO_DATA'!B:J,9,FALSE))),"")</f>
        <v/>
      </c>
      <c r="I675" s="10" t="str">
        <f>IFERROR((IF(VLOOKUP(A675,'ECN-ECO_DATA'!B:Q,13,FALSE)="","",VLOOKUP(A675,'ECN-ECO_DATA'!B:Q,13,FALSE))),"")</f>
        <v/>
      </c>
      <c r="J675" s="10" t="str">
        <f>IFERROR((IF(VLOOKUP(A675,'ECN-ECO_DATA'!B:Q,14,FALSE)="","",VLOOKUP(A675,'ECN-ECO_DATA'!B:Q,14,FALSE))),"")</f>
        <v/>
      </c>
      <c r="K675" s="10" t="str">
        <f>IFERROR((IF(VLOOKUP(A675,'ECN-ECO_DATA'!B:Q,15,FALSE)="","",VLOOKUP(A675,'ECN-ECO_DATA'!B:Q,15,FALSE))),"")</f>
        <v/>
      </c>
      <c r="L675" s="10" t="str">
        <f>IFERROR((IF(VLOOKUP(A675,'ECN-ECO_DATA'!B:Q,16,FALSE)="","",VLOOKUP(A675,'ECN-ECO_DATA'!B:Q,16,FALSE))),"")</f>
        <v/>
      </c>
      <c r="M675" s="9" t="str">
        <f>IFERROR((IF(VLOOKUP(A675,'ECN-ECO_DATA'!B:V,18,FALSE)=0/1/1900,"",VLOOKUP(A675,'ECN-ECO_DATA'!B:V,18,FALSE))),"")</f>
        <v/>
      </c>
      <c r="N675" s="9" t="str">
        <f>IFERROR((IF(VLOOKUP(A675,'ECN-ECO_DATA'!B:V,19,FALSE)=0/1/1900,"",VLOOKUP(A675,'ECN-ECO_DATA'!B:V,19,FALSE))),"")</f>
        <v/>
      </c>
      <c r="O675" s="9" t="str">
        <f>IFERROR((IF(VLOOKUP(A675,'ECN-ECO_DATA'!B:V,20,FALSE)=0/1/1900,"",VLOOKUP(A675,'ECN-ECO_DATA'!B:V,20,FALSE))),"")</f>
        <v/>
      </c>
      <c r="P675" s="9" t="str">
        <f>IFERROR((IF(VLOOKUP(A675,'ECN-ECO_DATA'!B:V,21,FALSE)=0/1/1900,"",VLOOKUP(A675,'ECN-ECO_DATA'!B:V,21,FALSE))),"")</f>
        <v/>
      </c>
      <c r="Q675" s="10" t="str">
        <f t="shared" ca="1" si="50"/>
        <v/>
      </c>
      <c r="R675" s="4" t="str">
        <f t="shared" si="51"/>
        <v/>
      </c>
      <c r="S675" s="4" t="str">
        <f t="shared" si="52"/>
        <v/>
      </c>
      <c r="T675" s="4" t="str">
        <f t="shared" si="53"/>
        <v/>
      </c>
      <c r="U675" s="10" t="str">
        <f t="shared" si="54"/>
        <v/>
      </c>
      <c r="V675" s="4"/>
    </row>
    <row r="676" spans="2:22" x14ac:dyDescent="0.25">
      <c r="B676" s="4" t="str">
        <f>IFERROR(VLOOKUP(A676,'ECN-ECO_DATA'!B:G,4,FALSE),"")</f>
        <v/>
      </c>
      <c r="C676" s="9" t="str">
        <f>IFERROR(VLOOKUP(A676,'ECN-ECO_DATA'!B:G,5,FALSE),"")</f>
        <v/>
      </c>
      <c r="D676" s="9" t="str">
        <f ca="1">IFERROR((IF(VLOOKUP(A676,'ECN-ECO_DATA'!B:G,6,FALSE)=0/1/1900,TODAY(),VLOOKUP(A676,'ECN-ECO_DATA'!B:G,6,FALSE))),"")</f>
        <v/>
      </c>
      <c r="E676" s="9" t="str">
        <f>IFERROR((IF(VLOOKUP(A676,'ECN-ECO_DATA'!B:G,6,FALSE)=0/1/1900,"",VLOOKUP(A676,'ECN-ECO_DATA'!B:G,6,FALSE))),"")</f>
        <v/>
      </c>
      <c r="F676" s="9" t="str">
        <f>IFERROR((IF(VLOOKUP(A676,'ECN-ECO_DATA'!B:J,7,FALSE)=0/1/1900,"",VLOOKUP(A676,'ECN-ECO_DATA'!B:J,7,FALSE))),"")</f>
        <v/>
      </c>
      <c r="G676" s="9" t="str">
        <f>IFERROR((IF(VLOOKUP(A676,'ECN-ECO_DATA'!B:J,8,FALSE)=0/1/1900,"",VLOOKUP(A676,'ECN-ECO_DATA'!B:J,8,FALSE))),"")</f>
        <v/>
      </c>
      <c r="H676" s="9" t="str">
        <f>IFERROR((IF(VLOOKUP(A676,'ECN-ECO_DATA'!B:J,9,FALSE)=0/1/1900,"",VLOOKUP(A676,'ECN-ECO_DATA'!B:J,9,FALSE))),"")</f>
        <v/>
      </c>
      <c r="I676" s="10" t="str">
        <f>IFERROR((IF(VLOOKUP(A676,'ECN-ECO_DATA'!B:Q,13,FALSE)="","",VLOOKUP(A676,'ECN-ECO_DATA'!B:Q,13,FALSE))),"")</f>
        <v/>
      </c>
      <c r="J676" s="10" t="str">
        <f>IFERROR((IF(VLOOKUP(A676,'ECN-ECO_DATA'!B:Q,14,FALSE)="","",VLOOKUP(A676,'ECN-ECO_DATA'!B:Q,14,FALSE))),"")</f>
        <v/>
      </c>
      <c r="K676" s="10" t="str">
        <f>IFERROR((IF(VLOOKUP(A676,'ECN-ECO_DATA'!B:Q,15,FALSE)="","",VLOOKUP(A676,'ECN-ECO_DATA'!B:Q,15,FALSE))),"")</f>
        <v/>
      </c>
      <c r="L676" s="10" t="str">
        <f>IFERROR((IF(VLOOKUP(A676,'ECN-ECO_DATA'!B:Q,16,FALSE)="","",VLOOKUP(A676,'ECN-ECO_DATA'!B:Q,16,FALSE))),"")</f>
        <v/>
      </c>
      <c r="M676" s="9" t="str">
        <f>IFERROR((IF(VLOOKUP(A676,'ECN-ECO_DATA'!B:V,18,FALSE)=0/1/1900,"",VLOOKUP(A676,'ECN-ECO_DATA'!B:V,18,FALSE))),"")</f>
        <v/>
      </c>
      <c r="N676" s="9" t="str">
        <f>IFERROR((IF(VLOOKUP(A676,'ECN-ECO_DATA'!B:V,19,FALSE)=0/1/1900,"",VLOOKUP(A676,'ECN-ECO_DATA'!B:V,19,FALSE))),"")</f>
        <v/>
      </c>
      <c r="O676" s="9" t="str">
        <f>IFERROR((IF(VLOOKUP(A676,'ECN-ECO_DATA'!B:V,20,FALSE)=0/1/1900,"",VLOOKUP(A676,'ECN-ECO_DATA'!B:V,20,FALSE))),"")</f>
        <v/>
      </c>
      <c r="P676" s="9" t="str">
        <f>IFERROR((IF(VLOOKUP(A676,'ECN-ECO_DATA'!B:V,21,FALSE)=0/1/1900,"",VLOOKUP(A676,'ECN-ECO_DATA'!B:V,21,FALSE))),"")</f>
        <v/>
      </c>
      <c r="Q676" s="10" t="str">
        <f t="shared" ca="1" si="50"/>
        <v/>
      </c>
      <c r="R676" s="4" t="str">
        <f t="shared" si="51"/>
        <v/>
      </c>
      <c r="S676" s="4" t="str">
        <f t="shared" si="52"/>
        <v/>
      </c>
      <c r="T676" s="4" t="str">
        <f t="shared" si="53"/>
        <v/>
      </c>
      <c r="U676" s="10" t="str">
        <f t="shared" si="54"/>
        <v/>
      </c>
      <c r="V676" s="4"/>
    </row>
    <row r="677" spans="2:22" x14ac:dyDescent="0.25">
      <c r="B677" s="4" t="str">
        <f>IFERROR(VLOOKUP(A677,'ECN-ECO_DATA'!B:G,4,FALSE),"")</f>
        <v/>
      </c>
      <c r="C677" s="9" t="str">
        <f>IFERROR(VLOOKUP(A677,'ECN-ECO_DATA'!B:G,5,FALSE),"")</f>
        <v/>
      </c>
      <c r="D677" s="9" t="str">
        <f ca="1">IFERROR((IF(VLOOKUP(A677,'ECN-ECO_DATA'!B:G,6,FALSE)=0/1/1900,TODAY(),VLOOKUP(A677,'ECN-ECO_DATA'!B:G,6,FALSE))),"")</f>
        <v/>
      </c>
      <c r="E677" s="9" t="str">
        <f>IFERROR((IF(VLOOKUP(A677,'ECN-ECO_DATA'!B:G,6,FALSE)=0/1/1900,"",VLOOKUP(A677,'ECN-ECO_DATA'!B:G,6,FALSE))),"")</f>
        <v/>
      </c>
      <c r="F677" s="9" t="str">
        <f>IFERROR((IF(VLOOKUP(A677,'ECN-ECO_DATA'!B:J,7,FALSE)=0/1/1900,"",VLOOKUP(A677,'ECN-ECO_DATA'!B:J,7,FALSE))),"")</f>
        <v/>
      </c>
      <c r="G677" s="9" t="str">
        <f>IFERROR((IF(VLOOKUP(A677,'ECN-ECO_DATA'!B:J,8,FALSE)=0/1/1900,"",VLOOKUP(A677,'ECN-ECO_DATA'!B:J,8,FALSE))),"")</f>
        <v/>
      </c>
      <c r="H677" s="9" t="str">
        <f>IFERROR((IF(VLOOKUP(A677,'ECN-ECO_DATA'!B:J,9,FALSE)=0/1/1900,"",VLOOKUP(A677,'ECN-ECO_DATA'!B:J,9,FALSE))),"")</f>
        <v/>
      </c>
      <c r="I677" s="10" t="str">
        <f>IFERROR((IF(VLOOKUP(A677,'ECN-ECO_DATA'!B:Q,13,FALSE)="","",VLOOKUP(A677,'ECN-ECO_DATA'!B:Q,13,FALSE))),"")</f>
        <v/>
      </c>
      <c r="J677" s="10" t="str">
        <f>IFERROR((IF(VLOOKUP(A677,'ECN-ECO_DATA'!B:Q,14,FALSE)="","",VLOOKUP(A677,'ECN-ECO_DATA'!B:Q,14,FALSE))),"")</f>
        <v/>
      </c>
      <c r="K677" s="10" t="str">
        <f>IFERROR((IF(VLOOKUP(A677,'ECN-ECO_DATA'!B:Q,15,FALSE)="","",VLOOKUP(A677,'ECN-ECO_DATA'!B:Q,15,FALSE))),"")</f>
        <v/>
      </c>
      <c r="L677" s="10" t="str">
        <f>IFERROR((IF(VLOOKUP(A677,'ECN-ECO_DATA'!B:Q,16,FALSE)="","",VLOOKUP(A677,'ECN-ECO_DATA'!B:Q,16,FALSE))),"")</f>
        <v/>
      </c>
      <c r="M677" s="9" t="str">
        <f>IFERROR((IF(VLOOKUP(A677,'ECN-ECO_DATA'!B:V,18,FALSE)=0/1/1900,"",VLOOKUP(A677,'ECN-ECO_DATA'!B:V,18,FALSE))),"")</f>
        <v/>
      </c>
      <c r="N677" s="9" t="str">
        <f>IFERROR((IF(VLOOKUP(A677,'ECN-ECO_DATA'!B:V,19,FALSE)=0/1/1900,"",VLOOKUP(A677,'ECN-ECO_DATA'!B:V,19,FALSE))),"")</f>
        <v/>
      </c>
      <c r="O677" s="9" t="str">
        <f>IFERROR((IF(VLOOKUP(A677,'ECN-ECO_DATA'!B:V,20,FALSE)=0/1/1900,"",VLOOKUP(A677,'ECN-ECO_DATA'!B:V,20,FALSE))),"")</f>
        <v/>
      </c>
      <c r="P677" s="9" t="str">
        <f>IFERROR((IF(VLOOKUP(A677,'ECN-ECO_DATA'!B:V,21,FALSE)=0/1/1900,"",VLOOKUP(A677,'ECN-ECO_DATA'!B:V,21,FALSE))),"")</f>
        <v/>
      </c>
      <c r="Q677" s="10" t="str">
        <f t="shared" ca="1" si="50"/>
        <v/>
      </c>
      <c r="R677" s="4" t="str">
        <f t="shared" si="51"/>
        <v/>
      </c>
      <c r="S677" s="4" t="str">
        <f t="shared" si="52"/>
        <v/>
      </c>
      <c r="T677" s="4" t="str">
        <f t="shared" si="53"/>
        <v/>
      </c>
      <c r="U677" s="10" t="str">
        <f t="shared" si="54"/>
        <v/>
      </c>
      <c r="V677" s="4"/>
    </row>
    <row r="678" spans="2:22" x14ac:dyDescent="0.25">
      <c r="B678" s="4" t="str">
        <f>IFERROR(VLOOKUP(A678,'ECN-ECO_DATA'!B:G,4,FALSE),"")</f>
        <v/>
      </c>
      <c r="C678" s="9" t="str">
        <f>IFERROR(VLOOKUP(A678,'ECN-ECO_DATA'!B:G,5,FALSE),"")</f>
        <v/>
      </c>
      <c r="D678" s="9" t="str">
        <f ca="1">IFERROR((IF(VLOOKUP(A678,'ECN-ECO_DATA'!B:G,6,FALSE)=0/1/1900,TODAY(),VLOOKUP(A678,'ECN-ECO_DATA'!B:G,6,FALSE))),"")</f>
        <v/>
      </c>
      <c r="E678" s="9" t="str">
        <f>IFERROR((IF(VLOOKUP(A678,'ECN-ECO_DATA'!B:G,6,FALSE)=0/1/1900,"",VLOOKUP(A678,'ECN-ECO_DATA'!B:G,6,FALSE))),"")</f>
        <v/>
      </c>
      <c r="F678" s="9" t="str">
        <f>IFERROR((IF(VLOOKUP(A678,'ECN-ECO_DATA'!B:J,7,FALSE)=0/1/1900,"",VLOOKUP(A678,'ECN-ECO_DATA'!B:J,7,FALSE))),"")</f>
        <v/>
      </c>
      <c r="G678" s="9" t="str">
        <f>IFERROR((IF(VLOOKUP(A678,'ECN-ECO_DATA'!B:J,8,FALSE)=0/1/1900,"",VLOOKUP(A678,'ECN-ECO_DATA'!B:J,8,FALSE))),"")</f>
        <v/>
      </c>
      <c r="H678" s="9" t="str">
        <f>IFERROR((IF(VLOOKUP(A678,'ECN-ECO_DATA'!B:J,9,FALSE)=0/1/1900,"",VLOOKUP(A678,'ECN-ECO_DATA'!B:J,9,FALSE))),"")</f>
        <v/>
      </c>
      <c r="I678" s="10" t="str">
        <f>IFERROR((IF(VLOOKUP(A678,'ECN-ECO_DATA'!B:Q,13,FALSE)="","",VLOOKUP(A678,'ECN-ECO_DATA'!B:Q,13,FALSE))),"")</f>
        <v/>
      </c>
      <c r="J678" s="10" t="str">
        <f>IFERROR((IF(VLOOKUP(A678,'ECN-ECO_DATA'!B:Q,14,FALSE)="","",VLOOKUP(A678,'ECN-ECO_DATA'!B:Q,14,FALSE))),"")</f>
        <v/>
      </c>
      <c r="K678" s="10" t="str">
        <f>IFERROR((IF(VLOOKUP(A678,'ECN-ECO_DATA'!B:Q,15,FALSE)="","",VLOOKUP(A678,'ECN-ECO_DATA'!B:Q,15,FALSE))),"")</f>
        <v/>
      </c>
      <c r="L678" s="10" t="str">
        <f>IFERROR((IF(VLOOKUP(A678,'ECN-ECO_DATA'!B:Q,16,FALSE)="","",VLOOKUP(A678,'ECN-ECO_DATA'!B:Q,16,FALSE))),"")</f>
        <v/>
      </c>
      <c r="M678" s="9" t="str">
        <f>IFERROR((IF(VLOOKUP(A678,'ECN-ECO_DATA'!B:V,18,FALSE)=0/1/1900,"",VLOOKUP(A678,'ECN-ECO_DATA'!B:V,18,FALSE))),"")</f>
        <v/>
      </c>
      <c r="N678" s="9" t="str">
        <f>IFERROR((IF(VLOOKUP(A678,'ECN-ECO_DATA'!B:V,19,FALSE)=0/1/1900,"",VLOOKUP(A678,'ECN-ECO_DATA'!B:V,19,FALSE))),"")</f>
        <v/>
      </c>
      <c r="O678" s="9" t="str">
        <f>IFERROR((IF(VLOOKUP(A678,'ECN-ECO_DATA'!B:V,20,FALSE)=0/1/1900,"",VLOOKUP(A678,'ECN-ECO_DATA'!B:V,20,FALSE))),"")</f>
        <v/>
      </c>
      <c r="P678" s="9" t="str">
        <f>IFERROR((IF(VLOOKUP(A678,'ECN-ECO_DATA'!B:V,21,FALSE)=0/1/1900,"",VLOOKUP(A678,'ECN-ECO_DATA'!B:V,21,FALSE))),"")</f>
        <v/>
      </c>
      <c r="Q678" s="10" t="str">
        <f t="shared" ca="1" si="50"/>
        <v/>
      </c>
      <c r="R678" s="4" t="str">
        <f t="shared" si="51"/>
        <v/>
      </c>
      <c r="S678" s="4" t="str">
        <f t="shared" si="52"/>
        <v/>
      </c>
      <c r="T678" s="4" t="str">
        <f t="shared" si="53"/>
        <v/>
      </c>
      <c r="U678" s="10" t="str">
        <f t="shared" si="54"/>
        <v/>
      </c>
      <c r="V678" s="4"/>
    </row>
    <row r="679" spans="2:22" x14ac:dyDescent="0.25">
      <c r="B679" s="4" t="str">
        <f>IFERROR(VLOOKUP(A679,'ECN-ECO_DATA'!B:G,4,FALSE),"")</f>
        <v/>
      </c>
      <c r="C679" s="9" t="str">
        <f>IFERROR(VLOOKUP(A679,'ECN-ECO_DATA'!B:G,5,FALSE),"")</f>
        <v/>
      </c>
      <c r="D679" s="9" t="str">
        <f ca="1">IFERROR((IF(VLOOKUP(A679,'ECN-ECO_DATA'!B:G,6,FALSE)=0/1/1900,TODAY(),VLOOKUP(A679,'ECN-ECO_DATA'!B:G,6,FALSE))),"")</f>
        <v/>
      </c>
      <c r="E679" s="9" t="str">
        <f>IFERROR((IF(VLOOKUP(A679,'ECN-ECO_DATA'!B:G,6,FALSE)=0/1/1900,"",VLOOKUP(A679,'ECN-ECO_DATA'!B:G,6,FALSE))),"")</f>
        <v/>
      </c>
      <c r="F679" s="9" t="str">
        <f>IFERROR((IF(VLOOKUP(A679,'ECN-ECO_DATA'!B:J,7,FALSE)=0/1/1900,"",VLOOKUP(A679,'ECN-ECO_DATA'!B:J,7,FALSE))),"")</f>
        <v/>
      </c>
      <c r="G679" s="9" t="str">
        <f>IFERROR((IF(VLOOKUP(A679,'ECN-ECO_DATA'!B:J,8,FALSE)=0/1/1900,"",VLOOKUP(A679,'ECN-ECO_DATA'!B:J,8,FALSE))),"")</f>
        <v/>
      </c>
      <c r="H679" s="9" t="str">
        <f>IFERROR((IF(VLOOKUP(A679,'ECN-ECO_DATA'!B:J,9,FALSE)=0/1/1900,"",VLOOKUP(A679,'ECN-ECO_DATA'!B:J,9,FALSE))),"")</f>
        <v/>
      </c>
      <c r="I679" s="10" t="str">
        <f>IFERROR((IF(VLOOKUP(A679,'ECN-ECO_DATA'!B:Q,13,FALSE)="","",VLOOKUP(A679,'ECN-ECO_DATA'!B:Q,13,FALSE))),"")</f>
        <v/>
      </c>
      <c r="J679" s="10" t="str">
        <f>IFERROR((IF(VLOOKUP(A679,'ECN-ECO_DATA'!B:Q,14,FALSE)="","",VLOOKUP(A679,'ECN-ECO_DATA'!B:Q,14,FALSE))),"")</f>
        <v/>
      </c>
      <c r="K679" s="10" t="str">
        <f>IFERROR((IF(VLOOKUP(A679,'ECN-ECO_DATA'!B:Q,15,FALSE)="","",VLOOKUP(A679,'ECN-ECO_DATA'!B:Q,15,FALSE))),"")</f>
        <v/>
      </c>
      <c r="L679" s="10" t="str">
        <f>IFERROR((IF(VLOOKUP(A679,'ECN-ECO_DATA'!B:Q,16,FALSE)="","",VLOOKUP(A679,'ECN-ECO_DATA'!B:Q,16,FALSE))),"")</f>
        <v/>
      </c>
      <c r="M679" s="9" t="str">
        <f>IFERROR((IF(VLOOKUP(A679,'ECN-ECO_DATA'!B:V,18,FALSE)=0/1/1900,"",VLOOKUP(A679,'ECN-ECO_DATA'!B:V,18,FALSE))),"")</f>
        <v/>
      </c>
      <c r="N679" s="9" t="str">
        <f>IFERROR((IF(VLOOKUP(A679,'ECN-ECO_DATA'!B:V,19,FALSE)=0/1/1900,"",VLOOKUP(A679,'ECN-ECO_DATA'!B:V,19,FALSE))),"")</f>
        <v/>
      </c>
      <c r="O679" s="9" t="str">
        <f>IFERROR((IF(VLOOKUP(A679,'ECN-ECO_DATA'!B:V,20,FALSE)=0/1/1900,"",VLOOKUP(A679,'ECN-ECO_DATA'!B:V,20,FALSE))),"")</f>
        <v/>
      </c>
      <c r="P679" s="9" t="str">
        <f>IFERROR((IF(VLOOKUP(A679,'ECN-ECO_DATA'!B:V,21,FALSE)=0/1/1900,"",VLOOKUP(A679,'ECN-ECO_DATA'!B:V,21,FALSE))),"")</f>
        <v/>
      </c>
      <c r="Q679" s="10" t="str">
        <f t="shared" ca="1" si="50"/>
        <v/>
      </c>
      <c r="R679" s="4" t="str">
        <f t="shared" si="51"/>
        <v/>
      </c>
      <c r="S679" s="4" t="str">
        <f t="shared" si="52"/>
        <v/>
      </c>
      <c r="T679" s="4" t="str">
        <f t="shared" si="53"/>
        <v/>
      </c>
      <c r="U679" s="10" t="str">
        <f t="shared" si="54"/>
        <v/>
      </c>
      <c r="V679" s="4"/>
    </row>
    <row r="680" spans="2:22" x14ac:dyDescent="0.25">
      <c r="B680" s="4" t="str">
        <f>IFERROR(VLOOKUP(A680,'ECN-ECO_DATA'!B:G,4,FALSE),"")</f>
        <v/>
      </c>
      <c r="C680" s="9" t="str">
        <f>IFERROR(VLOOKUP(A680,'ECN-ECO_DATA'!B:G,5,FALSE),"")</f>
        <v/>
      </c>
      <c r="D680" s="9" t="str">
        <f ca="1">IFERROR((IF(VLOOKUP(A680,'ECN-ECO_DATA'!B:G,6,FALSE)=0/1/1900,TODAY(),VLOOKUP(A680,'ECN-ECO_DATA'!B:G,6,FALSE))),"")</f>
        <v/>
      </c>
      <c r="E680" s="9" t="str">
        <f>IFERROR((IF(VLOOKUP(A680,'ECN-ECO_DATA'!B:G,6,FALSE)=0/1/1900,"",VLOOKUP(A680,'ECN-ECO_DATA'!B:G,6,FALSE))),"")</f>
        <v/>
      </c>
      <c r="F680" s="9" t="str">
        <f>IFERROR((IF(VLOOKUP(A680,'ECN-ECO_DATA'!B:J,7,FALSE)=0/1/1900,"",VLOOKUP(A680,'ECN-ECO_DATA'!B:J,7,FALSE))),"")</f>
        <v/>
      </c>
      <c r="G680" s="9" t="str">
        <f>IFERROR((IF(VLOOKUP(A680,'ECN-ECO_DATA'!B:J,8,FALSE)=0/1/1900,"",VLOOKUP(A680,'ECN-ECO_DATA'!B:J,8,FALSE))),"")</f>
        <v/>
      </c>
      <c r="H680" s="9" t="str">
        <f>IFERROR((IF(VLOOKUP(A680,'ECN-ECO_DATA'!B:J,9,FALSE)=0/1/1900,"",VLOOKUP(A680,'ECN-ECO_DATA'!B:J,9,FALSE))),"")</f>
        <v/>
      </c>
      <c r="I680" s="10" t="str">
        <f>IFERROR((IF(VLOOKUP(A680,'ECN-ECO_DATA'!B:Q,13,FALSE)="","",VLOOKUP(A680,'ECN-ECO_DATA'!B:Q,13,FALSE))),"")</f>
        <v/>
      </c>
      <c r="J680" s="10" t="str">
        <f>IFERROR((IF(VLOOKUP(A680,'ECN-ECO_DATA'!B:Q,14,FALSE)="","",VLOOKUP(A680,'ECN-ECO_DATA'!B:Q,14,FALSE))),"")</f>
        <v/>
      </c>
      <c r="K680" s="10" t="str">
        <f>IFERROR((IF(VLOOKUP(A680,'ECN-ECO_DATA'!B:Q,15,FALSE)="","",VLOOKUP(A680,'ECN-ECO_DATA'!B:Q,15,FALSE))),"")</f>
        <v/>
      </c>
      <c r="L680" s="10" t="str">
        <f>IFERROR((IF(VLOOKUP(A680,'ECN-ECO_DATA'!B:Q,16,FALSE)="","",VLOOKUP(A680,'ECN-ECO_DATA'!B:Q,16,FALSE))),"")</f>
        <v/>
      </c>
      <c r="M680" s="9" t="str">
        <f>IFERROR((IF(VLOOKUP(A680,'ECN-ECO_DATA'!B:V,18,FALSE)=0/1/1900,"",VLOOKUP(A680,'ECN-ECO_DATA'!B:V,18,FALSE))),"")</f>
        <v/>
      </c>
      <c r="N680" s="9" t="str">
        <f>IFERROR((IF(VLOOKUP(A680,'ECN-ECO_DATA'!B:V,19,FALSE)=0/1/1900,"",VLOOKUP(A680,'ECN-ECO_DATA'!B:V,19,FALSE))),"")</f>
        <v/>
      </c>
      <c r="O680" s="9" t="str">
        <f>IFERROR((IF(VLOOKUP(A680,'ECN-ECO_DATA'!B:V,20,FALSE)=0/1/1900,"",VLOOKUP(A680,'ECN-ECO_DATA'!B:V,20,FALSE))),"")</f>
        <v/>
      </c>
      <c r="P680" s="9" t="str">
        <f>IFERROR((IF(VLOOKUP(A680,'ECN-ECO_DATA'!B:V,21,FALSE)=0/1/1900,"",VLOOKUP(A680,'ECN-ECO_DATA'!B:V,21,FALSE))),"")</f>
        <v/>
      </c>
      <c r="Q680" s="10" t="str">
        <f t="shared" ca="1" si="50"/>
        <v/>
      </c>
      <c r="R680" s="4" t="str">
        <f t="shared" si="51"/>
        <v/>
      </c>
      <c r="S680" s="4" t="str">
        <f t="shared" si="52"/>
        <v/>
      </c>
      <c r="T680" s="4" t="str">
        <f t="shared" si="53"/>
        <v/>
      </c>
      <c r="U680" s="10" t="str">
        <f t="shared" si="54"/>
        <v/>
      </c>
      <c r="V680" s="4"/>
    </row>
    <row r="681" spans="2:22" x14ac:dyDescent="0.25">
      <c r="B681" s="4" t="str">
        <f>IFERROR(VLOOKUP(A681,'ECN-ECO_DATA'!B:G,4,FALSE),"")</f>
        <v/>
      </c>
      <c r="C681" s="9" t="str">
        <f>IFERROR(VLOOKUP(A681,'ECN-ECO_DATA'!B:G,5,FALSE),"")</f>
        <v/>
      </c>
      <c r="D681" s="9" t="str">
        <f ca="1">IFERROR((IF(VLOOKUP(A681,'ECN-ECO_DATA'!B:G,6,FALSE)=0/1/1900,TODAY(),VLOOKUP(A681,'ECN-ECO_DATA'!B:G,6,FALSE))),"")</f>
        <v/>
      </c>
      <c r="E681" s="9" t="str">
        <f>IFERROR((IF(VLOOKUP(A681,'ECN-ECO_DATA'!B:G,6,FALSE)=0/1/1900,"",VLOOKUP(A681,'ECN-ECO_DATA'!B:G,6,FALSE))),"")</f>
        <v/>
      </c>
      <c r="F681" s="9" t="str">
        <f>IFERROR((IF(VLOOKUP(A681,'ECN-ECO_DATA'!B:J,7,FALSE)=0/1/1900,"",VLOOKUP(A681,'ECN-ECO_DATA'!B:J,7,FALSE))),"")</f>
        <v/>
      </c>
      <c r="G681" s="9" t="str">
        <f>IFERROR((IF(VLOOKUP(A681,'ECN-ECO_DATA'!B:J,8,FALSE)=0/1/1900,"",VLOOKUP(A681,'ECN-ECO_DATA'!B:J,8,FALSE))),"")</f>
        <v/>
      </c>
      <c r="H681" s="9" t="str">
        <f>IFERROR((IF(VLOOKUP(A681,'ECN-ECO_DATA'!B:J,9,FALSE)=0/1/1900,"",VLOOKUP(A681,'ECN-ECO_DATA'!B:J,9,FALSE))),"")</f>
        <v/>
      </c>
      <c r="I681" s="10" t="str">
        <f>IFERROR((IF(VLOOKUP(A681,'ECN-ECO_DATA'!B:Q,13,FALSE)="","",VLOOKUP(A681,'ECN-ECO_DATA'!B:Q,13,FALSE))),"")</f>
        <v/>
      </c>
      <c r="J681" s="10" t="str">
        <f>IFERROR((IF(VLOOKUP(A681,'ECN-ECO_DATA'!B:Q,14,FALSE)="","",VLOOKUP(A681,'ECN-ECO_DATA'!B:Q,14,FALSE))),"")</f>
        <v/>
      </c>
      <c r="K681" s="10" t="str">
        <f>IFERROR((IF(VLOOKUP(A681,'ECN-ECO_DATA'!B:Q,15,FALSE)="","",VLOOKUP(A681,'ECN-ECO_DATA'!B:Q,15,FALSE))),"")</f>
        <v/>
      </c>
      <c r="L681" s="10" t="str">
        <f>IFERROR((IF(VLOOKUP(A681,'ECN-ECO_DATA'!B:Q,16,FALSE)="","",VLOOKUP(A681,'ECN-ECO_DATA'!B:Q,16,FALSE))),"")</f>
        <v/>
      </c>
      <c r="M681" s="9" t="str">
        <f>IFERROR((IF(VLOOKUP(A681,'ECN-ECO_DATA'!B:V,18,FALSE)=0/1/1900,"",VLOOKUP(A681,'ECN-ECO_DATA'!B:V,18,FALSE))),"")</f>
        <v/>
      </c>
      <c r="N681" s="9" t="str">
        <f>IFERROR((IF(VLOOKUP(A681,'ECN-ECO_DATA'!B:V,19,FALSE)=0/1/1900,"",VLOOKUP(A681,'ECN-ECO_DATA'!B:V,19,FALSE))),"")</f>
        <v/>
      </c>
      <c r="O681" s="9" t="str">
        <f>IFERROR((IF(VLOOKUP(A681,'ECN-ECO_DATA'!B:V,20,FALSE)=0/1/1900,"",VLOOKUP(A681,'ECN-ECO_DATA'!B:V,20,FALSE))),"")</f>
        <v/>
      </c>
      <c r="P681" s="9" t="str">
        <f>IFERROR((IF(VLOOKUP(A681,'ECN-ECO_DATA'!B:V,21,FALSE)=0/1/1900,"",VLOOKUP(A681,'ECN-ECO_DATA'!B:V,21,FALSE))),"")</f>
        <v/>
      </c>
      <c r="Q681" s="10" t="str">
        <f t="shared" ca="1" si="50"/>
        <v/>
      </c>
      <c r="R681" s="4" t="str">
        <f t="shared" si="51"/>
        <v/>
      </c>
      <c r="S681" s="4" t="str">
        <f t="shared" si="52"/>
        <v/>
      </c>
      <c r="T681" s="4" t="str">
        <f t="shared" si="53"/>
        <v/>
      </c>
      <c r="U681" s="10" t="str">
        <f t="shared" si="54"/>
        <v/>
      </c>
      <c r="V681" s="4"/>
    </row>
    <row r="682" spans="2:22" x14ac:dyDescent="0.25">
      <c r="B682" s="4" t="str">
        <f>IFERROR(VLOOKUP(A682,'ECN-ECO_DATA'!B:G,4,FALSE),"")</f>
        <v/>
      </c>
      <c r="C682" s="9" t="str">
        <f>IFERROR(VLOOKUP(A682,'ECN-ECO_DATA'!B:G,5,FALSE),"")</f>
        <v/>
      </c>
      <c r="D682" s="9" t="str">
        <f ca="1">IFERROR((IF(VLOOKUP(A682,'ECN-ECO_DATA'!B:G,6,FALSE)=0/1/1900,TODAY(),VLOOKUP(A682,'ECN-ECO_DATA'!B:G,6,FALSE))),"")</f>
        <v/>
      </c>
      <c r="E682" s="9" t="str">
        <f>IFERROR((IF(VLOOKUP(A682,'ECN-ECO_DATA'!B:G,6,FALSE)=0/1/1900,"",VLOOKUP(A682,'ECN-ECO_DATA'!B:G,6,FALSE))),"")</f>
        <v/>
      </c>
      <c r="F682" s="9" t="str">
        <f>IFERROR((IF(VLOOKUP(A682,'ECN-ECO_DATA'!B:J,7,FALSE)=0/1/1900,"",VLOOKUP(A682,'ECN-ECO_DATA'!B:J,7,FALSE))),"")</f>
        <v/>
      </c>
      <c r="G682" s="9" t="str">
        <f>IFERROR((IF(VLOOKUP(A682,'ECN-ECO_DATA'!B:J,8,FALSE)=0/1/1900,"",VLOOKUP(A682,'ECN-ECO_DATA'!B:J,8,FALSE))),"")</f>
        <v/>
      </c>
      <c r="H682" s="9" t="str">
        <f>IFERROR((IF(VLOOKUP(A682,'ECN-ECO_DATA'!B:J,9,FALSE)=0/1/1900,"",VLOOKUP(A682,'ECN-ECO_DATA'!B:J,9,FALSE))),"")</f>
        <v/>
      </c>
      <c r="I682" s="10" t="str">
        <f>IFERROR((IF(VLOOKUP(A682,'ECN-ECO_DATA'!B:Q,13,FALSE)="","",VLOOKUP(A682,'ECN-ECO_DATA'!B:Q,13,FALSE))),"")</f>
        <v/>
      </c>
      <c r="J682" s="10" t="str">
        <f>IFERROR((IF(VLOOKUP(A682,'ECN-ECO_DATA'!B:Q,14,FALSE)="","",VLOOKUP(A682,'ECN-ECO_DATA'!B:Q,14,FALSE))),"")</f>
        <v/>
      </c>
      <c r="K682" s="10" t="str">
        <f>IFERROR((IF(VLOOKUP(A682,'ECN-ECO_DATA'!B:Q,15,FALSE)="","",VLOOKUP(A682,'ECN-ECO_DATA'!B:Q,15,FALSE))),"")</f>
        <v/>
      </c>
      <c r="L682" s="10" t="str">
        <f>IFERROR((IF(VLOOKUP(A682,'ECN-ECO_DATA'!B:Q,16,FALSE)="","",VLOOKUP(A682,'ECN-ECO_DATA'!B:Q,16,FALSE))),"")</f>
        <v/>
      </c>
      <c r="M682" s="9" t="str">
        <f>IFERROR((IF(VLOOKUP(A682,'ECN-ECO_DATA'!B:V,18,FALSE)=0/1/1900,"",VLOOKUP(A682,'ECN-ECO_DATA'!B:V,18,FALSE))),"")</f>
        <v/>
      </c>
      <c r="N682" s="9" t="str">
        <f>IFERROR((IF(VLOOKUP(A682,'ECN-ECO_DATA'!B:V,19,FALSE)=0/1/1900,"",VLOOKUP(A682,'ECN-ECO_DATA'!B:V,19,FALSE))),"")</f>
        <v/>
      </c>
      <c r="O682" s="9" t="str">
        <f>IFERROR((IF(VLOOKUP(A682,'ECN-ECO_DATA'!B:V,20,FALSE)=0/1/1900,"",VLOOKUP(A682,'ECN-ECO_DATA'!B:V,20,FALSE))),"")</f>
        <v/>
      </c>
      <c r="P682" s="9" t="str">
        <f>IFERROR((IF(VLOOKUP(A682,'ECN-ECO_DATA'!B:V,21,FALSE)=0/1/1900,"",VLOOKUP(A682,'ECN-ECO_DATA'!B:V,21,FALSE))),"")</f>
        <v/>
      </c>
      <c r="Q682" s="10" t="str">
        <f t="shared" ca="1" si="50"/>
        <v/>
      </c>
      <c r="R682" s="4" t="str">
        <f t="shared" si="51"/>
        <v/>
      </c>
      <c r="S682" s="4" t="str">
        <f t="shared" si="52"/>
        <v/>
      </c>
      <c r="T682" s="4" t="str">
        <f t="shared" si="53"/>
        <v/>
      </c>
      <c r="U682" s="10" t="str">
        <f t="shared" si="54"/>
        <v/>
      </c>
      <c r="V682" s="4"/>
    </row>
    <row r="683" spans="2:22" x14ac:dyDescent="0.25">
      <c r="B683" s="4" t="str">
        <f>IFERROR(VLOOKUP(A683,'ECN-ECO_DATA'!B:G,4,FALSE),"")</f>
        <v/>
      </c>
      <c r="C683" s="9" t="str">
        <f>IFERROR(VLOOKUP(A683,'ECN-ECO_DATA'!B:G,5,FALSE),"")</f>
        <v/>
      </c>
      <c r="D683" s="9" t="str">
        <f ca="1">IFERROR((IF(VLOOKUP(A683,'ECN-ECO_DATA'!B:G,6,FALSE)=0/1/1900,TODAY(),VLOOKUP(A683,'ECN-ECO_DATA'!B:G,6,FALSE))),"")</f>
        <v/>
      </c>
      <c r="E683" s="9" t="str">
        <f>IFERROR((IF(VLOOKUP(A683,'ECN-ECO_DATA'!B:G,6,FALSE)=0/1/1900,"",VLOOKUP(A683,'ECN-ECO_DATA'!B:G,6,FALSE))),"")</f>
        <v/>
      </c>
      <c r="F683" s="9" t="str">
        <f>IFERROR((IF(VLOOKUP(A683,'ECN-ECO_DATA'!B:J,7,FALSE)=0/1/1900,"",VLOOKUP(A683,'ECN-ECO_DATA'!B:J,7,FALSE))),"")</f>
        <v/>
      </c>
      <c r="G683" s="9" t="str">
        <f>IFERROR((IF(VLOOKUP(A683,'ECN-ECO_DATA'!B:J,8,FALSE)=0/1/1900,"",VLOOKUP(A683,'ECN-ECO_DATA'!B:J,8,FALSE))),"")</f>
        <v/>
      </c>
      <c r="H683" s="9" t="str">
        <f>IFERROR((IF(VLOOKUP(A683,'ECN-ECO_DATA'!B:J,9,FALSE)=0/1/1900,"",VLOOKUP(A683,'ECN-ECO_DATA'!B:J,9,FALSE))),"")</f>
        <v/>
      </c>
      <c r="I683" s="10" t="str">
        <f>IFERROR((IF(VLOOKUP(A683,'ECN-ECO_DATA'!B:Q,13,FALSE)="","",VLOOKUP(A683,'ECN-ECO_DATA'!B:Q,13,FALSE))),"")</f>
        <v/>
      </c>
      <c r="J683" s="10" t="str">
        <f>IFERROR((IF(VLOOKUP(A683,'ECN-ECO_DATA'!B:Q,14,FALSE)="","",VLOOKUP(A683,'ECN-ECO_DATA'!B:Q,14,FALSE))),"")</f>
        <v/>
      </c>
      <c r="K683" s="10" t="str">
        <f>IFERROR((IF(VLOOKUP(A683,'ECN-ECO_DATA'!B:Q,15,FALSE)="","",VLOOKUP(A683,'ECN-ECO_DATA'!B:Q,15,FALSE))),"")</f>
        <v/>
      </c>
      <c r="L683" s="10" t="str">
        <f>IFERROR((IF(VLOOKUP(A683,'ECN-ECO_DATA'!B:Q,16,FALSE)="","",VLOOKUP(A683,'ECN-ECO_DATA'!B:Q,16,FALSE))),"")</f>
        <v/>
      </c>
      <c r="M683" s="9" t="str">
        <f>IFERROR((IF(VLOOKUP(A683,'ECN-ECO_DATA'!B:V,18,FALSE)=0/1/1900,"",VLOOKUP(A683,'ECN-ECO_DATA'!B:V,18,FALSE))),"")</f>
        <v/>
      </c>
      <c r="N683" s="9" t="str">
        <f>IFERROR((IF(VLOOKUP(A683,'ECN-ECO_DATA'!B:V,19,FALSE)=0/1/1900,"",VLOOKUP(A683,'ECN-ECO_DATA'!B:V,19,FALSE))),"")</f>
        <v/>
      </c>
      <c r="O683" s="9" t="str">
        <f>IFERROR((IF(VLOOKUP(A683,'ECN-ECO_DATA'!B:V,20,FALSE)=0/1/1900,"",VLOOKUP(A683,'ECN-ECO_DATA'!B:V,20,FALSE))),"")</f>
        <v/>
      </c>
      <c r="P683" s="9" t="str">
        <f>IFERROR((IF(VLOOKUP(A683,'ECN-ECO_DATA'!B:V,21,FALSE)=0/1/1900,"",VLOOKUP(A683,'ECN-ECO_DATA'!B:V,21,FALSE))),"")</f>
        <v/>
      </c>
      <c r="Q683" s="10" t="str">
        <f t="shared" ca="1" si="50"/>
        <v/>
      </c>
      <c r="R683" s="4" t="str">
        <f t="shared" si="51"/>
        <v/>
      </c>
      <c r="S683" s="4" t="str">
        <f t="shared" si="52"/>
        <v/>
      </c>
      <c r="T683" s="4" t="str">
        <f t="shared" si="53"/>
        <v/>
      </c>
      <c r="U683" s="10" t="str">
        <f t="shared" si="54"/>
        <v/>
      </c>
      <c r="V683" s="4"/>
    </row>
    <row r="684" spans="2:22" x14ac:dyDescent="0.25">
      <c r="B684" s="4" t="str">
        <f>IFERROR(VLOOKUP(A684,'ECN-ECO_DATA'!B:G,4,FALSE),"")</f>
        <v/>
      </c>
      <c r="C684" s="9" t="str">
        <f>IFERROR(VLOOKUP(A684,'ECN-ECO_DATA'!B:G,5,FALSE),"")</f>
        <v/>
      </c>
      <c r="D684" s="9" t="str">
        <f ca="1">IFERROR((IF(VLOOKUP(A684,'ECN-ECO_DATA'!B:G,6,FALSE)=0/1/1900,TODAY(),VLOOKUP(A684,'ECN-ECO_DATA'!B:G,6,FALSE))),"")</f>
        <v/>
      </c>
      <c r="E684" s="9" t="str">
        <f>IFERROR((IF(VLOOKUP(A684,'ECN-ECO_DATA'!B:G,6,FALSE)=0/1/1900,"",VLOOKUP(A684,'ECN-ECO_DATA'!B:G,6,FALSE))),"")</f>
        <v/>
      </c>
      <c r="F684" s="9" t="str">
        <f>IFERROR((IF(VLOOKUP(A684,'ECN-ECO_DATA'!B:J,7,FALSE)=0/1/1900,"",VLOOKUP(A684,'ECN-ECO_DATA'!B:J,7,FALSE))),"")</f>
        <v/>
      </c>
      <c r="G684" s="9" t="str">
        <f>IFERROR((IF(VLOOKUP(A684,'ECN-ECO_DATA'!B:J,8,FALSE)=0/1/1900,"",VLOOKUP(A684,'ECN-ECO_DATA'!B:J,8,FALSE))),"")</f>
        <v/>
      </c>
      <c r="H684" s="9" t="str">
        <f>IFERROR((IF(VLOOKUP(A684,'ECN-ECO_DATA'!B:J,9,FALSE)=0/1/1900,"",VLOOKUP(A684,'ECN-ECO_DATA'!B:J,9,FALSE))),"")</f>
        <v/>
      </c>
      <c r="I684" s="10" t="str">
        <f>IFERROR((IF(VLOOKUP(A684,'ECN-ECO_DATA'!B:Q,13,FALSE)="","",VLOOKUP(A684,'ECN-ECO_DATA'!B:Q,13,FALSE))),"")</f>
        <v/>
      </c>
      <c r="J684" s="10" t="str">
        <f>IFERROR((IF(VLOOKUP(A684,'ECN-ECO_DATA'!B:Q,14,FALSE)="","",VLOOKUP(A684,'ECN-ECO_DATA'!B:Q,14,FALSE))),"")</f>
        <v/>
      </c>
      <c r="K684" s="10" t="str">
        <f>IFERROR((IF(VLOOKUP(A684,'ECN-ECO_DATA'!B:Q,15,FALSE)="","",VLOOKUP(A684,'ECN-ECO_DATA'!B:Q,15,FALSE))),"")</f>
        <v/>
      </c>
      <c r="L684" s="10" t="str">
        <f>IFERROR((IF(VLOOKUP(A684,'ECN-ECO_DATA'!B:Q,16,FALSE)="","",VLOOKUP(A684,'ECN-ECO_DATA'!B:Q,16,FALSE))),"")</f>
        <v/>
      </c>
      <c r="M684" s="9" t="str">
        <f>IFERROR((IF(VLOOKUP(A684,'ECN-ECO_DATA'!B:V,18,FALSE)=0/1/1900,"",VLOOKUP(A684,'ECN-ECO_DATA'!B:V,18,FALSE))),"")</f>
        <v/>
      </c>
      <c r="N684" s="9" t="str">
        <f>IFERROR((IF(VLOOKUP(A684,'ECN-ECO_DATA'!B:V,19,FALSE)=0/1/1900,"",VLOOKUP(A684,'ECN-ECO_DATA'!B:V,19,FALSE))),"")</f>
        <v/>
      </c>
      <c r="O684" s="9" t="str">
        <f>IFERROR((IF(VLOOKUP(A684,'ECN-ECO_DATA'!B:V,20,FALSE)=0/1/1900,"",VLOOKUP(A684,'ECN-ECO_DATA'!B:V,20,FALSE))),"")</f>
        <v/>
      </c>
      <c r="P684" s="9" t="str">
        <f>IFERROR((IF(VLOOKUP(A684,'ECN-ECO_DATA'!B:V,21,FALSE)=0/1/1900,"",VLOOKUP(A684,'ECN-ECO_DATA'!B:V,21,FALSE))),"")</f>
        <v/>
      </c>
      <c r="Q684" s="10" t="str">
        <f t="shared" ca="1" si="50"/>
        <v/>
      </c>
      <c r="R684" s="4" t="str">
        <f t="shared" si="51"/>
        <v/>
      </c>
      <c r="S684" s="4" t="str">
        <f t="shared" si="52"/>
        <v/>
      </c>
      <c r="T684" s="4" t="str">
        <f t="shared" si="53"/>
        <v/>
      </c>
      <c r="U684" s="10" t="str">
        <f t="shared" si="54"/>
        <v/>
      </c>
      <c r="V684" s="4"/>
    </row>
    <row r="685" spans="2:22" x14ac:dyDescent="0.25">
      <c r="B685" s="4" t="str">
        <f>IFERROR(VLOOKUP(A685,'ECN-ECO_DATA'!B:G,4,FALSE),"")</f>
        <v/>
      </c>
      <c r="C685" s="9" t="str">
        <f>IFERROR(VLOOKUP(A685,'ECN-ECO_DATA'!B:G,5,FALSE),"")</f>
        <v/>
      </c>
      <c r="D685" s="9" t="str">
        <f ca="1">IFERROR((IF(VLOOKUP(A685,'ECN-ECO_DATA'!B:G,6,FALSE)=0/1/1900,TODAY(),VLOOKUP(A685,'ECN-ECO_DATA'!B:G,6,FALSE))),"")</f>
        <v/>
      </c>
      <c r="E685" s="9" t="str">
        <f>IFERROR((IF(VLOOKUP(A685,'ECN-ECO_DATA'!B:G,6,FALSE)=0/1/1900,"",VLOOKUP(A685,'ECN-ECO_DATA'!B:G,6,FALSE))),"")</f>
        <v/>
      </c>
      <c r="F685" s="9" t="str">
        <f>IFERROR((IF(VLOOKUP(A685,'ECN-ECO_DATA'!B:J,7,FALSE)=0/1/1900,"",VLOOKUP(A685,'ECN-ECO_DATA'!B:J,7,FALSE))),"")</f>
        <v/>
      </c>
      <c r="G685" s="9" t="str">
        <f>IFERROR((IF(VLOOKUP(A685,'ECN-ECO_DATA'!B:J,8,FALSE)=0/1/1900,"",VLOOKUP(A685,'ECN-ECO_DATA'!B:J,8,FALSE))),"")</f>
        <v/>
      </c>
      <c r="H685" s="9" t="str">
        <f>IFERROR((IF(VLOOKUP(A685,'ECN-ECO_DATA'!B:J,9,FALSE)=0/1/1900,"",VLOOKUP(A685,'ECN-ECO_DATA'!B:J,9,FALSE))),"")</f>
        <v/>
      </c>
      <c r="I685" s="10" t="str">
        <f>IFERROR((IF(VLOOKUP(A685,'ECN-ECO_DATA'!B:Q,13,FALSE)="","",VLOOKUP(A685,'ECN-ECO_DATA'!B:Q,13,FALSE))),"")</f>
        <v/>
      </c>
      <c r="J685" s="10" t="str">
        <f>IFERROR((IF(VLOOKUP(A685,'ECN-ECO_DATA'!B:Q,14,FALSE)="","",VLOOKUP(A685,'ECN-ECO_DATA'!B:Q,14,FALSE))),"")</f>
        <v/>
      </c>
      <c r="K685" s="10" t="str">
        <f>IFERROR((IF(VLOOKUP(A685,'ECN-ECO_DATA'!B:Q,15,FALSE)="","",VLOOKUP(A685,'ECN-ECO_DATA'!B:Q,15,FALSE))),"")</f>
        <v/>
      </c>
      <c r="L685" s="10" t="str">
        <f>IFERROR((IF(VLOOKUP(A685,'ECN-ECO_DATA'!B:Q,16,FALSE)="","",VLOOKUP(A685,'ECN-ECO_DATA'!B:Q,16,FALSE))),"")</f>
        <v/>
      </c>
      <c r="M685" s="9" t="str">
        <f>IFERROR((IF(VLOOKUP(A685,'ECN-ECO_DATA'!B:V,18,FALSE)=0/1/1900,"",VLOOKUP(A685,'ECN-ECO_DATA'!B:V,18,FALSE))),"")</f>
        <v/>
      </c>
      <c r="N685" s="9" t="str">
        <f>IFERROR((IF(VLOOKUP(A685,'ECN-ECO_DATA'!B:V,19,FALSE)=0/1/1900,"",VLOOKUP(A685,'ECN-ECO_DATA'!B:V,19,FALSE))),"")</f>
        <v/>
      </c>
      <c r="O685" s="9" t="str">
        <f>IFERROR((IF(VLOOKUP(A685,'ECN-ECO_DATA'!B:V,20,FALSE)=0/1/1900,"",VLOOKUP(A685,'ECN-ECO_DATA'!B:V,20,FALSE))),"")</f>
        <v/>
      </c>
      <c r="P685" s="9" t="str">
        <f>IFERROR((IF(VLOOKUP(A685,'ECN-ECO_DATA'!B:V,21,FALSE)=0/1/1900,"",VLOOKUP(A685,'ECN-ECO_DATA'!B:V,21,FALSE))),"")</f>
        <v/>
      </c>
      <c r="Q685" s="10" t="str">
        <f t="shared" ca="1" si="50"/>
        <v/>
      </c>
      <c r="R685" s="4" t="str">
        <f t="shared" si="51"/>
        <v/>
      </c>
      <c r="S685" s="4" t="str">
        <f t="shared" si="52"/>
        <v/>
      </c>
      <c r="T685" s="4" t="str">
        <f t="shared" si="53"/>
        <v/>
      </c>
      <c r="U685" s="10" t="str">
        <f t="shared" si="54"/>
        <v/>
      </c>
      <c r="V685" s="4"/>
    </row>
    <row r="686" spans="2:22" x14ac:dyDescent="0.25">
      <c r="B686" s="4" t="str">
        <f>IFERROR(VLOOKUP(A686,'ECN-ECO_DATA'!B:G,4,FALSE),"")</f>
        <v/>
      </c>
      <c r="C686" s="9" t="str">
        <f>IFERROR(VLOOKUP(A686,'ECN-ECO_DATA'!B:G,5,FALSE),"")</f>
        <v/>
      </c>
      <c r="D686" s="9" t="str">
        <f ca="1">IFERROR((IF(VLOOKUP(A686,'ECN-ECO_DATA'!B:G,6,FALSE)=0/1/1900,TODAY(),VLOOKUP(A686,'ECN-ECO_DATA'!B:G,6,FALSE))),"")</f>
        <v/>
      </c>
      <c r="E686" s="9" t="str">
        <f>IFERROR((IF(VLOOKUP(A686,'ECN-ECO_DATA'!B:G,6,FALSE)=0/1/1900,"",VLOOKUP(A686,'ECN-ECO_DATA'!B:G,6,FALSE))),"")</f>
        <v/>
      </c>
      <c r="F686" s="9" t="str">
        <f>IFERROR((IF(VLOOKUP(A686,'ECN-ECO_DATA'!B:J,7,FALSE)=0/1/1900,"",VLOOKUP(A686,'ECN-ECO_DATA'!B:J,7,FALSE))),"")</f>
        <v/>
      </c>
      <c r="G686" s="9" t="str">
        <f>IFERROR((IF(VLOOKUP(A686,'ECN-ECO_DATA'!B:J,8,FALSE)=0/1/1900,"",VLOOKUP(A686,'ECN-ECO_DATA'!B:J,8,FALSE))),"")</f>
        <v/>
      </c>
      <c r="H686" s="9" t="str">
        <f>IFERROR((IF(VLOOKUP(A686,'ECN-ECO_DATA'!B:J,9,FALSE)=0/1/1900,"",VLOOKUP(A686,'ECN-ECO_DATA'!B:J,9,FALSE))),"")</f>
        <v/>
      </c>
      <c r="I686" s="10" t="str">
        <f>IFERROR((IF(VLOOKUP(A686,'ECN-ECO_DATA'!B:Q,13,FALSE)="","",VLOOKUP(A686,'ECN-ECO_DATA'!B:Q,13,FALSE))),"")</f>
        <v/>
      </c>
      <c r="J686" s="10" t="str">
        <f>IFERROR((IF(VLOOKUP(A686,'ECN-ECO_DATA'!B:Q,14,FALSE)="","",VLOOKUP(A686,'ECN-ECO_DATA'!B:Q,14,FALSE))),"")</f>
        <v/>
      </c>
      <c r="K686" s="10" t="str">
        <f>IFERROR((IF(VLOOKUP(A686,'ECN-ECO_DATA'!B:Q,15,FALSE)="","",VLOOKUP(A686,'ECN-ECO_DATA'!B:Q,15,FALSE))),"")</f>
        <v/>
      </c>
      <c r="L686" s="10" t="str">
        <f>IFERROR((IF(VLOOKUP(A686,'ECN-ECO_DATA'!B:Q,16,FALSE)="","",VLOOKUP(A686,'ECN-ECO_DATA'!B:Q,16,FALSE))),"")</f>
        <v/>
      </c>
      <c r="M686" s="9" t="str">
        <f>IFERROR((IF(VLOOKUP(A686,'ECN-ECO_DATA'!B:V,18,FALSE)=0/1/1900,"",VLOOKUP(A686,'ECN-ECO_DATA'!B:V,18,FALSE))),"")</f>
        <v/>
      </c>
      <c r="N686" s="9" t="str">
        <f>IFERROR((IF(VLOOKUP(A686,'ECN-ECO_DATA'!B:V,19,FALSE)=0/1/1900,"",VLOOKUP(A686,'ECN-ECO_DATA'!B:V,19,FALSE))),"")</f>
        <v/>
      </c>
      <c r="O686" s="9" t="str">
        <f>IFERROR((IF(VLOOKUP(A686,'ECN-ECO_DATA'!B:V,20,FALSE)=0/1/1900,"",VLOOKUP(A686,'ECN-ECO_DATA'!B:V,20,FALSE))),"")</f>
        <v/>
      </c>
      <c r="P686" s="9" t="str">
        <f>IFERROR((IF(VLOOKUP(A686,'ECN-ECO_DATA'!B:V,21,FALSE)=0/1/1900,"",VLOOKUP(A686,'ECN-ECO_DATA'!B:V,21,FALSE))),"")</f>
        <v/>
      </c>
      <c r="Q686" s="10" t="str">
        <f t="shared" ca="1" si="50"/>
        <v/>
      </c>
      <c r="R686" s="4" t="str">
        <f t="shared" si="51"/>
        <v/>
      </c>
      <c r="S686" s="4" t="str">
        <f t="shared" si="52"/>
        <v/>
      </c>
      <c r="T686" s="4" t="str">
        <f t="shared" si="53"/>
        <v/>
      </c>
      <c r="U686" s="10" t="str">
        <f t="shared" si="54"/>
        <v/>
      </c>
      <c r="V686" s="4"/>
    </row>
    <row r="687" spans="2:22" x14ac:dyDescent="0.25">
      <c r="B687" s="4" t="str">
        <f>IFERROR(VLOOKUP(A687,'ECN-ECO_DATA'!B:G,4,FALSE),"")</f>
        <v/>
      </c>
      <c r="C687" s="9" t="str">
        <f>IFERROR(VLOOKUP(A687,'ECN-ECO_DATA'!B:G,5,FALSE),"")</f>
        <v/>
      </c>
      <c r="D687" s="9" t="str">
        <f ca="1">IFERROR((IF(VLOOKUP(A687,'ECN-ECO_DATA'!B:G,6,FALSE)=0/1/1900,TODAY(),VLOOKUP(A687,'ECN-ECO_DATA'!B:G,6,FALSE))),"")</f>
        <v/>
      </c>
      <c r="E687" s="9" t="str">
        <f>IFERROR((IF(VLOOKUP(A687,'ECN-ECO_DATA'!B:G,6,FALSE)=0/1/1900,"",VLOOKUP(A687,'ECN-ECO_DATA'!B:G,6,FALSE))),"")</f>
        <v/>
      </c>
      <c r="F687" s="9" t="str">
        <f>IFERROR((IF(VLOOKUP(A687,'ECN-ECO_DATA'!B:J,7,FALSE)=0/1/1900,"",VLOOKUP(A687,'ECN-ECO_DATA'!B:J,7,FALSE))),"")</f>
        <v/>
      </c>
      <c r="G687" s="9" t="str">
        <f>IFERROR((IF(VLOOKUP(A687,'ECN-ECO_DATA'!B:J,8,FALSE)=0/1/1900,"",VLOOKUP(A687,'ECN-ECO_DATA'!B:J,8,FALSE))),"")</f>
        <v/>
      </c>
      <c r="H687" s="9" t="str">
        <f>IFERROR((IF(VLOOKUP(A687,'ECN-ECO_DATA'!B:J,9,FALSE)=0/1/1900,"",VLOOKUP(A687,'ECN-ECO_DATA'!B:J,9,FALSE))),"")</f>
        <v/>
      </c>
      <c r="I687" s="10" t="str">
        <f>IFERROR((IF(VLOOKUP(A687,'ECN-ECO_DATA'!B:Q,13,FALSE)="","",VLOOKUP(A687,'ECN-ECO_DATA'!B:Q,13,FALSE))),"")</f>
        <v/>
      </c>
      <c r="J687" s="10" t="str">
        <f>IFERROR((IF(VLOOKUP(A687,'ECN-ECO_DATA'!B:Q,14,FALSE)="","",VLOOKUP(A687,'ECN-ECO_DATA'!B:Q,14,FALSE))),"")</f>
        <v/>
      </c>
      <c r="K687" s="10" t="str">
        <f>IFERROR((IF(VLOOKUP(A687,'ECN-ECO_DATA'!B:Q,15,FALSE)="","",VLOOKUP(A687,'ECN-ECO_DATA'!B:Q,15,FALSE))),"")</f>
        <v/>
      </c>
      <c r="L687" s="10" t="str">
        <f>IFERROR((IF(VLOOKUP(A687,'ECN-ECO_DATA'!B:Q,16,FALSE)="","",VLOOKUP(A687,'ECN-ECO_DATA'!B:Q,16,FALSE))),"")</f>
        <v/>
      </c>
      <c r="M687" s="9" t="str">
        <f>IFERROR((IF(VLOOKUP(A687,'ECN-ECO_DATA'!B:V,18,FALSE)=0/1/1900,"",VLOOKUP(A687,'ECN-ECO_DATA'!B:V,18,FALSE))),"")</f>
        <v/>
      </c>
      <c r="N687" s="9" t="str">
        <f>IFERROR((IF(VLOOKUP(A687,'ECN-ECO_DATA'!B:V,19,FALSE)=0/1/1900,"",VLOOKUP(A687,'ECN-ECO_DATA'!B:V,19,FALSE))),"")</f>
        <v/>
      </c>
      <c r="O687" s="9" t="str">
        <f>IFERROR((IF(VLOOKUP(A687,'ECN-ECO_DATA'!B:V,20,FALSE)=0/1/1900,"",VLOOKUP(A687,'ECN-ECO_DATA'!B:V,20,FALSE))),"")</f>
        <v/>
      </c>
      <c r="P687" s="9" t="str">
        <f>IFERROR((IF(VLOOKUP(A687,'ECN-ECO_DATA'!B:V,21,FALSE)=0/1/1900,"",VLOOKUP(A687,'ECN-ECO_DATA'!B:V,21,FALSE))),"")</f>
        <v/>
      </c>
      <c r="Q687" s="10" t="str">
        <f t="shared" ca="1" si="50"/>
        <v/>
      </c>
      <c r="R687" s="4" t="str">
        <f t="shared" si="51"/>
        <v/>
      </c>
      <c r="S687" s="4" t="str">
        <f t="shared" si="52"/>
        <v/>
      </c>
      <c r="T687" s="4" t="str">
        <f t="shared" si="53"/>
        <v/>
      </c>
      <c r="U687" s="10" t="str">
        <f t="shared" si="54"/>
        <v/>
      </c>
      <c r="V687" s="4"/>
    </row>
    <row r="688" spans="2:22" x14ac:dyDescent="0.25">
      <c r="B688" s="4" t="str">
        <f>IFERROR(VLOOKUP(A688,'ECN-ECO_DATA'!B:G,4,FALSE),"")</f>
        <v/>
      </c>
      <c r="C688" s="9" t="str">
        <f>IFERROR(VLOOKUP(A688,'ECN-ECO_DATA'!B:G,5,FALSE),"")</f>
        <v/>
      </c>
      <c r="D688" s="9" t="str">
        <f ca="1">IFERROR((IF(VLOOKUP(A688,'ECN-ECO_DATA'!B:G,6,FALSE)=0/1/1900,TODAY(),VLOOKUP(A688,'ECN-ECO_DATA'!B:G,6,FALSE))),"")</f>
        <v/>
      </c>
      <c r="E688" s="9" t="str">
        <f>IFERROR((IF(VLOOKUP(A688,'ECN-ECO_DATA'!B:G,6,FALSE)=0/1/1900,"",VLOOKUP(A688,'ECN-ECO_DATA'!B:G,6,FALSE))),"")</f>
        <v/>
      </c>
      <c r="F688" s="9" t="str">
        <f>IFERROR((IF(VLOOKUP(A688,'ECN-ECO_DATA'!B:J,7,FALSE)=0/1/1900,"",VLOOKUP(A688,'ECN-ECO_DATA'!B:J,7,FALSE))),"")</f>
        <v/>
      </c>
      <c r="G688" s="9" t="str">
        <f>IFERROR((IF(VLOOKUP(A688,'ECN-ECO_DATA'!B:J,8,FALSE)=0/1/1900,"",VLOOKUP(A688,'ECN-ECO_DATA'!B:J,8,FALSE))),"")</f>
        <v/>
      </c>
      <c r="H688" s="9" t="str">
        <f>IFERROR((IF(VLOOKUP(A688,'ECN-ECO_DATA'!B:J,9,FALSE)=0/1/1900,"",VLOOKUP(A688,'ECN-ECO_DATA'!B:J,9,FALSE))),"")</f>
        <v/>
      </c>
      <c r="I688" s="10" t="str">
        <f>IFERROR((IF(VLOOKUP(A688,'ECN-ECO_DATA'!B:Q,13,FALSE)="","",VLOOKUP(A688,'ECN-ECO_DATA'!B:Q,13,FALSE))),"")</f>
        <v/>
      </c>
      <c r="J688" s="10" t="str">
        <f>IFERROR((IF(VLOOKUP(A688,'ECN-ECO_DATA'!B:Q,14,FALSE)="","",VLOOKUP(A688,'ECN-ECO_DATA'!B:Q,14,FALSE))),"")</f>
        <v/>
      </c>
      <c r="K688" s="10" t="str">
        <f>IFERROR((IF(VLOOKUP(A688,'ECN-ECO_DATA'!B:Q,15,FALSE)="","",VLOOKUP(A688,'ECN-ECO_DATA'!B:Q,15,FALSE))),"")</f>
        <v/>
      </c>
      <c r="L688" s="10" t="str">
        <f>IFERROR((IF(VLOOKUP(A688,'ECN-ECO_DATA'!B:Q,16,FALSE)="","",VLOOKUP(A688,'ECN-ECO_DATA'!B:Q,16,FALSE))),"")</f>
        <v/>
      </c>
      <c r="M688" s="9" t="str">
        <f>IFERROR((IF(VLOOKUP(A688,'ECN-ECO_DATA'!B:V,18,FALSE)=0/1/1900,"",VLOOKUP(A688,'ECN-ECO_DATA'!B:V,18,FALSE))),"")</f>
        <v/>
      </c>
      <c r="N688" s="9" t="str">
        <f>IFERROR((IF(VLOOKUP(A688,'ECN-ECO_DATA'!B:V,19,FALSE)=0/1/1900,"",VLOOKUP(A688,'ECN-ECO_DATA'!B:V,19,FALSE))),"")</f>
        <v/>
      </c>
      <c r="O688" s="9" t="str">
        <f>IFERROR((IF(VLOOKUP(A688,'ECN-ECO_DATA'!B:V,20,FALSE)=0/1/1900,"",VLOOKUP(A688,'ECN-ECO_DATA'!B:V,20,FALSE))),"")</f>
        <v/>
      </c>
      <c r="P688" s="9" t="str">
        <f>IFERROR((IF(VLOOKUP(A688,'ECN-ECO_DATA'!B:V,21,FALSE)=0/1/1900,"",VLOOKUP(A688,'ECN-ECO_DATA'!B:V,21,FALSE))),"")</f>
        <v/>
      </c>
      <c r="Q688" s="10" t="str">
        <f t="shared" ca="1" si="50"/>
        <v/>
      </c>
      <c r="R688" s="4" t="str">
        <f t="shared" si="51"/>
        <v/>
      </c>
      <c r="S688" s="4" t="str">
        <f t="shared" si="52"/>
        <v/>
      </c>
      <c r="T688" s="4" t="str">
        <f t="shared" si="53"/>
        <v/>
      </c>
      <c r="U688" s="10" t="str">
        <f t="shared" si="54"/>
        <v/>
      </c>
      <c r="V688" s="4"/>
    </row>
    <row r="689" spans="2:22" x14ac:dyDescent="0.25">
      <c r="B689" s="4" t="str">
        <f>IFERROR(VLOOKUP(A689,'ECN-ECO_DATA'!B:G,4,FALSE),"")</f>
        <v/>
      </c>
      <c r="C689" s="9" t="str">
        <f>IFERROR(VLOOKUP(A689,'ECN-ECO_DATA'!B:G,5,FALSE),"")</f>
        <v/>
      </c>
      <c r="D689" s="9" t="str">
        <f ca="1">IFERROR((IF(VLOOKUP(A689,'ECN-ECO_DATA'!B:G,6,FALSE)=0/1/1900,TODAY(),VLOOKUP(A689,'ECN-ECO_DATA'!B:G,6,FALSE))),"")</f>
        <v/>
      </c>
      <c r="E689" s="9" t="str">
        <f>IFERROR((IF(VLOOKUP(A689,'ECN-ECO_DATA'!B:G,6,FALSE)=0/1/1900,"",VLOOKUP(A689,'ECN-ECO_DATA'!B:G,6,FALSE))),"")</f>
        <v/>
      </c>
      <c r="F689" s="9" t="str">
        <f>IFERROR((IF(VLOOKUP(A689,'ECN-ECO_DATA'!B:J,7,FALSE)=0/1/1900,"",VLOOKUP(A689,'ECN-ECO_DATA'!B:J,7,FALSE))),"")</f>
        <v/>
      </c>
      <c r="G689" s="9" t="str">
        <f>IFERROR((IF(VLOOKUP(A689,'ECN-ECO_DATA'!B:J,8,FALSE)=0/1/1900,"",VLOOKUP(A689,'ECN-ECO_DATA'!B:J,8,FALSE))),"")</f>
        <v/>
      </c>
      <c r="H689" s="9" t="str">
        <f>IFERROR((IF(VLOOKUP(A689,'ECN-ECO_DATA'!B:J,9,FALSE)=0/1/1900,"",VLOOKUP(A689,'ECN-ECO_DATA'!B:J,9,FALSE))),"")</f>
        <v/>
      </c>
      <c r="I689" s="10" t="str">
        <f>IFERROR((IF(VLOOKUP(A689,'ECN-ECO_DATA'!B:Q,13,FALSE)="","",VLOOKUP(A689,'ECN-ECO_DATA'!B:Q,13,FALSE))),"")</f>
        <v/>
      </c>
      <c r="J689" s="10" t="str">
        <f>IFERROR((IF(VLOOKUP(A689,'ECN-ECO_DATA'!B:Q,14,FALSE)="","",VLOOKUP(A689,'ECN-ECO_DATA'!B:Q,14,FALSE))),"")</f>
        <v/>
      </c>
      <c r="K689" s="10" t="str">
        <f>IFERROR((IF(VLOOKUP(A689,'ECN-ECO_DATA'!B:Q,15,FALSE)="","",VLOOKUP(A689,'ECN-ECO_DATA'!B:Q,15,FALSE))),"")</f>
        <v/>
      </c>
      <c r="L689" s="10" t="str">
        <f>IFERROR((IF(VLOOKUP(A689,'ECN-ECO_DATA'!B:Q,16,FALSE)="","",VLOOKUP(A689,'ECN-ECO_DATA'!B:Q,16,FALSE))),"")</f>
        <v/>
      </c>
      <c r="M689" s="9" t="str">
        <f>IFERROR((IF(VLOOKUP(A689,'ECN-ECO_DATA'!B:V,18,FALSE)=0/1/1900,"",VLOOKUP(A689,'ECN-ECO_DATA'!B:V,18,FALSE))),"")</f>
        <v/>
      </c>
      <c r="N689" s="9" t="str">
        <f>IFERROR((IF(VLOOKUP(A689,'ECN-ECO_DATA'!B:V,19,FALSE)=0/1/1900,"",VLOOKUP(A689,'ECN-ECO_DATA'!B:V,19,FALSE))),"")</f>
        <v/>
      </c>
      <c r="O689" s="9" t="str">
        <f>IFERROR((IF(VLOOKUP(A689,'ECN-ECO_DATA'!B:V,20,FALSE)=0/1/1900,"",VLOOKUP(A689,'ECN-ECO_DATA'!B:V,20,FALSE))),"")</f>
        <v/>
      </c>
      <c r="P689" s="9" t="str">
        <f>IFERROR((IF(VLOOKUP(A689,'ECN-ECO_DATA'!B:V,21,FALSE)=0/1/1900,"",VLOOKUP(A689,'ECN-ECO_DATA'!B:V,21,FALSE))),"")</f>
        <v/>
      </c>
      <c r="Q689" s="10" t="str">
        <f t="shared" ca="1" si="50"/>
        <v/>
      </c>
      <c r="R689" s="4" t="str">
        <f t="shared" si="51"/>
        <v/>
      </c>
      <c r="S689" s="4" t="str">
        <f t="shared" si="52"/>
        <v/>
      </c>
      <c r="T689" s="4" t="str">
        <f t="shared" si="53"/>
        <v/>
      </c>
      <c r="U689" s="10" t="str">
        <f t="shared" si="54"/>
        <v/>
      </c>
      <c r="V689" s="4"/>
    </row>
    <row r="690" spans="2:22" x14ac:dyDescent="0.25">
      <c r="B690" s="4" t="str">
        <f>IFERROR(VLOOKUP(A690,'ECN-ECO_DATA'!B:G,4,FALSE),"")</f>
        <v/>
      </c>
      <c r="C690" s="9" t="str">
        <f>IFERROR(VLOOKUP(A690,'ECN-ECO_DATA'!B:G,5,FALSE),"")</f>
        <v/>
      </c>
      <c r="D690" s="9" t="str">
        <f ca="1">IFERROR((IF(VLOOKUP(A690,'ECN-ECO_DATA'!B:G,6,FALSE)=0/1/1900,TODAY(),VLOOKUP(A690,'ECN-ECO_DATA'!B:G,6,FALSE))),"")</f>
        <v/>
      </c>
      <c r="E690" s="9" t="str">
        <f>IFERROR((IF(VLOOKUP(A690,'ECN-ECO_DATA'!B:G,6,FALSE)=0/1/1900,"",VLOOKUP(A690,'ECN-ECO_DATA'!B:G,6,FALSE))),"")</f>
        <v/>
      </c>
      <c r="F690" s="9" t="str">
        <f>IFERROR((IF(VLOOKUP(A690,'ECN-ECO_DATA'!B:J,7,FALSE)=0/1/1900,"",VLOOKUP(A690,'ECN-ECO_DATA'!B:J,7,FALSE))),"")</f>
        <v/>
      </c>
      <c r="G690" s="9" t="str">
        <f>IFERROR((IF(VLOOKUP(A690,'ECN-ECO_DATA'!B:J,8,FALSE)=0/1/1900,"",VLOOKUP(A690,'ECN-ECO_DATA'!B:J,8,FALSE))),"")</f>
        <v/>
      </c>
      <c r="H690" s="9" t="str">
        <f>IFERROR((IF(VLOOKUP(A690,'ECN-ECO_DATA'!B:J,9,FALSE)=0/1/1900,"",VLOOKUP(A690,'ECN-ECO_DATA'!B:J,9,FALSE))),"")</f>
        <v/>
      </c>
      <c r="I690" s="10" t="str">
        <f>IFERROR((IF(VLOOKUP(A690,'ECN-ECO_DATA'!B:Q,13,FALSE)="","",VLOOKUP(A690,'ECN-ECO_DATA'!B:Q,13,FALSE))),"")</f>
        <v/>
      </c>
      <c r="J690" s="10" t="str">
        <f>IFERROR((IF(VLOOKUP(A690,'ECN-ECO_DATA'!B:Q,14,FALSE)="","",VLOOKUP(A690,'ECN-ECO_DATA'!B:Q,14,FALSE))),"")</f>
        <v/>
      </c>
      <c r="K690" s="10" t="str">
        <f>IFERROR((IF(VLOOKUP(A690,'ECN-ECO_DATA'!B:Q,15,FALSE)="","",VLOOKUP(A690,'ECN-ECO_DATA'!B:Q,15,FALSE))),"")</f>
        <v/>
      </c>
      <c r="L690" s="10" t="str">
        <f>IFERROR((IF(VLOOKUP(A690,'ECN-ECO_DATA'!B:Q,16,FALSE)="","",VLOOKUP(A690,'ECN-ECO_DATA'!B:Q,16,FALSE))),"")</f>
        <v/>
      </c>
      <c r="M690" s="9" t="str">
        <f>IFERROR((IF(VLOOKUP(A690,'ECN-ECO_DATA'!B:V,18,FALSE)=0/1/1900,"",VLOOKUP(A690,'ECN-ECO_DATA'!B:V,18,FALSE))),"")</f>
        <v/>
      </c>
      <c r="N690" s="9" t="str">
        <f>IFERROR((IF(VLOOKUP(A690,'ECN-ECO_DATA'!B:V,19,FALSE)=0/1/1900,"",VLOOKUP(A690,'ECN-ECO_DATA'!B:V,19,FALSE))),"")</f>
        <v/>
      </c>
      <c r="O690" s="9" t="str">
        <f>IFERROR((IF(VLOOKUP(A690,'ECN-ECO_DATA'!B:V,20,FALSE)=0/1/1900,"",VLOOKUP(A690,'ECN-ECO_DATA'!B:V,20,FALSE))),"")</f>
        <v/>
      </c>
      <c r="P690" s="9" t="str">
        <f>IFERROR((IF(VLOOKUP(A690,'ECN-ECO_DATA'!B:V,21,FALSE)=0/1/1900,"",VLOOKUP(A690,'ECN-ECO_DATA'!B:V,21,FALSE))),"")</f>
        <v/>
      </c>
      <c r="Q690" s="10" t="str">
        <f t="shared" ca="1" si="50"/>
        <v/>
      </c>
      <c r="R690" s="4" t="str">
        <f t="shared" si="51"/>
        <v/>
      </c>
      <c r="S690" s="4" t="str">
        <f t="shared" si="52"/>
        <v/>
      </c>
      <c r="T690" s="4" t="str">
        <f t="shared" si="53"/>
        <v/>
      </c>
      <c r="U690" s="10" t="str">
        <f t="shared" si="54"/>
        <v/>
      </c>
      <c r="V690" s="4"/>
    </row>
    <row r="691" spans="2:22" x14ac:dyDescent="0.25">
      <c r="B691" s="4" t="str">
        <f>IFERROR(VLOOKUP(A691,'ECN-ECO_DATA'!B:G,4,FALSE),"")</f>
        <v/>
      </c>
      <c r="C691" s="9" t="str">
        <f>IFERROR(VLOOKUP(A691,'ECN-ECO_DATA'!B:G,5,FALSE),"")</f>
        <v/>
      </c>
      <c r="D691" s="9" t="str">
        <f ca="1">IFERROR((IF(VLOOKUP(A691,'ECN-ECO_DATA'!B:G,6,FALSE)=0/1/1900,TODAY(),VLOOKUP(A691,'ECN-ECO_DATA'!B:G,6,FALSE))),"")</f>
        <v/>
      </c>
      <c r="E691" s="9" t="str">
        <f>IFERROR((IF(VLOOKUP(A691,'ECN-ECO_DATA'!B:G,6,FALSE)=0/1/1900,"",VLOOKUP(A691,'ECN-ECO_DATA'!B:G,6,FALSE))),"")</f>
        <v/>
      </c>
      <c r="F691" s="9" t="str">
        <f>IFERROR((IF(VLOOKUP(A691,'ECN-ECO_DATA'!B:J,7,FALSE)=0/1/1900,"",VLOOKUP(A691,'ECN-ECO_DATA'!B:J,7,FALSE))),"")</f>
        <v/>
      </c>
      <c r="G691" s="9" t="str">
        <f>IFERROR((IF(VLOOKUP(A691,'ECN-ECO_DATA'!B:J,8,FALSE)=0/1/1900,"",VLOOKUP(A691,'ECN-ECO_DATA'!B:J,8,FALSE))),"")</f>
        <v/>
      </c>
      <c r="H691" s="9" t="str">
        <f>IFERROR((IF(VLOOKUP(A691,'ECN-ECO_DATA'!B:J,9,FALSE)=0/1/1900,"",VLOOKUP(A691,'ECN-ECO_DATA'!B:J,9,FALSE))),"")</f>
        <v/>
      </c>
      <c r="I691" s="10" t="str">
        <f>IFERROR((IF(VLOOKUP(A691,'ECN-ECO_DATA'!B:Q,13,FALSE)="","",VLOOKUP(A691,'ECN-ECO_DATA'!B:Q,13,FALSE))),"")</f>
        <v/>
      </c>
      <c r="J691" s="10" t="str">
        <f>IFERROR((IF(VLOOKUP(A691,'ECN-ECO_DATA'!B:Q,14,FALSE)="","",VLOOKUP(A691,'ECN-ECO_DATA'!B:Q,14,FALSE))),"")</f>
        <v/>
      </c>
      <c r="K691" s="10" t="str">
        <f>IFERROR((IF(VLOOKUP(A691,'ECN-ECO_DATA'!B:Q,15,FALSE)="","",VLOOKUP(A691,'ECN-ECO_DATA'!B:Q,15,FALSE))),"")</f>
        <v/>
      </c>
      <c r="L691" s="10" t="str">
        <f>IFERROR((IF(VLOOKUP(A691,'ECN-ECO_DATA'!B:Q,16,FALSE)="","",VLOOKUP(A691,'ECN-ECO_DATA'!B:Q,16,FALSE))),"")</f>
        <v/>
      </c>
      <c r="M691" s="9" t="str">
        <f>IFERROR((IF(VLOOKUP(A691,'ECN-ECO_DATA'!B:V,18,FALSE)=0/1/1900,"",VLOOKUP(A691,'ECN-ECO_DATA'!B:V,18,FALSE))),"")</f>
        <v/>
      </c>
      <c r="N691" s="9" t="str">
        <f>IFERROR((IF(VLOOKUP(A691,'ECN-ECO_DATA'!B:V,19,FALSE)=0/1/1900,"",VLOOKUP(A691,'ECN-ECO_DATA'!B:V,19,FALSE))),"")</f>
        <v/>
      </c>
      <c r="O691" s="9" t="str">
        <f>IFERROR((IF(VLOOKUP(A691,'ECN-ECO_DATA'!B:V,20,FALSE)=0/1/1900,"",VLOOKUP(A691,'ECN-ECO_DATA'!B:V,20,FALSE))),"")</f>
        <v/>
      </c>
      <c r="P691" s="9" t="str">
        <f>IFERROR((IF(VLOOKUP(A691,'ECN-ECO_DATA'!B:V,21,FALSE)=0/1/1900,"",VLOOKUP(A691,'ECN-ECO_DATA'!B:V,21,FALSE))),"")</f>
        <v/>
      </c>
      <c r="Q691" s="10" t="str">
        <f t="shared" ca="1" si="50"/>
        <v/>
      </c>
      <c r="R691" s="4" t="str">
        <f t="shared" si="51"/>
        <v/>
      </c>
      <c r="S691" s="4" t="str">
        <f t="shared" si="52"/>
        <v/>
      </c>
      <c r="T691" s="4" t="str">
        <f t="shared" si="53"/>
        <v/>
      </c>
      <c r="U691" s="10" t="str">
        <f t="shared" si="54"/>
        <v/>
      </c>
      <c r="V691" s="4"/>
    </row>
    <row r="692" spans="2:22" x14ac:dyDescent="0.25">
      <c r="B692" s="4" t="str">
        <f>IFERROR(VLOOKUP(A692,'ECN-ECO_DATA'!B:G,4,FALSE),"")</f>
        <v/>
      </c>
      <c r="C692" s="9" t="str">
        <f>IFERROR(VLOOKUP(A692,'ECN-ECO_DATA'!B:G,5,FALSE),"")</f>
        <v/>
      </c>
      <c r="D692" s="9" t="str">
        <f ca="1">IFERROR((IF(VLOOKUP(A692,'ECN-ECO_DATA'!B:G,6,FALSE)=0/1/1900,TODAY(),VLOOKUP(A692,'ECN-ECO_DATA'!B:G,6,FALSE))),"")</f>
        <v/>
      </c>
      <c r="E692" s="9" t="str">
        <f>IFERROR((IF(VLOOKUP(A692,'ECN-ECO_DATA'!B:G,6,FALSE)=0/1/1900,"",VLOOKUP(A692,'ECN-ECO_DATA'!B:G,6,FALSE))),"")</f>
        <v/>
      </c>
      <c r="F692" s="9" t="str">
        <f>IFERROR((IF(VLOOKUP(A692,'ECN-ECO_DATA'!B:J,7,FALSE)=0/1/1900,"",VLOOKUP(A692,'ECN-ECO_DATA'!B:J,7,FALSE))),"")</f>
        <v/>
      </c>
      <c r="G692" s="9" t="str">
        <f>IFERROR((IF(VLOOKUP(A692,'ECN-ECO_DATA'!B:J,8,FALSE)=0/1/1900,"",VLOOKUP(A692,'ECN-ECO_DATA'!B:J,8,FALSE))),"")</f>
        <v/>
      </c>
      <c r="H692" s="9" t="str">
        <f>IFERROR((IF(VLOOKUP(A692,'ECN-ECO_DATA'!B:J,9,FALSE)=0/1/1900,"",VLOOKUP(A692,'ECN-ECO_DATA'!B:J,9,FALSE))),"")</f>
        <v/>
      </c>
      <c r="I692" s="10" t="str">
        <f>IFERROR((IF(VLOOKUP(A692,'ECN-ECO_DATA'!B:Q,13,FALSE)="","",VLOOKUP(A692,'ECN-ECO_DATA'!B:Q,13,FALSE))),"")</f>
        <v/>
      </c>
      <c r="J692" s="10" t="str">
        <f>IFERROR((IF(VLOOKUP(A692,'ECN-ECO_DATA'!B:Q,14,FALSE)="","",VLOOKUP(A692,'ECN-ECO_DATA'!B:Q,14,FALSE))),"")</f>
        <v/>
      </c>
      <c r="K692" s="10" t="str">
        <f>IFERROR((IF(VLOOKUP(A692,'ECN-ECO_DATA'!B:Q,15,FALSE)="","",VLOOKUP(A692,'ECN-ECO_DATA'!B:Q,15,FALSE))),"")</f>
        <v/>
      </c>
      <c r="L692" s="10" t="str">
        <f>IFERROR((IF(VLOOKUP(A692,'ECN-ECO_DATA'!B:Q,16,FALSE)="","",VLOOKUP(A692,'ECN-ECO_DATA'!B:Q,16,FALSE))),"")</f>
        <v/>
      </c>
      <c r="M692" s="9" t="str">
        <f>IFERROR((IF(VLOOKUP(A692,'ECN-ECO_DATA'!B:V,18,FALSE)=0/1/1900,"",VLOOKUP(A692,'ECN-ECO_DATA'!B:V,18,FALSE))),"")</f>
        <v/>
      </c>
      <c r="N692" s="9" t="str">
        <f>IFERROR((IF(VLOOKUP(A692,'ECN-ECO_DATA'!B:V,19,FALSE)=0/1/1900,"",VLOOKUP(A692,'ECN-ECO_DATA'!B:V,19,FALSE))),"")</f>
        <v/>
      </c>
      <c r="O692" s="9" t="str">
        <f>IFERROR((IF(VLOOKUP(A692,'ECN-ECO_DATA'!B:V,20,FALSE)=0/1/1900,"",VLOOKUP(A692,'ECN-ECO_DATA'!B:V,20,FALSE))),"")</f>
        <v/>
      </c>
      <c r="P692" s="9" t="str">
        <f>IFERROR((IF(VLOOKUP(A692,'ECN-ECO_DATA'!B:V,21,FALSE)=0/1/1900,"",VLOOKUP(A692,'ECN-ECO_DATA'!B:V,21,FALSE))),"")</f>
        <v/>
      </c>
      <c r="Q692" s="10" t="str">
        <f t="shared" ca="1" si="50"/>
        <v/>
      </c>
      <c r="R692" s="4" t="str">
        <f t="shared" si="51"/>
        <v/>
      </c>
      <c r="S692" s="4" t="str">
        <f t="shared" si="52"/>
        <v/>
      </c>
      <c r="T692" s="4" t="str">
        <f t="shared" si="53"/>
        <v/>
      </c>
      <c r="U692" s="10" t="str">
        <f t="shared" si="54"/>
        <v/>
      </c>
      <c r="V692" s="4"/>
    </row>
    <row r="693" spans="2:22" x14ac:dyDescent="0.25">
      <c r="B693" s="4" t="str">
        <f>IFERROR(VLOOKUP(A693,'ECN-ECO_DATA'!B:G,4,FALSE),"")</f>
        <v/>
      </c>
      <c r="C693" s="9" t="str">
        <f>IFERROR(VLOOKUP(A693,'ECN-ECO_DATA'!B:G,5,FALSE),"")</f>
        <v/>
      </c>
      <c r="D693" s="9" t="str">
        <f ca="1">IFERROR((IF(VLOOKUP(A693,'ECN-ECO_DATA'!B:G,6,FALSE)=0/1/1900,TODAY(),VLOOKUP(A693,'ECN-ECO_DATA'!B:G,6,FALSE))),"")</f>
        <v/>
      </c>
      <c r="E693" s="9" t="str">
        <f>IFERROR((IF(VLOOKUP(A693,'ECN-ECO_DATA'!B:G,6,FALSE)=0/1/1900,"",VLOOKUP(A693,'ECN-ECO_DATA'!B:G,6,FALSE))),"")</f>
        <v/>
      </c>
      <c r="F693" s="9" t="str">
        <f>IFERROR((IF(VLOOKUP(A693,'ECN-ECO_DATA'!B:J,7,FALSE)=0/1/1900,"",VLOOKUP(A693,'ECN-ECO_DATA'!B:J,7,FALSE))),"")</f>
        <v/>
      </c>
      <c r="G693" s="9" t="str">
        <f>IFERROR((IF(VLOOKUP(A693,'ECN-ECO_DATA'!B:J,8,FALSE)=0/1/1900,"",VLOOKUP(A693,'ECN-ECO_DATA'!B:J,8,FALSE))),"")</f>
        <v/>
      </c>
      <c r="H693" s="9" t="str">
        <f>IFERROR((IF(VLOOKUP(A693,'ECN-ECO_DATA'!B:J,9,FALSE)=0/1/1900,"",VLOOKUP(A693,'ECN-ECO_DATA'!B:J,9,FALSE))),"")</f>
        <v/>
      </c>
      <c r="I693" s="10" t="str">
        <f>IFERROR((IF(VLOOKUP(A693,'ECN-ECO_DATA'!B:Q,13,FALSE)="","",VLOOKUP(A693,'ECN-ECO_DATA'!B:Q,13,FALSE))),"")</f>
        <v/>
      </c>
      <c r="J693" s="10" t="str">
        <f>IFERROR((IF(VLOOKUP(A693,'ECN-ECO_DATA'!B:Q,14,FALSE)="","",VLOOKUP(A693,'ECN-ECO_DATA'!B:Q,14,FALSE))),"")</f>
        <v/>
      </c>
      <c r="K693" s="10" t="str">
        <f>IFERROR((IF(VLOOKUP(A693,'ECN-ECO_DATA'!B:Q,15,FALSE)="","",VLOOKUP(A693,'ECN-ECO_DATA'!B:Q,15,FALSE))),"")</f>
        <v/>
      </c>
      <c r="L693" s="10" t="str">
        <f>IFERROR((IF(VLOOKUP(A693,'ECN-ECO_DATA'!B:Q,16,FALSE)="","",VLOOKUP(A693,'ECN-ECO_DATA'!B:Q,16,FALSE))),"")</f>
        <v/>
      </c>
      <c r="M693" s="9" t="str">
        <f>IFERROR((IF(VLOOKUP(A693,'ECN-ECO_DATA'!B:V,18,FALSE)=0/1/1900,"",VLOOKUP(A693,'ECN-ECO_DATA'!B:V,18,FALSE))),"")</f>
        <v/>
      </c>
      <c r="N693" s="9" t="str">
        <f>IFERROR((IF(VLOOKUP(A693,'ECN-ECO_DATA'!B:V,19,FALSE)=0/1/1900,"",VLOOKUP(A693,'ECN-ECO_DATA'!B:V,19,FALSE))),"")</f>
        <v/>
      </c>
      <c r="O693" s="9" t="str">
        <f>IFERROR((IF(VLOOKUP(A693,'ECN-ECO_DATA'!B:V,20,FALSE)=0/1/1900,"",VLOOKUP(A693,'ECN-ECO_DATA'!B:V,20,FALSE))),"")</f>
        <v/>
      </c>
      <c r="P693" s="9" t="str">
        <f>IFERROR((IF(VLOOKUP(A693,'ECN-ECO_DATA'!B:V,21,FALSE)=0/1/1900,"",VLOOKUP(A693,'ECN-ECO_DATA'!B:V,21,FALSE))),"")</f>
        <v/>
      </c>
      <c r="Q693" s="10" t="str">
        <f t="shared" ca="1" si="50"/>
        <v/>
      </c>
      <c r="R693" s="4" t="str">
        <f t="shared" si="51"/>
        <v/>
      </c>
      <c r="S693" s="4" t="str">
        <f t="shared" si="52"/>
        <v/>
      </c>
      <c r="T693" s="4" t="str">
        <f t="shared" si="53"/>
        <v/>
      </c>
      <c r="U693" s="10" t="str">
        <f t="shared" si="54"/>
        <v/>
      </c>
      <c r="V693" s="4"/>
    </row>
    <row r="694" spans="2:22" x14ac:dyDescent="0.25">
      <c r="B694" s="4" t="str">
        <f>IFERROR(VLOOKUP(A694,'ECN-ECO_DATA'!B:G,4,FALSE),"")</f>
        <v/>
      </c>
      <c r="C694" s="9" t="str">
        <f>IFERROR(VLOOKUP(A694,'ECN-ECO_DATA'!B:G,5,FALSE),"")</f>
        <v/>
      </c>
      <c r="D694" s="9" t="str">
        <f ca="1">IFERROR((IF(VLOOKUP(A694,'ECN-ECO_DATA'!B:G,6,FALSE)=0/1/1900,TODAY(),VLOOKUP(A694,'ECN-ECO_DATA'!B:G,6,FALSE))),"")</f>
        <v/>
      </c>
      <c r="E694" s="9" t="str">
        <f>IFERROR((IF(VLOOKUP(A694,'ECN-ECO_DATA'!B:G,6,FALSE)=0/1/1900,"",VLOOKUP(A694,'ECN-ECO_DATA'!B:G,6,FALSE))),"")</f>
        <v/>
      </c>
      <c r="F694" s="9" t="str">
        <f>IFERROR((IF(VLOOKUP(A694,'ECN-ECO_DATA'!B:J,7,FALSE)=0/1/1900,"",VLOOKUP(A694,'ECN-ECO_DATA'!B:J,7,FALSE))),"")</f>
        <v/>
      </c>
      <c r="G694" s="9" t="str">
        <f>IFERROR((IF(VLOOKUP(A694,'ECN-ECO_DATA'!B:J,8,FALSE)=0/1/1900,"",VLOOKUP(A694,'ECN-ECO_DATA'!B:J,8,FALSE))),"")</f>
        <v/>
      </c>
      <c r="H694" s="9" t="str">
        <f>IFERROR((IF(VLOOKUP(A694,'ECN-ECO_DATA'!B:J,9,FALSE)=0/1/1900,"",VLOOKUP(A694,'ECN-ECO_DATA'!B:J,9,FALSE))),"")</f>
        <v/>
      </c>
      <c r="I694" s="10" t="str">
        <f>IFERROR((IF(VLOOKUP(A694,'ECN-ECO_DATA'!B:Q,13,FALSE)="","",VLOOKUP(A694,'ECN-ECO_DATA'!B:Q,13,FALSE))),"")</f>
        <v/>
      </c>
      <c r="J694" s="10" t="str">
        <f>IFERROR((IF(VLOOKUP(A694,'ECN-ECO_DATA'!B:Q,14,FALSE)="","",VLOOKUP(A694,'ECN-ECO_DATA'!B:Q,14,FALSE))),"")</f>
        <v/>
      </c>
      <c r="K694" s="10" t="str">
        <f>IFERROR((IF(VLOOKUP(A694,'ECN-ECO_DATA'!B:Q,15,FALSE)="","",VLOOKUP(A694,'ECN-ECO_DATA'!B:Q,15,FALSE))),"")</f>
        <v/>
      </c>
      <c r="L694" s="10" t="str">
        <f>IFERROR((IF(VLOOKUP(A694,'ECN-ECO_DATA'!B:Q,16,FALSE)="","",VLOOKUP(A694,'ECN-ECO_DATA'!B:Q,16,FALSE))),"")</f>
        <v/>
      </c>
      <c r="M694" s="9" t="str">
        <f>IFERROR((IF(VLOOKUP(A694,'ECN-ECO_DATA'!B:V,18,FALSE)=0/1/1900,"",VLOOKUP(A694,'ECN-ECO_DATA'!B:V,18,FALSE))),"")</f>
        <v/>
      </c>
      <c r="N694" s="9" t="str">
        <f>IFERROR((IF(VLOOKUP(A694,'ECN-ECO_DATA'!B:V,19,FALSE)=0/1/1900,"",VLOOKUP(A694,'ECN-ECO_DATA'!B:V,19,FALSE))),"")</f>
        <v/>
      </c>
      <c r="O694" s="9" t="str">
        <f>IFERROR((IF(VLOOKUP(A694,'ECN-ECO_DATA'!B:V,20,FALSE)=0/1/1900,"",VLOOKUP(A694,'ECN-ECO_DATA'!B:V,20,FALSE))),"")</f>
        <v/>
      </c>
      <c r="P694" s="9" t="str">
        <f>IFERROR((IF(VLOOKUP(A694,'ECN-ECO_DATA'!B:V,21,FALSE)=0/1/1900,"",VLOOKUP(A694,'ECN-ECO_DATA'!B:V,21,FALSE))),"")</f>
        <v/>
      </c>
      <c r="Q694" s="10" t="str">
        <f t="shared" ca="1" si="50"/>
        <v/>
      </c>
      <c r="R694" s="4" t="str">
        <f t="shared" si="51"/>
        <v/>
      </c>
      <c r="S694" s="4" t="str">
        <f t="shared" si="52"/>
        <v/>
      </c>
      <c r="T694" s="4" t="str">
        <f t="shared" si="53"/>
        <v/>
      </c>
      <c r="U694" s="10" t="str">
        <f t="shared" si="54"/>
        <v/>
      </c>
      <c r="V694" s="4"/>
    </row>
    <row r="695" spans="2:22" x14ac:dyDescent="0.25">
      <c r="B695" s="4" t="str">
        <f>IFERROR(VLOOKUP(A695,'ECN-ECO_DATA'!B:G,4,FALSE),"")</f>
        <v/>
      </c>
      <c r="C695" s="9" t="str">
        <f>IFERROR(VLOOKUP(A695,'ECN-ECO_DATA'!B:G,5,FALSE),"")</f>
        <v/>
      </c>
      <c r="D695" s="9" t="str">
        <f ca="1">IFERROR((IF(VLOOKUP(A695,'ECN-ECO_DATA'!B:G,6,FALSE)=0/1/1900,TODAY(),VLOOKUP(A695,'ECN-ECO_DATA'!B:G,6,FALSE))),"")</f>
        <v/>
      </c>
      <c r="E695" s="9" t="str">
        <f>IFERROR((IF(VLOOKUP(A695,'ECN-ECO_DATA'!B:G,6,FALSE)=0/1/1900,"",VLOOKUP(A695,'ECN-ECO_DATA'!B:G,6,FALSE))),"")</f>
        <v/>
      </c>
      <c r="F695" s="9" t="str">
        <f>IFERROR((IF(VLOOKUP(A695,'ECN-ECO_DATA'!B:J,7,FALSE)=0/1/1900,"",VLOOKUP(A695,'ECN-ECO_DATA'!B:J,7,FALSE))),"")</f>
        <v/>
      </c>
      <c r="G695" s="9" t="str">
        <f>IFERROR((IF(VLOOKUP(A695,'ECN-ECO_DATA'!B:J,8,FALSE)=0/1/1900,"",VLOOKUP(A695,'ECN-ECO_DATA'!B:J,8,FALSE))),"")</f>
        <v/>
      </c>
      <c r="H695" s="9" t="str">
        <f>IFERROR((IF(VLOOKUP(A695,'ECN-ECO_DATA'!B:J,9,FALSE)=0/1/1900,"",VLOOKUP(A695,'ECN-ECO_DATA'!B:J,9,FALSE))),"")</f>
        <v/>
      </c>
      <c r="I695" s="10" t="str">
        <f>IFERROR((IF(VLOOKUP(A695,'ECN-ECO_DATA'!B:Q,13,FALSE)="","",VLOOKUP(A695,'ECN-ECO_DATA'!B:Q,13,FALSE))),"")</f>
        <v/>
      </c>
      <c r="J695" s="10" t="str">
        <f>IFERROR((IF(VLOOKUP(A695,'ECN-ECO_DATA'!B:Q,14,FALSE)="","",VLOOKUP(A695,'ECN-ECO_DATA'!B:Q,14,FALSE))),"")</f>
        <v/>
      </c>
      <c r="K695" s="10" t="str">
        <f>IFERROR((IF(VLOOKUP(A695,'ECN-ECO_DATA'!B:Q,15,FALSE)="","",VLOOKUP(A695,'ECN-ECO_DATA'!B:Q,15,FALSE))),"")</f>
        <v/>
      </c>
      <c r="L695" s="10" t="str">
        <f>IFERROR((IF(VLOOKUP(A695,'ECN-ECO_DATA'!B:Q,16,FALSE)="","",VLOOKUP(A695,'ECN-ECO_DATA'!B:Q,16,FALSE))),"")</f>
        <v/>
      </c>
      <c r="M695" s="9" t="str">
        <f>IFERROR((IF(VLOOKUP(A695,'ECN-ECO_DATA'!B:V,18,FALSE)=0/1/1900,"",VLOOKUP(A695,'ECN-ECO_DATA'!B:V,18,FALSE))),"")</f>
        <v/>
      </c>
      <c r="N695" s="9" t="str">
        <f>IFERROR((IF(VLOOKUP(A695,'ECN-ECO_DATA'!B:V,19,FALSE)=0/1/1900,"",VLOOKUP(A695,'ECN-ECO_DATA'!B:V,19,FALSE))),"")</f>
        <v/>
      </c>
      <c r="O695" s="9" t="str">
        <f>IFERROR((IF(VLOOKUP(A695,'ECN-ECO_DATA'!B:V,20,FALSE)=0/1/1900,"",VLOOKUP(A695,'ECN-ECO_DATA'!B:V,20,FALSE))),"")</f>
        <v/>
      </c>
      <c r="P695" s="9" t="str">
        <f>IFERROR((IF(VLOOKUP(A695,'ECN-ECO_DATA'!B:V,21,FALSE)=0/1/1900,"",VLOOKUP(A695,'ECN-ECO_DATA'!B:V,21,FALSE))),"")</f>
        <v/>
      </c>
      <c r="Q695" s="10" t="str">
        <f t="shared" ca="1" si="50"/>
        <v/>
      </c>
      <c r="R695" s="4" t="str">
        <f t="shared" si="51"/>
        <v/>
      </c>
      <c r="S695" s="4" t="str">
        <f t="shared" si="52"/>
        <v/>
      </c>
      <c r="T695" s="4" t="str">
        <f t="shared" si="53"/>
        <v/>
      </c>
      <c r="U695" s="10" t="str">
        <f t="shared" si="54"/>
        <v/>
      </c>
      <c r="V695" s="4"/>
    </row>
    <row r="696" spans="2:22" x14ac:dyDescent="0.25">
      <c r="B696" s="4" t="str">
        <f>IFERROR(VLOOKUP(A696,'ECN-ECO_DATA'!B:G,4,FALSE),"")</f>
        <v/>
      </c>
      <c r="C696" s="9" t="str">
        <f>IFERROR(VLOOKUP(A696,'ECN-ECO_DATA'!B:G,5,FALSE),"")</f>
        <v/>
      </c>
      <c r="D696" s="9" t="str">
        <f ca="1">IFERROR((IF(VLOOKUP(A696,'ECN-ECO_DATA'!B:G,6,FALSE)=0/1/1900,TODAY(),VLOOKUP(A696,'ECN-ECO_DATA'!B:G,6,FALSE))),"")</f>
        <v/>
      </c>
      <c r="E696" s="9" t="str">
        <f>IFERROR((IF(VLOOKUP(A696,'ECN-ECO_DATA'!B:G,6,FALSE)=0/1/1900,"",VLOOKUP(A696,'ECN-ECO_DATA'!B:G,6,FALSE))),"")</f>
        <v/>
      </c>
      <c r="F696" s="9" t="str">
        <f>IFERROR((IF(VLOOKUP(A696,'ECN-ECO_DATA'!B:J,7,FALSE)=0/1/1900,"",VLOOKUP(A696,'ECN-ECO_DATA'!B:J,7,FALSE))),"")</f>
        <v/>
      </c>
      <c r="G696" s="9" t="str">
        <f>IFERROR((IF(VLOOKUP(A696,'ECN-ECO_DATA'!B:J,8,FALSE)=0/1/1900,"",VLOOKUP(A696,'ECN-ECO_DATA'!B:J,8,FALSE))),"")</f>
        <v/>
      </c>
      <c r="H696" s="9" t="str">
        <f>IFERROR((IF(VLOOKUP(A696,'ECN-ECO_DATA'!B:J,9,FALSE)=0/1/1900,"",VLOOKUP(A696,'ECN-ECO_DATA'!B:J,9,FALSE))),"")</f>
        <v/>
      </c>
      <c r="I696" s="10" t="str">
        <f>IFERROR((IF(VLOOKUP(A696,'ECN-ECO_DATA'!B:Q,13,FALSE)="","",VLOOKUP(A696,'ECN-ECO_DATA'!B:Q,13,FALSE))),"")</f>
        <v/>
      </c>
      <c r="J696" s="10" t="str">
        <f>IFERROR((IF(VLOOKUP(A696,'ECN-ECO_DATA'!B:Q,14,FALSE)="","",VLOOKUP(A696,'ECN-ECO_DATA'!B:Q,14,FALSE))),"")</f>
        <v/>
      </c>
      <c r="K696" s="10" t="str">
        <f>IFERROR((IF(VLOOKUP(A696,'ECN-ECO_DATA'!B:Q,15,FALSE)="","",VLOOKUP(A696,'ECN-ECO_DATA'!B:Q,15,FALSE))),"")</f>
        <v/>
      </c>
      <c r="L696" s="10" t="str">
        <f>IFERROR((IF(VLOOKUP(A696,'ECN-ECO_DATA'!B:Q,16,FALSE)="","",VLOOKUP(A696,'ECN-ECO_DATA'!B:Q,16,FALSE))),"")</f>
        <v/>
      </c>
      <c r="M696" s="9" t="str">
        <f>IFERROR((IF(VLOOKUP(A696,'ECN-ECO_DATA'!B:V,18,FALSE)=0/1/1900,"",VLOOKUP(A696,'ECN-ECO_DATA'!B:V,18,FALSE))),"")</f>
        <v/>
      </c>
      <c r="N696" s="9" t="str">
        <f>IFERROR((IF(VLOOKUP(A696,'ECN-ECO_DATA'!B:V,19,FALSE)=0/1/1900,"",VLOOKUP(A696,'ECN-ECO_DATA'!B:V,19,FALSE))),"")</f>
        <v/>
      </c>
      <c r="O696" s="9" t="str">
        <f>IFERROR((IF(VLOOKUP(A696,'ECN-ECO_DATA'!B:V,20,FALSE)=0/1/1900,"",VLOOKUP(A696,'ECN-ECO_DATA'!B:V,20,FALSE))),"")</f>
        <v/>
      </c>
      <c r="P696" s="9" t="str">
        <f>IFERROR((IF(VLOOKUP(A696,'ECN-ECO_DATA'!B:V,21,FALSE)=0/1/1900,"",VLOOKUP(A696,'ECN-ECO_DATA'!B:V,21,FALSE))),"")</f>
        <v/>
      </c>
      <c r="Q696" s="10" t="str">
        <f t="shared" ca="1" si="50"/>
        <v/>
      </c>
      <c r="R696" s="4" t="str">
        <f t="shared" si="51"/>
        <v/>
      </c>
      <c r="S696" s="4" t="str">
        <f t="shared" si="52"/>
        <v/>
      </c>
      <c r="T696" s="4" t="str">
        <f t="shared" si="53"/>
        <v/>
      </c>
      <c r="U696" s="10" t="str">
        <f t="shared" si="54"/>
        <v/>
      </c>
      <c r="V696" s="4"/>
    </row>
    <row r="697" spans="2:22" x14ac:dyDescent="0.25">
      <c r="B697" s="4" t="str">
        <f>IFERROR(VLOOKUP(A697,'ECN-ECO_DATA'!B:G,4,FALSE),"")</f>
        <v/>
      </c>
      <c r="C697" s="9" t="str">
        <f>IFERROR(VLOOKUP(A697,'ECN-ECO_DATA'!B:G,5,FALSE),"")</f>
        <v/>
      </c>
      <c r="D697" s="9" t="str">
        <f ca="1">IFERROR((IF(VLOOKUP(A697,'ECN-ECO_DATA'!B:G,6,FALSE)=0/1/1900,TODAY(),VLOOKUP(A697,'ECN-ECO_DATA'!B:G,6,FALSE))),"")</f>
        <v/>
      </c>
      <c r="E697" s="9" t="str">
        <f>IFERROR((IF(VLOOKUP(A697,'ECN-ECO_DATA'!B:G,6,FALSE)=0/1/1900,"",VLOOKUP(A697,'ECN-ECO_DATA'!B:G,6,FALSE))),"")</f>
        <v/>
      </c>
      <c r="F697" s="9" t="str">
        <f>IFERROR((IF(VLOOKUP(A697,'ECN-ECO_DATA'!B:J,7,FALSE)=0/1/1900,"",VLOOKUP(A697,'ECN-ECO_DATA'!B:J,7,FALSE))),"")</f>
        <v/>
      </c>
      <c r="G697" s="9" t="str">
        <f>IFERROR((IF(VLOOKUP(A697,'ECN-ECO_DATA'!B:J,8,FALSE)=0/1/1900,"",VLOOKUP(A697,'ECN-ECO_DATA'!B:J,8,FALSE))),"")</f>
        <v/>
      </c>
      <c r="H697" s="9" t="str">
        <f>IFERROR((IF(VLOOKUP(A697,'ECN-ECO_DATA'!B:J,9,FALSE)=0/1/1900,"",VLOOKUP(A697,'ECN-ECO_DATA'!B:J,9,FALSE))),"")</f>
        <v/>
      </c>
      <c r="I697" s="10" t="str">
        <f>IFERROR((IF(VLOOKUP(A697,'ECN-ECO_DATA'!B:Q,13,FALSE)="","",VLOOKUP(A697,'ECN-ECO_DATA'!B:Q,13,FALSE))),"")</f>
        <v/>
      </c>
      <c r="J697" s="10" t="str">
        <f>IFERROR((IF(VLOOKUP(A697,'ECN-ECO_DATA'!B:Q,14,FALSE)="","",VLOOKUP(A697,'ECN-ECO_DATA'!B:Q,14,FALSE))),"")</f>
        <v/>
      </c>
      <c r="K697" s="10" t="str">
        <f>IFERROR((IF(VLOOKUP(A697,'ECN-ECO_DATA'!B:Q,15,FALSE)="","",VLOOKUP(A697,'ECN-ECO_DATA'!B:Q,15,FALSE))),"")</f>
        <v/>
      </c>
      <c r="L697" s="10" t="str">
        <f>IFERROR((IF(VLOOKUP(A697,'ECN-ECO_DATA'!B:Q,16,FALSE)="","",VLOOKUP(A697,'ECN-ECO_DATA'!B:Q,16,FALSE))),"")</f>
        <v/>
      </c>
      <c r="M697" s="9" t="str">
        <f>IFERROR((IF(VLOOKUP(A697,'ECN-ECO_DATA'!B:V,18,FALSE)=0/1/1900,"",VLOOKUP(A697,'ECN-ECO_DATA'!B:V,18,FALSE))),"")</f>
        <v/>
      </c>
      <c r="N697" s="9" t="str">
        <f>IFERROR((IF(VLOOKUP(A697,'ECN-ECO_DATA'!B:V,19,FALSE)=0/1/1900,"",VLOOKUP(A697,'ECN-ECO_DATA'!B:V,19,FALSE))),"")</f>
        <v/>
      </c>
      <c r="O697" s="9" t="str">
        <f>IFERROR((IF(VLOOKUP(A697,'ECN-ECO_DATA'!B:V,20,FALSE)=0/1/1900,"",VLOOKUP(A697,'ECN-ECO_DATA'!B:V,20,FALSE))),"")</f>
        <v/>
      </c>
      <c r="P697" s="9" t="str">
        <f>IFERROR((IF(VLOOKUP(A697,'ECN-ECO_DATA'!B:V,21,FALSE)=0/1/1900,"",VLOOKUP(A697,'ECN-ECO_DATA'!B:V,21,FALSE))),"")</f>
        <v/>
      </c>
      <c r="Q697" s="10" t="str">
        <f t="shared" ca="1" si="50"/>
        <v/>
      </c>
      <c r="R697" s="4" t="str">
        <f t="shared" si="51"/>
        <v/>
      </c>
      <c r="S697" s="4" t="str">
        <f t="shared" si="52"/>
        <v/>
      </c>
      <c r="T697" s="4" t="str">
        <f t="shared" si="53"/>
        <v/>
      </c>
      <c r="U697" s="10" t="str">
        <f t="shared" si="54"/>
        <v/>
      </c>
      <c r="V697" s="4"/>
    </row>
    <row r="698" spans="2:22" x14ac:dyDescent="0.25">
      <c r="B698" s="4" t="str">
        <f>IFERROR(VLOOKUP(A698,'ECN-ECO_DATA'!B:G,4,FALSE),"")</f>
        <v/>
      </c>
      <c r="C698" s="9" t="str">
        <f>IFERROR(VLOOKUP(A698,'ECN-ECO_DATA'!B:G,5,FALSE),"")</f>
        <v/>
      </c>
      <c r="D698" s="9" t="str">
        <f ca="1">IFERROR((IF(VLOOKUP(A698,'ECN-ECO_DATA'!B:G,6,FALSE)=0/1/1900,TODAY(),VLOOKUP(A698,'ECN-ECO_DATA'!B:G,6,FALSE))),"")</f>
        <v/>
      </c>
      <c r="E698" s="9" t="str">
        <f>IFERROR((IF(VLOOKUP(A698,'ECN-ECO_DATA'!B:G,6,FALSE)=0/1/1900,"",VLOOKUP(A698,'ECN-ECO_DATA'!B:G,6,FALSE))),"")</f>
        <v/>
      </c>
      <c r="F698" s="9" t="str">
        <f>IFERROR((IF(VLOOKUP(A698,'ECN-ECO_DATA'!B:J,7,FALSE)=0/1/1900,"",VLOOKUP(A698,'ECN-ECO_DATA'!B:J,7,FALSE))),"")</f>
        <v/>
      </c>
      <c r="G698" s="9" t="str">
        <f>IFERROR((IF(VLOOKUP(A698,'ECN-ECO_DATA'!B:J,8,FALSE)=0/1/1900,"",VLOOKUP(A698,'ECN-ECO_DATA'!B:J,8,FALSE))),"")</f>
        <v/>
      </c>
      <c r="H698" s="9" t="str">
        <f>IFERROR((IF(VLOOKUP(A698,'ECN-ECO_DATA'!B:J,9,FALSE)=0/1/1900,"",VLOOKUP(A698,'ECN-ECO_DATA'!B:J,9,FALSE))),"")</f>
        <v/>
      </c>
      <c r="I698" s="10" t="str">
        <f>IFERROR((IF(VLOOKUP(A698,'ECN-ECO_DATA'!B:Q,13,FALSE)="","",VLOOKUP(A698,'ECN-ECO_DATA'!B:Q,13,FALSE))),"")</f>
        <v/>
      </c>
      <c r="J698" s="10" t="str">
        <f>IFERROR((IF(VLOOKUP(A698,'ECN-ECO_DATA'!B:Q,14,FALSE)="","",VLOOKUP(A698,'ECN-ECO_DATA'!B:Q,14,FALSE))),"")</f>
        <v/>
      </c>
      <c r="K698" s="10" t="str">
        <f>IFERROR((IF(VLOOKUP(A698,'ECN-ECO_DATA'!B:Q,15,FALSE)="","",VLOOKUP(A698,'ECN-ECO_DATA'!B:Q,15,FALSE))),"")</f>
        <v/>
      </c>
      <c r="L698" s="10" t="str">
        <f>IFERROR((IF(VLOOKUP(A698,'ECN-ECO_DATA'!B:Q,16,FALSE)="","",VLOOKUP(A698,'ECN-ECO_DATA'!B:Q,16,FALSE))),"")</f>
        <v/>
      </c>
      <c r="M698" s="9" t="str">
        <f>IFERROR((IF(VLOOKUP(A698,'ECN-ECO_DATA'!B:V,18,FALSE)=0/1/1900,"",VLOOKUP(A698,'ECN-ECO_DATA'!B:V,18,FALSE))),"")</f>
        <v/>
      </c>
      <c r="N698" s="9" t="str">
        <f>IFERROR((IF(VLOOKUP(A698,'ECN-ECO_DATA'!B:V,19,FALSE)=0/1/1900,"",VLOOKUP(A698,'ECN-ECO_DATA'!B:V,19,FALSE))),"")</f>
        <v/>
      </c>
      <c r="O698" s="9" t="str">
        <f>IFERROR((IF(VLOOKUP(A698,'ECN-ECO_DATA'!B:V,20,FALSE)=0/1/1900,"",VLOOKUP(A698,'ECN-ECO_DATA'!B:V,20,FALSE))),"")</f>
        <v/>
      </c>
      <c r="P698" s="9" t="str">
        <f>IFERROR((IF(VLOOKUP(A698,'ECN-ECO_DATA'!B:V,21,FALSE)=0/1/1900,"",VLOOKUP(A698,'ECN-ECO_DATA'!B:V,21,FALSE))),"")</f>
        <v/>
      </c>
      <c r="Q698" s="10" t="str">
        <f t="shared" ca="1" si="50"/>
        <v/>
      </c>
      <c r="R698" s="4" t="str">
        <f t="shared" si="51"/>
        <v/>
      </c>
      <c r="S698" s="4" t="str">
        <f t="shared" si="52"/>
        <v/>
      </c>
      <c r="T698" s="4" t="str">
        <f t="shared" si="53"/>
        <v/>
      </c>
      <c r="U698" s="10" t="str">
        <f t="shared" si="54"/>
        <v/>
      </c>
      <c r="V698" s="4"/>
    </row>
    <row r="699" spans="2:22" x14ac:dyDescent="0.25">
      <c r="B699" s="4" t="str">
        <f>IFERROR(VLOOKUP(A699,'ECN-ECO_DATA'!B:G,4,FALSE),"")</f>
        <v/>
      </c>
      <c r="C699" s="9" t="str">
        <f>IFERROR(VLOOKUP(A699,'ECN-ECO_DATA'!B:G,5,FALSE),"")</f>
        <v/>
      </c>
      <c r="D699" s="9" t="str">
        <f ca="1">IFERROR((IF(VLOOKUP(A699,'ECN-ECO_DATA'!B:G,6,FALSE)=0/1/1900,TODAY(),VLOOKUP(A699,'ECN-ECO_DATA'!B:G,6,FALSE))),"")</f>
        <v/>
      </c>
      <c r="E699" s="9" t="str">
        <f>IFERROR((IF(VLOOKUP(A699,'ECN-ECO_DATA'!B:G,6,FALSE)=0/1/1900,"",VLOOKUP(A699,'ECN-ECO_DATA'!B:G,6,FALSE))),"")</f>
        <v/>
      </c>
      <c r="F699" s="9" t="str">
        <f>IFERROR((IF(VLOOKUP(A699,'ECN-ECO_DATA'!B:J,7,FALSE)=0/1/1900,"",VLOOKUP(A699,'ECN-ECO_DATA'!B:J,7,FALSE))),"")</f>
        <v/>
      </c>
      <c r="G699" s="9" t="str">
        <f>IFERROR((IF(VLOOKUP(A699,'ECN-ECO_DATA'!B:J,8,FALSE)=0/1/1900,"",VLOOKUP(A699,'ECN-ECO_DATA'!B:J,8,FALSE))),"")</f>
        <v/>
      </c>
      <c r="H699" s="9" t="str">
        <f>IFERROR((IF(VLOOKUP(A699,'ECN-ECO_DATA'!B:J,9,FALSE)=0/1/1900,"",VLOOKUP(A699,'ECN-ECO_DATA'!B:J,9,FALSE))),"")</f>
        <v/>
      </c>
      <c r="I699" s="10" t="str">
        <f>IFERROR((IF(VLOOKUP(A699,'ECN-ECO_DATA'!B:Q,13,FALSE)="","",VLOOKUP(A699,'ECN-ECO_DATA'!B:Q,13,FALSE))),"")</f>
        <v/>
      </c>
      <c r="J699" s="10" t="str">
        <f>IFERROR((IF(VLOOKUP(A699,'ECN-ECO_DATA'!B:Q,14,FALSE)="","",VLOOKUP(A699,'ECN-ECO_DATA'!B:Q,14,FALSE))),"")</f>
        <v/>
      </c>
      <c r="K699" s="10" t="str">
        <f>IFERROR((IF(VLOOKUP(A699,'ECN-ECO_DATA'!B:Q,15,FALSE)="","",VLOOKUP(A699,'ECN-ECO_DATA'!B:Q,15,FALSE))),"")</f>
        <v/>
      </c>
      <c r="L699" s="10" t="str">
        <f>IFERROR((IF(VLOOKUP(A699,'ECN-ECO_DATA'!B:Q,16,FALSE)="","",VLOOKUP(A699,'ECN-ECO_DATA'!B:Q,16,FALSE))),"")</f>
        <v/>
      </c>
      <c r="M699" s="9" t="str">
        <f>IFERROR((IF(VLOOKUP(A699,'ECN-ECO_DATA'!B:V,18,FALSE)=0/1/1900,"",VLOOKUP(A699,'ECN-ECO_DATA'!B:V,18,FALSE))),"")</f>
        <v/>
      </c>
      <c r="N699" s="9" t="str">
        <f>IFERROR((IF(VLOOKUP(A699,'ECN-ECO_DATA'!B:V,19,FALSE)=0/1/1900,"",VLOOKUP(A699,'ECN-ECO_DATA'!B:V,19,FALSE))),"")</f>
        <v/>
      </c>
      <c r="O699" s="9" t="str">
        <f>IFERROR((IF(VLOOKUP(A699,'ECN-ECO_DATA'!B:V,20,FALSE)=0/1/1900,"",VLOOKUP(A699,'ECN-ECO_DATA'!B:V,20,FALSE))),"")</f>
        <v/>
      </c>
      <c r="P699" s="9" t="str">
        <f>IFERROR((IF(VLOOKUP(A699,'ECN-ECO_DATA'!B:V,21,FALSE)=0/1/1900,"",VLOOKUP(A699,'ECN-ECO_DATA'!B:V,21,FALSE))),"")</f>
        <v/>
      </c>
      <c r="Q699" s="10" t="str">
        <f t="shared" ca="1" si="50"/>
        <v/>
      </c>
      <c r="R699" s="4" t="str">
        <f t="shared" si="51"/>
        <v/>
      </c>
      <c r="S699" s="4" t="str">
        <f t="shared" si="52"/>
        <v/>
      </c>
      <c r="T699" s="4" t="str">
        <f t="shared" si="53"/>
        <v/>
      </c>
      <c r="U699" s="10" t="str">
        <f t="shared" si="54"/>
        <v/>
      </c>
      <c r="V699" s="4"/>
    </row>
    <row r="700" spans="2:22" x14ac:dyDescent="0.25">
      <c r="B700" s="4" t="str">
        <f>IFERROR(VLOOKUP(A700,'ECN-ECO_DATA'!B:G,4,FALSE),"")</f>
        <v/>
      </c>
      <c r="C700" s="9" t="str">
        <f>IFERROR(VLOOKUP(A700,'ECN-ECO_DATA'!B:G,5,FALSE),"")</f>
        <v/>
      </c>
      <c r="D700" s="9" t="str">
        <f ca="1">IFERROR((IF(VLOOKUP(A700,'ECN-ECO_DATA'!B:G,6,FALSE)=0/1/1900,TODAY(),VLOOKUP(A700,'ECN-ECO_DATA'!B:G,6,FALSE))),"")</f>
        <v/>
      </c>
      <c r="E700" s="9" t="str">
        <f>IFERROR((IF(VLOOKUP(A700,'ECN-ECO_DATA'!B:G,6,FALSE)=0/1/1900,"",VLOOKUP(A700,'ECN-ECO_DATA'!B:G,6,FALSE))),"")</f>
        <v/>
      </c>
      <c r="F700" s="9" t="str">
        <f>IFERROR((IF(VLOOKUP(A700,'ECN-ECO_DATA'!B:J,7,FALSE)=0/1/1900,"",VLOOKUP(A700,'ECN-ECO_DATA'!B:J,7,FALSE))),"")</f>
        <v/>
      </c>
      <c r="G700" s="9" t="str">
        <f>IFERROR((IF(VLOOKUP(A700,'ECN-ECO_DATA'!B:J,8,FALSE)=0/1/1900,"",VLOOKUP(A700,'ECN-ECO_DATA'!B:J,8,FALSE))),"")</f>
        <v/>
      </c>
      <c r="H700" s="9" t="str">
        <f>IFERROR((IF(VLOOKUP(A700,'ECN-ECO_DATA'!B:J,9,FALSE)=0/1/1900,"",VLOOKUP(A700,'ECN-ECO_DATA'!B:J,9,FALSE))),"")</f>
        <v/>
      </c>
      <c r="I700" s="10" t="str">
        <f>IFERROR((IF(VLOOKUP(A700,'ECN-ECO_DATA'!B:Q,13,FALSE)="","",VLOOKUP(A700,'ECN-ECO_DATA'!B:Q,13,FALSE))),"")</f>
        <v/>
      </c>
      <c r="J700" s="10" t="str">
        <f>IFERROR((IF(VLOOKUP(A700,'ECN-ECO_DATA'!B:Q,14,FALSE)="","",VLOOKUP(A700,'ECN-ECO_DATA'!B:Q,14,FALSE))),"")</f>
        <v/>
      </c>
      <c r="K700" s="10" t="str">
        <f>IFERROR((IF(VLOOKUP(A700,'ECN-ECO_DATA'!B:Q,15,FALSE)="","",VLOOKUP(A700,'ECN-ECO_DATA'!B:Q,15,FALSE))),"")</f>
        <v/>
      </c>
      <c r="L700" s="10" t="str">
        <f>IFERROR((IF(VLOOKUP(A700,'ECN-ECO_DATA'!B:Q,16,FALSE)="","",VLOOKUP(A700,'ECN-ECO_DATA'!B:Q,16,FALSE))),"")</f>
        <v/>
      </c>
      <c r="M700" s="9" t="str">
        <f>IFERROR((IF(VLOOKUP(A700,'ECN-ECO_DATA'!B:V,18,FALSE)=0/1/1900,"",VLOOKUP(A700,'ECN-ECO_DATA'!B:V,18,FALSE))),"")</f>
        <v/>
      </c>
      <c r="N700" s="9" t="str">
        <f>IFERROR((IF(VLOOKUP(A700,'ECN-ECO_DATA'!B:V,19,FALSE)=0/1/1900,"",VLOOKUP(A700,'ECN-ECO_DATA'!B:V,19,FALSE))),"")</f>
        <v/>
      </c>
      <c r="O700" s="9" t="str">
        <f>IFERROR((IF(VLOOKUP(A700,'ECN-ECO_DATA'!B:V,20,FALSE)=0/1/1900,"",VLOOKUP(A700,'ECN-ECO_DATA'!B:V,20,FALSE))),"")</f>
        <v/>
      </c>
      <c r="P700" s="9" t="str">
        <f>IFERROR((IF(VLOOKUP(A700,'ECN-ECO_DATA'!B:V,21,FALSE)=0/1/1900,"",VLOOKUP(A700,'ECN-ECO_DATA'!B:V,21,FALSE))),"")</f>
        <v/>
      </c>
      <c r="Q700" s="10" t="str">
        <f t="shared" ca="1" si="50"/>
        <v/>
      </c>
      <c r="R700" s="4" t="str">
        <f t="shared" si="51"/>
        <v/>
      </c>
      <c r="S700" s="4" t="str">
        <f t="shared" si="52"/>
        <v/>
      </c>
      <c r="T700" s="4" t="str">
        <f t="shared" si="53"/>
        <v/>
      </c>
      <c r="U700" s="10" t="str">
        <f t="shared" si="54"/>
        <v/>
      </c>
      <c r="V700" s="4"/>
    </row>
    <row r="701" spans="2:22" x14ac:dyDescent="0.25">
      <c r="B701" s="4" t="str">
        <f>IFERROR(VLOOKUP(A701,'ECN-ECO_DATA'!B:G,4,FALSE),"")</f>
        <v/>
      </c>
      <c r="C701" s="9" t="str">
        <f>IFERROR(VLOOKUP(A701,'ECN-ECO_DATA'!B:G,5,FALSE),"")</f>
        <v/>
      </c>
      <c r="D701" s="9" t="str">
        <f ca="1">IFERROR((IF(VLOOKUP(A701,'ECN-ECO_DATA'!B:G,6,FALSE)=0/1/1900,TODAY(),VLOOKUP(A701,'ECN-ECO_DATA'!B:G,6,FALSE))),"")</f>
        <v/>
      </c>
      <c r="E701" s="9" t="str">
        <f>IFERROR((IF(VLOOKUP(A701,'ECN-ECO_DATA'!B:G,6,FALSE)=0/1/1900,"",VLOOKUP(A701,'ECN-ECO_DATA'!B:G,6,FALSE))),"")</f>
        <v/>
      </c>
      <c r="F701" s="9" t="str">
        <f>IFERROR((IF(VLOOKUP(A701,'ECN-ECO_DATA'!B:J,7,FALSE)=0/1/1900,"",VLOOKUP(A701,'ECN-ECO_DATA'!B:J,7,FALSE))),"")</f>
        <v/>
      </c>
      <c r="G701" s="9" t="str">
        <f>IFERROR((IF(VLOOKUP(A701,'ECN-ECO_DATA'!B:J,8,FALSE)=0/1/1900,"",VLOOKUP(A701,'ECN-ECO_DATA'!B:J,8,FALSE))),"")</f>
        <v/>
      </c>
      <c r="H701" s="9" t="str">
        <f>IFERROR((IF(VLOOKUP(A701,'ECN-ECO_DATA'!B:J,9,FALSE)=0/1/1900,"",VLOOKUP(A701,'ECN-ECO_DATA'!B:J,9,FALSE))),"")</f>
        <v/>
      </c>
      <c r="I701" s="10" t="str">
        <f>IFERROR((IF(VLOOKUP(A701,'ECN-ECO_DATA'!B:Q,13,FALSE)="","",VLOOKUP(A701,'ECN-ECO_DATA'!B:Q,13,FALSE))),"")</f>
        <v/>
      </c>
      <c r="J701" s="10" t="str">
        <f>IFERROR((IF(VLOOKUP(A701,'ECN-ECO_DATA'!B:Q,14,FALSE)="","",VLOOKUP(A701,'ECN-ECO_DATA'!B:Q,14,FALSE))),"")</f>
        <v/>
      </c>
      <c r="K701" s="10" t="str">
        <f>IFERROR((IF(VLOOKUP(A701,'ECN-ECO_DATA'!B:Q,15,FALSE)="","",VLOOKUP(A701,'ECN-ECO_DATA'!B:Q,15,FALSE))),"")</f>
        <v/>
      </c>
      <c r="L701" s="10" t="str">
        <f>IFERROR((IF(VLOOKUP(A701,'ECN-ECO_DATA'!B:Q,16,FALSE)="","",VLOOKUP(A701,'ECN-ECO_DATA'!B:Q,16,FALSE))),"")</f>
        <v/>
      </c>
      <c r="M701" s="9" t="str">
        <f>IFERROR((IF(VLOOKUP(A701,'ECN-ECO_DATA'!B:V,18,FALSE)=0/1/1900,"",VLOOKUP(A701,'ECN-ECO_DATA'!B:V,18,FALSE))),"")</f>
        <v/>
      </c>
      <c r="N701" s="9" t="str">
        <f>IFERROR((IF(VLOOKUP(A701,'ECN-ECO_DATA'!B:V,19,FALSE)=0/1/1900,"",VLOOKUP(A701,'ECN-ECO_DATA'!B:V,19,FALSE))),"")</f>
        <v/>
      </c>
      <c r="O701" s="9" t="str">
        <f>IFERROR((IF(VLOOKUP(A701,'ECN-ECO_DATA'!B:V,20,FALSE)=0/1/1900,"",VLOOKUP(A701,'ECN-ECO_DATA'!B:V,20,FALSE))),"")</f>
        <v/>
      </c>
      <c r="P701" s="9" t="str">
        <f>IFERROR((IF(VLOOKUP(A701,'ECN-ECO_DATA'!B:V,21,FALSE)=0/1/1900,"",VLOOKUP(A701,'ECN-ECO_DATA'!B:V,21,FALSE))),"")</f>
        <v/>
      </c>
      <c r="Q701" s="10" t="str">
        <f t="shared" ca="1" si="50"/>
        <v/>
      </c>
      <c r="R701" s="4" t="str">
        <f t="shared" si="51"/>
        <v/>
      </c>
      <c r="S701" s="4" t="str">
        <f t="shared" si="52"/>
        <v/>
      </c>
      <c r="T701" s="4" t="str">
        <f t="shared" si="53"/>
        <v/>
      </c>
      <c r="U701" s="10" t="str">
        <f t="shared" si="54"/>
        <v/>
      </c>
      <c r="V701" s="4"/>
    </row>
    <row r="702" spans="2:22" x14ac:dyDescent="0.25">
      <c r="B702" s="4" t="str">
        <f>IFERROR(VLOOKUP(A702,'ECN-ECO_DATA'!B:G,4,FALSE),"")</f>
        <v/>
      </c>
      <c r="C702" s="9" t="str">
        <f>IFERROR(VLOOKUP(A702,'ECN-ECO_DATA'!B:G,5,FALSE),"")</f>
        <v/>
      </c>
      <c r="D702" s="9" t="str">
        <f ca="1">IFERROR((IF(VLOOKUP(A702,'ECN-ECO_DATA'!B:G,6,FALSE)=0/1/1900,TODAY(),VLOOKUP(A702,'ECN-ECO_DATA'!B:G,6,FALSE))),"")</f>
        <v/>
      </c>
      <c r="E702" s="9" t="str">
        <f>IFERROR((IF(VLOOKUP(A702,'ECN-ECO_DATA'!B:G,6,FALSE)=0/1/1900,"",VLOOKUP(A702,'ECN-ECO_DATA'!B:G,6,FALSE))),"")</f>
        <v/>
      </c>
      <c r="F702" s="9" t="str">
        <f>IFERROR((IF(VLOOKUP(A702,'ECN-ECO_DATA'!B:J,7,FALSE)=0/1/1900,"",VLOOKUP(A702,'ECN-ECO_DATA'!B:J,7,FALSE))),"")</f>
        <v/>
      </c>
      <c r="G702" s="9" t="str">
        <f>IFERROR((IF(VLOOKUP(A702,'ECN-ECO_DATA'!B:J,8,FALSE)=0/1/1900,"",VLOOKUP(A702,'ECN-ECO_DATA'!B:J,8,FALSE))),"")</f>
        <v/>
      </c>
      <c r="H702" s="9" t="str">
        <f>IFERROR((IF(VLOOKUP(A702,'ECN-ECO_DATA'!B:J,9,FALSE)=0/1/1900,"",VLOOKUP(A702,'ECN-ECO_DATA'!B:J,9,FALSE))),"")</f>
        <v/>
      </c>
      <c r="I702" s="10" t="str">
        <f>IFERROR((IF(VLOOKUP(A702,'ECN-ECO_DATA'!B:Q,13,FALSE)="","",VLOOKUP(A702,'ECN-ECO_DATA'!B:Q,13,FALSE))),"")</f>
        <v/>
      </c>
      <c r="J702" s="10" t="str">
        <f>IFERROR((IF(VLOOKUP(A702,'ECN-ECO_DATA'!B:Q,14,FALSE)="","",VLOOKUP(A702,'ECN-ECO_DATA'!B:Q,14,FALSE))),"")</f>
        <v/>
      </c>
      <c r="K702" s="10" t="str">
        <f>IFERROR((IF(VLOOKUP(A702,'ECN-ECO_DATA'!B:Q,15,FALSE)="","",VLOOKUP(A702,'ECN-ECO_DATA'!B:Q,15,FALSE))),"")</f>
        <v/>
      </c>
      <c r="L702" s="10" t="str">
        <f>IFERROR((IF(VLOOKUP(A702,'ECN-ECO_DATA'!B:Q,16,FALSE)="","",VLOOKUP(A702,'ECN-ECO_DATA'!B:Q,16,FALSE))),"")</f>
        <v/>
      </c>
      <c r="M702" s="9" t="str">
        <f>IFERROR((IF(VLOOKUP(A702,'ECN-ECO_DATA'!B:V,18,FALSE)=0/1/1900,"",VLOOKUP(A702,'ECN-ECO_DATA'!B:V,18,FALSE))),"")</f>
        <v/>
      </c>
      <c r="N702" s="9" t="str">
        <f>IFERROR((IF(VLOOKUP(A702,'ECN-ECO_DATA'!B:V,19,FALSE)=0/1/1900,"",VLOOKUP(A702,'ECN-ECO_DATA'!B:V,19,FALSE))),"")</f>
        <v/>
      </c>
      <c r="O702" s="9" t="str">
        <f>IFERROR((IF(VLOOKUP(A702,'ECN-ECO_DATA'!B:V,20,FALSE)=0/1/1900,"",VLOOKUP(A702,'ECN-ECO_DATA'!B:V,20,FALSE))),"")</f>
        <v/>
      </c>
      <c r="P702" s="9" t="str">
        <f>IFERROR((IF(VLOOKUP(A702,'ECN-ECO_DATA'!B:V,21,FALSE)=0/1/1900,"",VLOOKUP(A702,'ECN-ECO_DATA'!B:V,21,FALSE))),"")</f>
        <v/>
      </c>
      <c r="Q702" s="10" t="str">
        <f t="shared" ca="1" si="50"/>
        <v/>
      </c>
      <c r="R702" s="4" t="str">
        <f t="shared" si="51"/>
        <v/>
      </c>
      <c r="S702" s="4" t="str">
        <f t="shared" si="52"/>
        <v/>
      </c>
      <c r="T702" s="4" t="str">
        <f t="shared" si="53"/>
        <v/>
      </c>
      <c r="U702" s="10" t="str">
        <f t="shared" si="54"/>
        <v/>
      </c>
      <c r="V702" s="4"/>
    </row>
    <row r="703" spans="2:22" x14ac:dyDescent="0.25">
      <c r="B703" s="4" t="str">
        <f>IFERROR(VLOOKUP(A703,'ECN-ECO_DATA'!B:G,4,FALSE),"")</f>
        <v/>
      </c>
      <c r="C703" s="9" t="str">
        <f>IFERROR(VLOOKUP(A703,'ECN-ECO_DATA'!B:G,5,FALSE),"")</f>
        <v/>
      </c>
      <c r="D703" s="9" t="str">
        <f ca="1">IFERROR((IF(VLOOKUP(A703,'ECN-ECO_DATA'!B:G,6,FALSE)=0/1/1900,TODAY(),VLOOKUP(A703,'ECN-ECO_DATA'!B:G,6,FALSE))),"")</f>
        <v/>
      </c>
      <c r="E703" s="9" t="str">
        <f>IFERROR((IF(VLOOKUP(A703,'ECN-ECO_DATA'!B:G,6,FALSE)=0/1/1900,"",VLOOKUP(A703,'ECN-ECO_DATA'!B:G,6,FALSE))),"")</f>
        <v/>
      </c>
      <c r="F703" s="9" t="str">
        <f>IFERROR((IF(VLOOKUP(A703,'ECN-ECO_DATA'!B:J,7,FALSE)=0/1/1900,"",VLOOKUP(A703,'ECN-ECO_DATA'!B:J,7,FALSE))),"")</f>
        <v/>
      </c>
      <c r="G703" s="9" t="str">
        <f>IFERROR((IF(VLOOKUP(A703,'ECN-ECO_DATA'!B:J,8,FALSE)=0/1/1900,"",VLOOKUP(A703,'ECN-ECO_DATA'!B:J,8,FALSE))),"")</f>
        <v/>
      </c>
      <c r="H703" s="9" t="str">
        <f>IFERROR((IF(VLOOKUP(A703,'ECN-ECO_DATA'!B:J,9,FALSE)=0/1/1900,"",VLOOKUP(A703,'ECN-ECO_DATA'!B:J,9,FALSE))),"")</f>
        <v/>
      </c>
      <c r="I703" s="10" t="str">
        <f>IFERROR((IF(VLOOKUP(A703,'ECN-ECO_DATA'!B:Q,13,FALSE)="","",VLOOKUP(A703,'ECN-ECO_DATA'!B:Q,13,FALSE))),"")</f>
        <v/>
      </c>
      <c r="J703" s="10" t="str">
        <f>IFERROR((IF(VLOOKUP(A703,'ECN-ECO_DATA'!B:Q,14,FALSE)="","",VLOOKUP(A703,'ECN-ECO_DATA'!B:Q,14,FALSE))),"")</f>
        <v/>
      </c>
      <c r="K703" s="10" t="str">
        <f>IFERROR((IF(VLOOKUP(A703,'ECN-ECO_DATA'!B:Q,15,FALSE)="","",VLOOKUP(A703,'ECN-ECO_DATA'!B:Q,15,FALSE))),"")</f>
        <v/>
      </c>
      <c r="L703" s="10" t="str">
        <f>IFERROR((IF(VLOOKUP(A703,'ECN-ECO_DATA'!B:Q,16,FALSE)="","",VLOOKUP(A703,'ECN-ECO_DATA'!B:Q,16,FALSE))),"")</f>
        <v/>
      </c>
      <c r="M703" s="9" t="str">
        <f>IFERROR((IF(VLOOKUP(A703,'ECN-ECO_DATA'!B:V,18,FALSE)=0/1/1900,"",VLOOKUP(A703,'ECN-ECO_DATA'!B:V,18,FALSE))),"")</f>
        <v/>
      </c>
      <c r="N703" s="9" t="str">
        <f>IFERROR((IF(VLOOKUP(A703,'ECN-ECO_DATA'!B:V,19,FALSE)=0/1/1900,"",VLOOKUP(A703,'ECN-ECO_DATA'!B:V,19,FALSE))),"")</f>
        <v/>
      </c>
      <c r="O703" s="9" t="str">
        <f>IFERROR((IF(VLOOKUP(A703,'ECN-ECO_DATA'!B:V,20,FALSE)=0/1/1900,"",VLOOKUP(A703,'ECN-ECO_DATA'!B:V,20,FALSE))),"")</f>
        <v/>
      </c>
      <c r="P703" s="9" t="str">
        <f>IFERROR((IF(VLOOKUP(A703,'ECN-ECO_DATA'!B:V,21,FALSE)=0/1/1900,"",VLOOKUP(A703,'ECN-ECO_DATA'!B:V,21,FALSE))),"")</f>
        <v/>
      </c>
      <c r="Q703" s="10" t="str">
        <f t="shared" ca="1" si="50"/>
        <v/>
      </c>
      <c r="R703" s="4" t="str">
        <f t="shared" si="51"/>
        <v/>
      </c>
      <c r="S703" s="4" t="str">
        <f t="shared" si="52"/>
        <v/>
      </c>
      <c r="T703" s="4" t="str">
        <f t="shared" si="53"/>
        <v/>
      </c>
      <c r="U703" s="10" t="str">
        <f t="shared" si="54"/>
        <v/>
      </c>
      <c r="V703" s="4"/>
    </row>
    <row r="704" spans="2:22" x14ac:dyDescent="0.25">
      <c r="B704" s="4" t="str">
        <f>IFERROR(VLOOKUP(A704,'ECN-ECO_DATA'!B:G,4,FALSE),"")</f>
        <v/>
      </c>
      <c r="C704" s="9" t="str">
        <f>IFERROR(VLOOKUP(A704,'ECN-ECO_DATA'!B:G,5,FALSE),"")</f>
        <v/>
      </c>
      <c r="D704" s="9" t="str">
        <f ca="1">IFERROR((IF(VLOOKUP(A704,'ECN-ECO_DATA'!B:G,6,FALSE)=0/1/1900,TODAY(),VLOOKUP(A704,'ECN-ECO_DATA'!B:G,6,FALSE))),"")</f>
        <v/>
      </c>
      <c r="E704" s="9" t="str">
        <f>IFERROR((IF(VLOOKUP(A704,'ECN-ECO_DATA'!B:G,6,FALSE)=0/1/1900,"",VLOOKUP(A704,'ECN-ECO_DATA'!B:G,6,FALSE))),"")</f>
        <v/>
      </c>
      <c r="F704" s="9" t="str">
        <f>IFERROR((IF(VLOOKUP(A704,'ECN-ECO_DATA'!B:J,7,FALSE)=0/1/1900,"",VLOOKUP(A704,'ECN-ECO_DATA'!B:J,7,FALSE))),"")</f>
        <v/>
      </c>
      <c r="G704" s="9" t="str">
        <f>IFERROR((IF(VLOOKUP(A704,'ECN-ECO_DATA'!B:J,8,FALSE)=0/1/1900,"",VLOOKUP(A704,'ECN-ECO_DATA'!B:J,8,FALSE))),"")</f>
        <v/>
      </c>
      <c r="H704" s="9" t="str">
        <f>IFERROR((IF(VLOOKUP(A704,'ECN-ECO_DATA'!B:J,9,FALSE)=0/1/1900,"",VLOOKUP(A704,'ECN-ECO_DATA'!B:J,9,FALSE))),"")</f>
        <v/>
      </c>
      <c r="I704" s="10" t="str">
        <f>IFERROR((IF(VLOOKUP(A704,'ECN-ECO_DATA'!B:Q,13,FALSE)="","",VLOOKUP(A704,'ECN-ECO_DATA'!B:Q,13,FALSE))),"")</f>
        <v/>
      </c>
      <c r="J704" s="10" t="str">
        <f>IFERROR((IF(VLOOKUP(A704,'ECN-ECO_DATA'!B:Q,14,FALSE)="","",VLOOKUP(A704,'ECN-ECO_DATA'!B:Q,14,FALSE))),"")</f>
        <v/>
      </c>
      <c r="K704" s="10" t="str">
        <f>IFERROR((IF(VLOOKUP(A704,'ECN-ECO_DATA'!B:Q,15,FALSE)="","",VLOOKUP(A704,'ECN-ECO_DATA'!B:Q,15,FALSE))),"")</f>
        <v/>
      </c>
      <c r="L704" s="10" t="str">
        <f>IFERROR((IF(VLOOKUP(A704,'ECN-ECO_DATA'!B:Q,16,FALSE)="","",VLOOKUP(A704,'ECN-ECO_DATA'!B:Q,16,FALSE))),"")</f>
        <v/>
      </c>
      <c r="M704" s="9" t="str">
        <f>IFERROR((IF(VLOOKUP(A704,'ECN-ECO_DATA'!B:V,18,FALSE)=0/1/1900,"",VLOOKUP(A704,'ECN-ECO_DATA'!B:V,18,FALSE))),"")</f>
        <v/>
      </c>
      <c r="N704" s="9" t="str">
        <f>IFERROR((IF(VLOOKUP(A704,'ECN-ECO_DATA'!B:V,19,FALSE)=0/1/1900,"",VLOOKUP(A704,'ECN-ECO_DATA'!B:V,19,FALSE))),"")</f>
        <v/>
      </c>
      <c r="O704" s="9" t="str">
        <f>IFERROR((IF(VLOOKUP(A704,'ECN-ECO_DATA'!B:V,20,FALSE)=0/1/1900,"",VLOOKUP(A704,'ECN-ECO_DATA'!B:V,20,FALSE))),"")</f>
        <v/>
      </c>
      <c r="P704" s="9" t="str">
        <f>IFERROR((IF(VLOOKUP(A704,'ECN-ECO_DATA'!B:V,21,FALSE)=0/1/1900,"",VLOOKUP(A704,'ECN-ECO_DATA'!B:V,21,FALSE))),"")</f>
        <v/>
      </c>
      <c r="Q704" s="10" t="str">
        <f t="shared" ca="1" si="50"/>
        <v/>
      </c>
      <c r="R704" s="4" t="str">
        <f t="shared" si="51"/>
        <v/>
      </c>
      <c r="S704" s="4" t="str">
        <f t="shared" si="52"/>
        <v/>
      </c>
      <c r="T704" s="4" t="str">
        <f t="shared" si="53"/>
        <v/>
      </c>
      <c r="U704" s="10" t="str">
        <f t="shared" si="54"/>
        <v/>
      </c>
      <c r="V704" s="4"/>
    </row>
    <row r="705" spans="2:22" x14ac:dyDescent="0.25">
      <c r="B705" s="4" t="str">
        <f>IFERROR(VLOOKUP(A705,'ECN-ECO_DATA'!B:G,4,FALSE),"")</f>
        <v/>
      </c>
      <c r="C705" s="9" t="str">
        <f>IFERROR(VLOOKUP(A705,'ECN-ECO_DATA'!B:G,5,FALSE),"")</f>
        <v/>
      </c>
      <c r="D705" s="9" t="str">
        <f ca="1">IFERROR((IF(VLOOKUP(A705,'ECN-ECO_DATA'!B:G,6,FALSE)=0/1/1900,TODAY(),VLOOKUP(A705,'ECN-ECO_DATA'!B:G,6,FALSE))),"")</f>
        <v/>
      </c>
      <c r="E705" s="9" t="str">
        <f>IFERROR((IF(VLOOKUP(A705,'ECN-ECO_DATA'!B:G,6,FALSE)=0/1/1900,"",VLOOKUP(A705,'ECN-ECO_DATA'!B:G,6,FALSE))),"")</f>
        <v/>
      </c>
      <c r="F705" s="9" t="str">
        <f>IFERROR((IF(VLOOKUP(A705,'ECN-ECO_DATA'!B:J,7,FALSE)=0/1/1900,"",VLOOKUP(A705,'ECN-ECO_DATA'!B:J,7,FALSE))),"")</f>
        <v/>
      </c>
      <c r="G705" s="9" t="str">
        <f>IFERROR((IF(VLOOKUP(A705,'ECN-ECO_DATA'!B:J,8,FALSE)=0/1/1900,"",VLOOKUP(A705,'ECN-ECO_DATA'!B:J,8,FALSE))),"")</f>
        <v/>
      </c>
      <c r="H705" s="9" t="str">
        <f>IFERROR((IF(VLOOKUP(A705,'ECN-ECO_DATA'!B:J,9,FALSE)=0/1/1900,"",VLOOKUP(A705,'ECN-ECO_DATA'!B:J,9,FALSE))),"")</f>
        <v/>
      </c>
      <c r="I705" s="10" t="str">
        <f>IFERROR((IF(VLOOKUP(A705,'ECN-ECO_DATA'!B:Q,13,FALSE)="","",VLOOKUP(A705,'ECN-ECO_DATA'!B:Q,13,FALSE))),"")</f>
        <v/>
      </c>
      <c r="J705" s="10" t="str">
        <f>IFERROR((IF(VLOOKUP(A705,'ECN-ECO_DATA'!B:Q,14,FALSE)="","",VLOOKUP(A705,'ECN-ECO_DATA'!B:Q,14,FALSE))),"")</f>
        <v/>
      </c>
      <c r="K705" s="10" t="str">
        <f>IFERROR((IF(VLOOKUP(A705,'ECN-ECO_DATA'!B:Q,15,FALSE)="","",VLOOKUP(A705,'ECN-ECO_DATA'!B:Q,15,FALSE))),"")</f>
        <v/>
      </c>
      <c r="L705" s="10" t="str">
        <f>IFERROR((IF(VLOOKUP(A705,'ECN-ECO_DATA'!B:Q,16,FALSE)="","",VLOOKUP(A705,'ECN-ECO_DATA'!B:Q,16,FALSE))),"")</f>
        <v/>
      </c>
      <c r="M705" s="9" t="str">
        <f>IFERROR((IF(VLOOKUP(A705,'ECN-ECO_DATA'!B:V,18,FALSE)=0/1/1900,"",VLOOKUP(A705,'ECN-ECO_DATA'!B:V,18,FALSE))),"")</f>
        <v/>
      </c>
      <c r="N705" s="9" t="str">
        <f>IFERROR((IF(VLOOKUP(A705,'ECN-ECO_DATA'!B:V,19,FALSE)=0/1/1900,"",VLOOKUP(A705,'ECN-ECO_DATA'!B:V,19,FALSE))),"")</f>
        <v/>
      </c>
      <c r="O705" s="9" t="str">
        <f>IFERROR((IF(VLOOKUP(A705,'ECN-ECO_DATA'!B:V,20,FALSE)=0/1/1900,"",VLOOKUP(A705,'ECN-ECO_DATA'!B:V,20,FALSE))),"")</f>
        <v/>
      </c>
      <c r="P705" s="9" t="str">
        <f>IFERROR((IF(VLOOKUP(A705,'ECN-ECO_DATA'!B:V,21,FALSE)=0/1/1900,"",VLOOKUP(A705,'ECN-ECO_DATA'!B:V,21,FALSE))),"")</f>
        <v/>
      </c>
      <c r="Q705" s="10" t="str">
        <f t="shared" ca="1" si="50"/>
        <v/>
      </c>
      <c r="R705" s="4" t="str">
        <f t="shared" si="51"/>
        <v/>
      </c>
      <c r="S705" s="4" t="str">
        <f t="shared" si="52"/>
        <v/>
      </c>
      <c r="T705" s="4" t="str">
        <f t="shared" si="53"/>
        <v/>
      </c>
      <c r="U705" s="10" t="str">
        <f t="shared" si="54"/>
        <v/>
      </c>
      <c r="V705" s="4"/>
    </row>
    <row r="706" spans="2:22" x14ac:dyDescent="0.25">
      <c r="B706" s="4" t="str">
        <f>IFERROR(VLOOKUP(A706,'ECN-ECO_DATA'!B:G,4,FALSE),"")</f>
        <v/>
      </c>
      <c r="C706" s="9" t="str">
        <f>IFERROR(VLOOKUP(A706,'ECN-ECO_DATA'!B:G,5,FALSE),"")</f>
        <v/>
      </c>
      <c r="D706" s="9" t="str">
        <f ca="1">IFERROR((IF(VLOOKUP(A706,'ECN-ECO_DATA'!B:G,6,FALSE)=0/1/1900,TODAY(),VLOOKUP(A706,'ECN-ECO_DATA'!B:G,6,FALSE))),"")</f>
        <v/>
      </c>
      <c r="E706" s="9" t="str">
        <f>IFERROR((IF(VLOOKUP(A706,'ECN-ECO_DATA'!B:G,6,FALSE)=0/1/1900,"",VLOOKUP(A706,'ECN-ECO_DATA'!B:G,6,FALSE))),"")</f>
        <v/>
      </c>
      <c r="F706" s="9" t="str">
        <f>IFERROR((IF(VLOOKUP(A706,'ECN-ECO_DATA'!B:J,7,FALSE)=0/1/1900,"",VLOOKUP(A706,'ECN-ECO_DATA'!B:J,7,FALSE))),"")</f>
        <v/>
      </c>
      <c r="G706" s="9" t="str">
        <f>IFERROR((IF(VLOOKUP(A706,'ECN-ECO_DATA'!B:J,8,FALSE)=0/1/1900,"",VLOOKUP(A706,'ECN-ECO_DATA'!B:J,8,FALSE))),"")</f>
        <v/>
      </c>
      <c r="H706" s="9" t="str">
        <f>IFERROR((IF(VLOOKUP(A706,'ECN-ECO_DATA'!B:J,9,FALSE)=0/1/1900,"",VLOOKUP(A706,'ECN-ECO_DATA'!B:J,9,FALSE))),"")</f>
        <v/>
      </c>
      <c r="I706" s="10" t="str">
        <f>IFERROR((IF(VLOOKUP(A706,'ECN-ECO_DATA'!B:Q,13,FALSE)="","",VLOOKUP(A706,'ECN-ECO_DATA'!B:Q,13,FALSE))),"")</f>
        <v/>
      </c>
      <c r="J706" s="10" t="str">
        <f>IFERROR((IF(VLOOKUP(A706,'ECN-ECO_DATA'!B:Q,14,FALSE)="","",VLOOKUP(A706,'ECN-ECO_DATA'!B:Q,14,FALSE))),"")</f>
        <v/>
      </c>
      <c r="K706" s="10" t="str">
        <f>IFERROR((IF(VLOOKUP(A706,'ECN-ECO_DATA'!B:Q,15,FALSE)="","",VLOOKUP(A706,'ECN-ECO_DATA'!B:Q,15,FALSE))),"")</f>
        <v/>
      </c>
      <c r="L706" s="10" t="str">
        <f>IFERROR((IF(VLOOKUP(A706,'ECN-ECO_DATA'!B:Q,16,FALSE)="","",VLOOKUP(A706,'ECN-ECO_DATA'!B:Q,16,FALSE))),"")</f>
        <v/>
      </c>
      <c r="M706" s="9" t="str">
        <f>IFERROR((IF(VLOOKUP(A706,'ECN-ECO_DATA'!B:V,18,FALSE)=0/1/1900,"",VLOOKUP(A706,'ECN-ECO_DATA'!B:V,18,FALSE))),"")</f>
        <v/>
      </c>
      <c r="N706" s="9" t="str">
        <f>IFERROR((IF(VLOOKUP(A706,'ECN-ECO_DATA'!B:V,19,FALSE)=0/1/1900,"",VLOOKUP(A706,'ECN-ECO_DATA'!B:V,19,FALSE))),"")</f>
        <v/>
      </c>
      <c r="O706" s="9" t="str">
        <f>IFERROR((IF(VLOOKUP(A706,'ECN-ECO_DATA'!B:V,20,FALSE)=0/1/1900,"",VLOOKUP(A706,'ECN-ECO_DATA'!B:V,20,FALSE))),"")</f>
        <v/>
      </c>
      <c r="P706" s="9" t="str">
        <f>IFERROR((IF(VLOOKUP(A706,'ECN-ECO_DATA'!B:V,21,FALSE)=0/1/1900,"",VLOOKUP(A706,'ECN-ECO_DATA'!B:V,21,FALSE))),"")</f>
        <v/>
      </c>
      <c r="Q706" s="10" t="str">
        <f t="shared" ca="1" si="50"/>
        <v/>
      </c>
      <c r="R706" s="4" t="str">
        <f t="shared" si="51"/>
        <v/>
      </c>
      <c r="S706" s="4" t="str">
        <f t="shared" si="52"/>
        <v/>
      </c>
      <c r="T706" s="4" t="str">
        <f t="shared" si="53"/>
        <v/>
      </c>
      <c r="U706" s="10" t="str">
        <f t="shared" si="54"/>
        <v/>
      </c>
      <c r="V706" s="4"/>
    </row>
    <row r="707" spans="2:22" x14ac:dyDescent="0.25">
      <c r="B707" s="4" t="str">
        <f>IFERROR(VLOOKUP(A707,'ECN-ECO_DATA'!B:G,4,FALSE),"")</f>
        <v/>
      </c>
      <c r="C707" s="9" t="str">
        <f>IFERROR(VLOOKUP(A707,'ECN-ECO_DATA'!B:G,5,FALSE),"")</f>
        <v/>
      </c>
      <c r="D707" s="9" t="str">
        <f ca="1">IFERROR((IF(VLOOKUP(A707,'ECN-ECO_DATA'!B:G,6,FALSE)=0/1/1900,TODAY(),VLOOKUP(A707,'ECN-ECO_DATA'!B:G,6,FALSE))),"")</f>
        <v/>
      </c>
      <c r="E707" s="9" t="str">
        <f>IFERROR((IF(VLOOKUP(A707,'ECN-ECO_DATA'!B:G,6,FALSE)=0/1/1900,"",VLOOKUP(A707,'ECN-ECO_DATA'!B:G,6,FALSE))),"")</f>
        <v/>
      </c>
      <c r="F707" s="9" t="str">
        <f>IFERROR((IF(VLOOKUP(A707,'ECN-ECO_DATA'!B:J,7,FALSE)=0/1/1900,"",VLOOKUP(A707,'ECN-ECO_DATA'!B:J,7,FALSE))),"")</f>
        <v/>
      </c>
      <c r="G707" s="9" t="str">
        <f>IFERROR((IF(VLOOKUP(A707,'ECN-ECO_DATA'!B:J,8,FALSE)=0/1/1900,"",VLOOKUP(A707,'ECN-ECO_DATA'!B:J,8,FALSE))),"")</f>
        <v/>
      </c>
      <c r="H707" s="9" t="str">
        <f>IFERROR((IF(VLOOKUP(A707,'ECN-ECO_DATA'!B:J,9,FALSE)=0/1/1900,"",VLOOKUP(A707,'ECN-ECO_DATA'!B:J,9,FALSE))),"")</f>
        <v/>
      </c>
      <c r="I707" s="10" t="str">
        <f>IFERROR((IF(VLOOKUP(A707,'ECN-ECO_DATA'!B:Q,13,FALSE)="","",VLOOKUP(A707,'ECN-ECO_DATA'!B:Q,13,FALSE))),"")</f>
        <v/>
      </c>
      <c r="J707" s="10" t="str">
        <f>IFERROR((IF(VLOOKUP(A707,'ECN-ECO_DATA'!B:Q,14,FALSE)="","",VLOOKUP(A707,'ECN-ECO_DATA'!B:Q,14,FALSE))),"")</f>
        <v/>
      </c>
      <c r="K707" s="10" t="str">
        <f>IFERROR((IF(VLOOKUP(A707,'ECN-ECO_DATA'!B:Q,15,FALSE)="","",VLOOKUP(A707,'ECN-ECO_DATA'!B:Q,15,FALSE))),"")</f>
        <v/>
      </c>
      <c r="L707" s="10" t="str">
        <f>IFERROR((IF(VLOOKUP(A707,'ECN-ECO_DATA'!B:Q,16,FALSE)="","",VLOOKUP(A707,'ECN-ECO_DATA'!B:Q,16,FALSE))),"")</f>
        <v/>
      </c>
      <c r="M707" s="9" t="str">
        <f>IFERROR((IF(VLOOKUP(A707,'ECN-ECO_DATA'!B:V,18,FALSE)=0/1/1900,"",VLOOKUP(A707,'ECN-ECO_DATA'!B:V,18,FALSE))),"")</f>
        <v/>
      </c>
      <c r="N707" s="9" t="str">
        <f>IFERROR((IF(VLOOKUP(A707,'ECN-ECO_DATA'!B:V,19,FALSE)=0/1/1900,"",VLOOKUP(A707,'ECN-ECO_DATA'!B:V,19,FALSE))),"")</f>
        <v/>
      </c>
      <c r="O707" s="9" t="str">
        <f>IFERROR((IF(VLOOKUP(A707,'ECN-ECO_DATA'!B:V,20,FALSE)=0/1/1900,"",VLOOKUP(A707,'ECN-ECO_DATA'!B:V,20,FALSE))),"")</f>
        <v/>
      </c>
      <c r="P707" s="9" t="str">
        <f>IFERROR((IF(VLOOKUP(A707,'ECN-ECO_DATA'!B:V,21,FALSE)=0/1/1900,"",VLOOKUP(A707,'ECN-ECO_DATA'!B:V,21,FALSE))),"")</f>
        <v/>
      </c>
      <c r="Q707" s="10" t="str">
        <f t="shared" ref="Q707:Q770" ca="1" si="55">IFERROR(D707-C707,"")</f>
        <v/>
      </c>
      <c r="R707" s="4" t="str">
        <f t="shared" ref="R707:R770" si="56">IFERROR(H707-E707,"")</f>
        <v/>
      </c>
      <c r="S707" s="4" t="str">
        <f t="shared" ref="S707:S770" si="57">IFERROR(N707-H707,"")</f>
        <v/>
      </c>
      <c r="T707" s="4" t="str">
        <f t="shared" ref="T707:T770" si="58">IFERROR(O707-N707,"")</f>
        <v/>
      </c>
      <c r="U707" s="10" t="str">
        <f t="shared" ref="U707:U770" si="59">IF(O707="","",IF(SUM(Q707:T707)=0,"",SUM(Q707:T707)))</f>
        <v/>
      </c>
      <c r="V707" s="4"/>
    </row>
    <row r="708" spans="2:22" x14ac:dyDescent="0.25">
      <c r="B708" s="4" t="str">
        <f>IFERROR(VLOOKUP(A708,'ECN-ECO_DATA'!B:G,4,FALSE),"")</f>
        <v/>
      </c>
      <c r="C708" s="9" t="str">
        <f>IFERROR(VLOOKUP(A708,'ECN-ECO_DATA'!B:G,5,FALSE),"")</f>
        <v/>
      </c>
      <c r="D708" s="9" t="str">
        <f ca="1">IFERROR((IF(VLOOKUP(A708,'ECN-ECO_DATA'!B:G,6,FALSE)=0/1/1900,TODAY(),VLOOKUP(A708,'ECN-ECO_DATA'!B:G,6,FALSE))),"")</f>
        <v/>
      </c>
      <c r="E708" s="9" t="str">
        <f>IFERROR((IF(VLOOKUP(A708,'ECN-ECO_DATA'!B:G,6,FALSE)=0/1/1900,"",VLOOKUP(A708,'ECN-ECO_DATA'!B:G,6,FALSE))),"")</f>
        <v/>
      </c>
      <c r="F708" s="9" t="str">
        <f>IFERROR((IF(VLOOKUP(A708,'ECN-ECO_DATA'!B:J,7,FALSE)=0/1/1900,"",VLOOKUP(A708,'ECN-ECO_DATA'!B:J,7,FALSE))),"")</f>
        <v/>
      </c>
      <c r="G708" s="9" t="str">
        <f>IFERROR((IF(VLOOKUP(A708,'ECN-ECO_DATA'!B:J,8,FALSE)=0/1/1900,"",VLOOKUP(A708,'ECN-ECO_DATA'!B:J,8,FALSE))),"")</f>
        <v/>
      </c>
      <c r="H708" s="9" t="str">
        <f>IFERROR((IF(VLOOKUP(A708,'ECN-ECO_DATA'!B:J,9,FALSE)=0/1/1900,"",VLOOKUP(A708,'ECN-ECO_DATA'!B:J,9,FALSE))),"")</f>
        <v/>
      </c>
      <c r="I708" s="10" t="str">
        <f>IFERROR((IF(VLOOKUP(A708,'ECN-ECO_DATA'!B:Q,13,FALSE)="","",VLOOKUP(A708,'ECN-ECO_DATA'!B:Q,13,FALSE))),"")</f>
        <v/>
      </c>
      <c r="J708" s="10" t="str">
        <f>IFERROR((IF(VLOOKUP(A708,'ECN-ECO_DATA'!B:Q,14,FALSE)="","",VLOOKUP(A708,'ECN-ECO_DATA'!B:Q,14,FALSE))),"")</f>
        <v/>
      </c>
      <c r="K708" s="10" t="str">
        <f>IFERROR((IF(VLOOKUP(A708,'ECN-ECO_DATA'!B:Q,15,FALSE)="","",VLOOKUP(A708,'ECN-ECO_DATA'!B:Q,15,FALSE))),"")</f>
        <v/>
      </c>
      <c r="L708" s="10" t="str">
        <f>IFERROR((IF(VLOOKUP(A708,'ECN-ECO_DATA'!B:Q,16,FALSE)="","",VLOOKUP(A708,'ECN-ECO_DATA'!B:Q,16,FALSE))),"")</f>
        <v/>
      </c>
      <c r="M708" s="9" t="str">
        <f>IFERROR((IF(VLOOKUP(A708,'ECN-ECO_DATA'!B:V,18,FALSE)=0/1/1900,"",VLOOKUP(A708,'ECN-ECO_DATA'!B:V,18,FALSE))),"")</f>
        <v/>
      </c>
      <c r="N708" s="9" t="str">
        <f>IFERROR((IF(VLOOKUP(A708,'ECN-ECO_DATA'!B:V,19,FALSE)=0/1/1900,"",VLOOKUP(A708,'ECN-ECO_DATA'!B:V,19,FALSE))),"")</f>
        <v/>
      </c>
      <c r="O708" s="9" t="str">
        <f>IFERROR((IF(VLOOKUP(A708,'ECN-ECO_DATA'!B:V,20,FALSE)=0/1/1900,"",VLOOKUP(A708,'ECN-ECO_DATA'!B:V,20,FALSE))),"")</f>
        <v/>
      </c>
      <c r="P708" s="9" t="str">
        <f>IFERROR((IF(VLOOKUP(A708,'ECN-ECO_DATA'!B:V,21,FALSE)=0/1/1900,"",VLOOKUP(A708,'ECN-ECO_DATA'!B:V,21,FALSE))),"")</f>
        <v/>
      </c>
      <c r="Q708" s="10" t="str">
        <f t="shared" ca="1" si="55"/>
        <v/>
      </c>
      <c r="R708" s="4" t="str">
        <f t="shared" si="56"/>
        <v/>
      </c>
      <c r="S708" s="4" t="str">
        <f t="shared" si="57"/>
        <v/>
      </c>
      <c r="T708" s="4" t="str">
        <f t="shared" si="58"/>
        <v/>
      </c>
      <c r="U708" s="10" t="str">
        <f t="shared" si="59"/>
        <v/>
      </c>
      <c r="V708" s="4"/>
    </row>
    <row r="709" spans="2:22" x14ac:dyDescent="0.25">
      <c r="B709" s="4" t="str">
        <f>IFERROR(VLOOKUP(A709,'ECN-ECO_DATA'!B:G,4,FALSE),"")</f>
        <v/>
      </c>
      <c r="C709" s="9" t="str">
        <f>IFERROR(VLOOKUP(A709,'ECN-ECO_DATA'!B:G,5,FALSE),"")</f>
        <v/>
      </c>
      <c r="D709" s="9" t="str">
        <f ca="1">IFERROR((IF(VLOOKUP(A709,'ECN-ECO_DATA'!B:G,6,FALSE)=0/1/1900,TODAY(),VLOOKUP(A709,'ECN-ECO_DATA'!B:G,6,FALSE))),"")</f>
        <v/>
      </c>
      <c r="E709" s="9" t="str">
        <f>IFERROR((IF(VLOOKUP(A709,'ECN-ECO_DATA'!B:G,6,FALSE)=0/1/1900,"",VLOOKUP(A709,'ECN-ECO_DATA'!B:G,6,FALSE))),"")</f>
        <v/>
      </c>
      <c r="F709" s="9" t="str">
        <f>IFERROR((IF(VLOOKUP(A709,'ECN-ECO_DATA'!B:J,7,FALSE)=0/1/1900,"",VLOOKUP(A709,'ECN-ECO_DATA'!B:J,7,FALSE))),"")</f>
        <v/>
      </c>
      <c r="G709" s="9" t="str">
        <f>IFERROR((IF(VLOOKUP(A709,'ECN-ECO_DATA'!B:J,8,FALSE)=0/1/1900,"",VLOOKUP(A709,'ECN-ECO_DATA'!B:J,8,FALSE))),"")</f>
        <v/>
      </c>
      <c r="H709" s="9" t="str">
        <f>IFERROR((IF(VLOOKUP(A709,'ECN-ECO_DATA'!B:J,9,FALSE)=0/1/1900,"",VLOOKUP(A709,'ECN-ECO_DATA'!B:J,9,FALSE))),"")</f>
        <v/>
      </c>
      <c r="I709" s="10" t="str">
        <f>IFERROR((IF(VLOOKUP(A709,'ECN-ECO_DATA'!B:Q,13,FALSE)="","",VLOOKUP(A709,'ECN-ECO_DATA'!B:Q,13,FALSE))),"")</f>
        <v/>
      </c>
      <c r="J709" s="10" t="str">
        <f>IFERROR((IF(VLOOKUP(A709,'ECN-ECO_DATA'!B:Q,14,FALSE)="","",VLOOKUP(A709,'ECN-ECO_DATA'!B:Q,14,FALSE))),"")</f>
        <v/>
      </c>
      <c r="K709" s="10" t="str">
        <f>IFERROR((IF(VLOOKUP(A709,'ECN-ECO_DATA'!B:Q,15,FALSE)="","",VLOOKUP(A709,'ECN-ECO_DATA'!B:Q,15,FALSE))),"")</f>
        <v/>
      </c>
      <c r="L709" s="10" t="str">
        <f>IFERROR((IF(VLOOKUP(A709,'ECN-ECO_DATA'!B:Q,16,FALSE)="","",VLOOKUP(A709,'ECN-ECO_DATA'!B:Q,16,FALSE))),"")</f>
        <v/>
      </c>
      <c r="M709" s="9" t="str">
        <f>IFERROR((IF(VLOOKUP(A709,'ECN-ECO_DATA'!B:V,18,FALSE)=0/1/1900,"",VLOOKUP(A709,'ECN-ECO_DATA'!B:V,18,FALSE))),"")</f>
        <v/>
      </c>
      <c r="N709" s="9" t="str">
        <f>IFERROR((IF(VLOOKUP(A709,'ECN-ECO_DATA'!B:V,19,FALSE)=0/1/1900,"",VLOOKUP(A709,'ECN-ECO_DATA'!B:V,19,FALSE))),"")</f>
        <v/>
      </c>
      <c r="O709" s="9" t="str">
        <f>IFERROR((IF(VLOOKUP(A709,'ECN-ECO_DATA'!B:V,20,FALSE)=0/1/1900,"",VLOOKUP(A709,'ECN-ECO_DATA'!B:V,20,FALSE))),"")</f>
        <v/>
      </c>
      <c r="P709" s="9" t="str">
        <f>IFERROR((IF(VLOOKUP(A709,'ECN-ECO_DATA'!B:V,21,FALSE)=0/1/1900,"",VLOOKUP(A709,'ECN-ECO_DATA'!B:V,21,FALSE))),"")</f>
        <v/>
      </c>
      <c r="Q709" s="10" t="str">
        <f t="shared" ca="1" si="55"/>
        <v/>
      </c>
      <c r="R709" s="4" t="str">
        <f t="shared" si="56"/>
        <v/>
      </c>
      <c r="S709" s="4" t="str">
        <f t="shared" si="57"/>
        <v/>
      </c>
      <c r="T709" s="4" t="str">
        <f t="shared" si="58"/>
        <v/>
      </c>
      <c r="U709" s="10" t="str">
        <f t="shared" si="59"/>
        <v/>
      </c>
      <c r="V709" s="4"/>
    </row>
    <row r="710" spans="2:22" x14ac:dyDescent="0.25">
      <c r="B710" s="4" t="str">
        <f>IFERROR(VLOOKUP(A710,'ECN-ECO_DATA'!B:G,4,FALSE),"")</f>
        <v/>
      </c>
      <c r="C710" s="9" t="str">
        <f>IFERROR(VLOOKUP(A710,'ECN-ECO_DATA'!B:G,5,FALSE),"")</f>
        <v/>
      </c>
      <c r="D710" s="9" t="str">
        <f ca="1">IFERROR((IF(VLOOKUP(A710,'ECN-ECO_DATA'!B:G,6,FALSE)=0/1/1900,TODAY(),VLOOKUP(A710,'ECN-ECO_DATA'!B:G,6,FALSE))),"")</f>
        <v/>
      </c>
      <c r="E710" s="9" t="str">
        <f>IFERROR((IF(VLOOKUP(A710,'ECN-ECO_DATA'!B:G,6,FALSE)=0/1/1900,"",VLOOKUP(A710,'ECN-ECO_DATA'!B:G,6,FALSE))),"")</f>
        <v/>
      </c>
      <c r="F710" s="9" t="str">
        <f>IFERROR((IF(VLOOKUP(A710,'ECN-ECO_DATA'!B:J,7,FALSE)=0/1/1900,"",VLOOKUP(A710,'ECN-ECO_DATA'!B:J,7,FALSE))),"")</f>
        <v/>
      </c>
      <c r="G710" s="9" t="str">
        <f>IFERROR((IF(VLOOKUP(A710,'ECN-ECO_DATA'!B:J,8,FALSE)=0/1/1900,"",VLOOKUP(A710,'ECN-ECO_DATA'!B:J,8,FALSE))),"")</f>
        <v/>
      </c>
      <c r="H710" s="9" t="str">
        <f>IFERROR((IF(VLOOKUP(A710,'ECN-ECO_DATA'!B:J,9,FALSE)=0/1/1900,"",VLOOKUP(A710,'ECN-ECO_DATA'!B:J,9,FALSE))),"")</f>
        <v/>
      </c>
      <c r="I710" s="10" t="str">
        <f>IFERROR((IF(VLOOKUP(A710,'ECN-ECO_DATA'!B:Q,13,FALSE)="","",VLOOKUP(A710,'ECN-ECO_DATA'!B:Q,13,FALSE))),"")</f>
        <v/>
      </c>
      <c r="J710" s="10" t="str">
        <f>IFERROR((IF(VLOOKUP(A710,'ECN-ECO_DATA'!B:Q,14,FALSE)="","",VLOOKUP(A710,'ECN-ECO_DATA'!B:Q,14,FALSE))),"")</f>
        <v/>
      </c>
      <c r="K710" s="10" t="str">
        <f>IFERROR((IF(VLOOKUP(A710,'ECN-ECO_DATA'!B:Q,15,FALSE)="","",VLOOKUP(A710,'ECN-ECO_DATA'!B:Q,15,FALSE))),"")</f>
        <v/>
      </c>
      <c r="L710" s="10" t="str">
        <f>IFERROR((IF(VLOOKUP(A710,'ECN-ECO_DATA'!B:Q,16,FALSE)="","",VLOOKUP(A710,'ECN-ECO_DATA'!B:Q,16,FALSE))),"")</f>
        <v/>
      </c>
      <c r="M710" s="9" t="str">
        <f>IFERROR((IF(VLOOKUP(A710,'ECN-ECO_DATA'!B:V,18,FALSE)=0/1/1900,"",VLOOKUP(A710,'ECN-ECO_DATA'!B:V,18,FALSE))),"")</f>
        <v/>
      </c>
      <c r="N710" s="9" t="str">
        <f>IFERROR((IF(VLOOKUP(A710,'ECN-ECO_DATA'!B:V,19,FALSE)=0/1/1900,"",VLOOKUP(A710,'ECN-ECO_DATA'!B:V,19,FALSE))),"")</f>
        <v/>
      </c>
      <c r="O710" s="9" t="str">
        <f>IFERROR((IF(VLOOKUP(A710,'ECN-ECO_DATA'!B:V,20,FALSE)=0/1/1900,"",VLOOKUP(A710,'ECN-ECO_DATA'!B:V,20,FALSE))),"")</f>
        <v/>
      </c>
      <c r="P710" s="9" t="str">
        <f>IFERROR((IF(VLOOKUP(A710,'ECN-ECO_DATA'!B:V,21,FALSE)=0/1/1900,"",VLOOKUP(A710,'ECN-ECO_DATA'!B:V,21,FALSE))),"")</f>
        <v/>
      </c>
      <c r="Q710" s="10" t="str">
        <f t="shared" ca="1" si="55"/>
        <v/>
      </c>
      <c r="R710" s="4" t="str">
        <f t="shared" si="56"/>
        <v/>
      </c>
      <c r="S710" s="4" t="str">
        <f t="shared" si="57"/>
        <v/>
      </c>
      <c r="T710" s="4" t="str">
        <f t="shared" si="58"/>
        <v/>
      </c>
      <c r="U710" s="10" t="str">
        <f t="shared" si="59"/>
        <v/>
      </c>
      <c r="V710" s="4"/>
    </row>
    <row r="711" spans="2:22" x14ac:dyDescent="0.25">
      <c r="B711" s="4" t="str">
        <f>IFERROR(VLOOKUP(A711,'ECN-ECO_DATA'!B:G,4,FALSE),"")</f>
        <v/>
      </c>
      <c r="C711" s="9" t="str">
        <f>IFERROR(VLOOKUP(A711,'ECN-ECO_DATA'!B:G,5,FALSE),"")</f>
        <v/>
      </c>
      <c r="D711" s="9" t="str">
        <f ca="1">IFERROR((IF(VLOOKUP(A711,'ECN-ECO_DATA'!B:G,6,FALSE)=0/1/1900,TODAY(),VLOOKUP(A711,'ECN-ECO_DATA'!B:G,6,FALSE))),"")</f>
        <v/>
      </c>
      <c r="E711" s="9" t="str">
        <f>IFERROR((IF(VLOOKUP(A711,'ECN-ECO_DATA'!B:G,6,FALSE)=0/1/1900,"",VLOOKUP(A711,'ECN-ECO_DATA'!B:G,6,FALSE))),"")</f>
        <v/>
      </c>
      <c r="F711" s="9" t="str">
        <f>IFERROR((IF(VLOOKUP(A711,'ECN-ECO_DATA'!B:J,7,FALSE)=0/1/1900,"",VLOOKUP(A711,'ECN-ECO_DATA'!B:J,7,FALSE))),"")</f>
        <v/>
      </c>
      <c r="G711" s="9" t="str">
        <f>IFERROR((IF(VLOOKUP(A711,'ECN-ECO_DATA'!B:J,8,FALSE)=0/1/1900,"",VLOOKUP(A711,'ECN-ECO_DATA'!B:J,8,FALSE))),"")</f>
        <v/>
      </c>
      <c r="H711" s="9" t="str">
        <f>IFERROR((IF(VLOOKUP(A711,'ECN-ECO_DATA'!B:J,9,FALSE)=0/1/1900,"",VLOOKUP(A711,'ECN-ECO_DATA'!B:J,9,FALSE))),"")</f>
        <v/>
      </c>
      <c r="I711" s="10" t="str">
        <f>IFERROR((IF(VLOOKUP(A711,'ECN-ECO_DATA'!B:Q,13,FALSE)="","",VLOOKUP(A711,'ECN-ECO_DATA'!B:Q,13,FALSE))),"")</f>
        <v/>
      </c>
      <c r="J711" s="10" t="str">
        <f>IFERROR((IF(VLOOKUP(A711,'ECN-ECO_DATA'!B:Q,14,FALSE)="","",VLOOKUP(A711,'ECN-ECO_DATA'!B:Q,14,FALSE))),"")</f>
        <v/>
      </c>
      <c r="K711" s="10" t="str">
        <f>IFERROR((IF(VLOOKUP(A711,'ECN-ECO_DATA'!B:Q,15,FALSE)="","",VLOOKUP(A711,'ECN-ECO_DATA'!B:Q,15,FALSE))),"")</f>
        <v/>
      </c>
      <c r="L711" s="10" t="str">
        <f>IFERROR((IF(VLOOKUP(A711,'ECN-ECO_DATA'!B:Q,16,FALSE)="","",VLOOKUP(A711,'ECN-ECO_DATA'!B:Q,16,FALSE))),"")</f>
        <v/>
      </c>
      <c r="M711" s="9" t="str">
        <f>IFERROR((IF(VLOOKUP(A711,'ECN-ECO_DATA'!B:V,18,FALSE)=0/1/1900,"",VLOOKUP(A711,'ECN-ECO_DATA'!B:V,18,FALSE))),"")</f>
        <v/>
      </c>
      <c r="N711" s="9" t="str">
        <f>IFERROR((IF(VLOOKUP(A711,'ECN-ECO_DATA'!B:V,19,FALSE)=0/1/1900,"",VLOOKUP(A711,'ECN-ECO_DATA'!B:V,19,FALSE))),"")</f>
        <v/>
      </c>
      <c r="O711" s="9" t="str">
        <f>IFERROR((IF(VLOOKUP(A711,'ECN-ECO_DATA'!B:V,20,FALSE)=0/1/1900,"",VLOOKUP(A711,'ECN-ECO_DATA'!B:V,20,FALSE))),"")</f>
        <v/>
      </c>
      <c r="P711" s="9" t="str">
        <f>IFERROR((IF(VLOOKUP(A711,'ECN-ECO_DATA'!B:V,21,FALSE)=0/1/1900,"",VLOOKUP(A711,'ECN-ECO_DATA'!B:V,21,FALSE))),"")</f>
        <v/>
      </c>
      <c r="Q711" s="10" t="str">
        <f t="shared" ca="1" si="55"/>
        <v/>
      </c>
      <c r="R711" s="4" t="str">
        <f t="shared" si="56"/>
        <v/>
      </c>
      <c r="S711" s="4" t="str">
        <f t="shared" si="57"/>
        <v/>
      </c>
      <c r="T711" s="4" t="str">
        <f t="shared" si="58"/>
        <v/>
      </c>
      <c r="U711" s="10" t="str">
        <f t="shared" si="59"/>
        <v/>
      </c>
      <c r="V711" s="4"/>
    </row>
    <row r="712" spans="2:22" x14ac:dyDescent="0.25">
      <c r="B712" s="4" t="str">
        <f>IFERROR(VLOOKUP(A712,'ECN-ECO_DATA'!B:G,4,FALSE),"")</f>
        <v/>
      </c>
      <c r="C712" s="9" t="str">
        <f>IFERROR(VLOOKUP(A712,'ECN-ECO_DATA'!B:G,5,FALSE),"")</f>
        <v/>
      </c>
      <c r="D712" s="9" t="str">
        <f ca="1">IFERROR((IF(VLOOKUP(A712,'ECN-ECO_DATA'!B:G,6,FALSE)=0/1/1900,TODAY(),VLOOKUP(A712,'ECN-ECO_DATA'!B:G,6,FALSE))),"")</f>
        <v/>
      </c>
      <c r="E712" s="9" t="str">
        <f>IFERROR((IF(VLOOKUP(A712,'ECN-ECO_DATA'!B:G,6,FALSE)=0/1/1900,"",VLOOKUP(A712,'ECN-ECO_DATA'!B:G,6,FALSE))),"")</f>
        <v/>
      </c>
      <c r="F712" s="9" t="str">
        <f>IFERROR((IF(VLOOKUP(A712,'ECN-ECO_DATA'!B:J,7,FALSE)=0/1/1900,"",VLOOKUP(A712,'ECN-ECO_DATA'!B:J,7,FALSE))),"")</f>
        <v/>
      </c>
      <c r="G712" s="9" t="str">
        <f>IFERROR((IF(VLOOKUP(A712,'ECN-ECO_DATA'!B:J,8,FALSE)=0/1/1900,"",VLOOKUP(A712,'ECN-ECO_DATA'!B:J,8,FALSE))),"")</f>
        <v/>
      </c>
      <c r="H712" s="9" t="str">
        <f>IFERROR((IF(VLOOKUP(A712,'ECN-ECO_DATA'!B:J,9,FALSE)=0/1/1900,"",VLOOKUP(A712,'ECN-ECO_DATA'!B:J,9,FALSE))),"")</f>
        <v/>
      </c>
      <c r="I712" s="10" t="str">
        <f>IFERROR((IF(VLOOKUP(A712,'ECN-ECO_DATA'!B:Q,13,FALSE)="","",VLOOKUP(A712,'ECN-ECO_DATA'!B:Q,13,FALSE))),"")</f>
        <v/>
      </c>
      <c r="J712" s="10" t="str">
        <f>IFERROR((IF(VLOOKUP(A712,'ECN-ECO_DATA'!B:Q,14,FALSE)="","",VLOOKUP(A712,'ECN-ECO_DATA'!B:Q,14,FALSE))),"")</f>
        <v/>
      </c>
      <c r="K712" s="10" t="str">
        <f>IFERROR((IF(VLOOKUP(A712,'ECN-ECO_DATA'!B:Q,15,FALSE)="","",VLOOKUP(A712,'ECN-ECO_DATA'!B:Q,15,FALSE))),"")</f>
        <v/>
      </c>
      <c r="L712" s="10" t="str">
        <f>IFERROR((IF(VLOOKUP(A712,'ECN-ECO_DATA'!B:Q,16,FALSE)="","",VLOOKUP(A712,'ECN-ECO_DATA'!B:Q,16,FALSE))),"")</f>
        <v/>
      </c>
      <c r="M712" s="9" t="str">
        <f>IFERROR((IF(VLOOKUP(A712,'ECN-ECO_DATA'!B:V,18,FALSE)=0/1/1900,"",VLOOKUP(A712,'ECN-ECO_DATA'!B:V,18,FALSE))),"")</f>
        <v/>
      </c>
      <c r="N712" s="9" t="str">
        <f>IFERROR((IF(VLOOKUP(A712,'ECN-ECO_DATA'!B:V,19,FALSE)=0/1/1900,"",VLOOKUP(A712,'ECN-ECO_DATA'!B:V,19,FALSE))),"")</f>
        <v/>
      </c>
      <c r="O712" s="9" t="str">
        <f>IFERROR((IF(VLOOKUP(A712,'ECN-ECO_DATA'!B:V,20,FALSE)=0/1/1900,"",VLOOKUP(A712,'ECN-ECO_DATA'!B:V,20,FALSE))),"")</f>
        <v/>
      </c>
      <c r="P712" s="9" t="str">
        <f>IFERROR((IF(VLOOKUP(A712,'ECN-ECO_DATA'!B:V,21,FALSE)=0/1/1900,"",VLOOKUP(A712,'ECN-ECO_DATA'!B:V,21,FALSE))),"")</f>
        <v/>
      </c>
      <c r="Q712" s="10" t="str">
        <f t="shared" ca="1" si="55"/>
        <v/>
      </c>
      <c r="R712" s="4" t="str">
        <f t="shared" si="56"/>
        <v/>
      </c>
      <c r="S712" s="4" t="str">
        <f t="shared" si="57"/>
        <v/>
      </c>
      <c r="T712" s="4" t="str">
        <f t="shared" si="58"/>
        <v/>
      </c>
      <c r="U712" s="10" t="str">
        <f t="shared" si="59"/>
        <v/>
      </c>
      <c r="V712" s="4"/>
    </row>
    <row r="713" spans="2:22" x14ac:dyDescent="0.25">
      <c r="B713" s="4" t="str">
        <f>IFERROR(VLOOKUP(A713,'ECN-ECO_DATA'!B:G,4,FALSE),"")</f>
        <v/>
      </c>
      <c r="C713" s="9" t="str">
        <f>IFERROR(VLOOKUP(A713,'ECN-ECO_DATA'!B:G,5,FALSE),"")</f>
        <v/>
      </c>
      <c r="D713" s="9" t="str">
        <f ca="1">IFERROR((IF(VLOOKUP(A713,'ECN-ECO_DATA'!B:G,6,FALSE)=0/1/1900,TODAY(),VLOOKUP(A713,'ECN-ECO_DATA'!B:G,6,FALSE))),"")</f>
        <v/>
      </c>
      <c r="E713" s="9" t="str">
        <f>IFERROR((IF(VLOOKUP(A713,'ECN-ECO_DATA'!B:G,6,FALSE)=0/1/1900,"",VLOOKUP(A713,'ECN-ECO_DATA'!B:G,6,FALSE))),"")</f>
        <v/>
      </c>
      <c r="F713" s="9" t="str">
        <f>IFERROR((IF(VLOOKUP(A713,'ECN-ECO_DATA'!B:J,7,FALSE)=0/1/1900,"",VLOOKUP(A713,'ECN-ECO_DATA'!B:J,7,FALSE))),"")</f>
        <v/>
      </c>
      <c r="G713" s="9" t="str">
        <f>IFERROR((IF(VLOOKUP(A713,'ECN-ECO_DATA'!B:J,8,FALSE)=0/1/1900,"",VLOOKUP(A713,'ECN-ECO_DATA'!B:J,8,FALSE))),"")</f>
        <v/>
      </c>
      <c r="H713" s="9" t="str">
        <f>IFERROR((IF(VLOOKUP(A713,'ECN-ECO_DATA'!B:J,9,FALSE)=0/1/1900,"",VLOOKUP(A713,'ECN-ECO_DATA'!B:J,9,FALSE))),"")</f>
        <v/>
      </c>
      <c r="I713" s="10" t="str">
        <f>IFERROR((IF(VLOOKUP(A713,'ECN-ECO_DATA'!B:Q,13,FALSE)="","",VLOOKUP(A713,'ECN-ECO_DATA'!B:Q,13,FALSE))),"")</f>
        <v/>
      </c>
      <c r="J713" s="10" t="str">
        <f>IFERROR((IF(VLOOKUP(A713,'ECN-ECO_DATA'!B:Q,14,FALSE)="","",VLOOKUP(A713,'ECN-ECO_DATA'!B:Q,14,FALSE))),"")</f>
        <v/>
      </c>
      <c r="K713" s="10" t="str">
        <f>IFERROR((IF(VLOOKUP(A713,'ECN-ECO_DATA'!B:Q,15,FALSE)="","",VLOOKUP(A713,'ECN-ECO_DATA'!B:Q,15,FALSE))),"")</f>
        <v/>
      </c>
      <c r="L713" s="10" t="str">
        <f>IFERROR((IF(VLOOKUP(A713,'ECN-ECO_DATA'!B:Q,16,FALSE)="","",VLOOKUP(A713,'ECN-ECO_DATA'!B:Q,16,FALSE))),"")</f>
        <v/>
      </c>
      <c r="M713" s="9" t="str">
        <f>IFERROR((IF(VLOOKUP(A713,'ECN-ECO_DATA'!B:V,18,FALSE)=0/1/1900,"",VLOOKUP(A713,'ECN-ECO_DATA'!B:V,18,FALSE))),"")</f>
        <v/>
      </c>
      <c r="N713" s="9" t="str">
        <f>IFERROR((IF(VLOOKUP(A713,'ECN-ECO_DATA'!B:V,19,FALSE)=0/1/1900,"",VLOOKUP(A713,'ECN-ECO_DATA'!B:V,19,FALSE))),"")</f>
        <v/>
      </c>
      <c r="O713" s="9" t="str">
        <f>IFERROR((IF(VLOOKUP(A713,'ECN-ECO_DATA'!B:V,20,FALSE)=0/1/1900,"",VLOOKUP(A713,'ECN-ECO_DATA'!B:V,20,FALSE))),"")</f>
        <v/>
      </c>
      <c r="P713" s="9" t="str">
        <f>IFERROR((IF(VLOOKUP(A713,'ECN-ECO_DATA'!B:V,21,FALSE)=0/1/1900,"",VLOOKUP(A713,'ECN-ECO_DATA'!B:V,21,FALSE))),"")</f>
        <v/>
      </c>
      <c r="Q713" s="10" t="str">
        <f t="shared" ca="1" si="55"/>
        <v/>
      </c>
      <c r="R713" s="4" t="str">
        <f t="shared" si="56"/>
        <v/>
      </c>
      <c r="S713" s="4" t="str">
        <f t="shared" si="57"/>
        <v/>
      </c>
      <c r="T713" s="4" t="str">
        <f t="shared" si="58"/>
        <v/>
      </c>
      <c r="U713" s="10" t="str">
        <f t="shared" si="59"/>
        <v/>
      </c>
      <c r="V713" s="4"/>
    </row>
    <row r="714" spans="2:22" x14ac:dyDescent="0.25">
      <c r="B714" s="4" t="str">
        <f>IFERROR(VLOOKUP(A714,'ECN-ECO_DATA'!B:G,4,FALSE),"")</f>
        <v/>
      </c>
      <c r="C714" s="9" t="str">
        <f>IFERROR(VLOOKUP(A714,'ECN-ECO_DATA'!B:G,5,FALSE),"")</f>
        <v/>
      </c>
      <c r="D714" s="9" t="str">
        <f ca="1">IFERROR((IF(VLOOKUP(A714,'ECN-ECO_DATA'!B:G,6,FALSE)=0/1/1900,TODAY(),VLOOKUP(A714,'ECN-ECO_DATA'!B:G,6,FALSE))),"")</f>
        <v/>
      </c>
      <c r="E714" s="9" t="str">
        <f>IFERROR((IF(VLOOKUP(A714,'ECN-ECO_DATA'!B:G,6,FALSE)=0/1/1900,"",VLOOKUP(A714,'ECN-ECO_DATA'!B:G,6,FALSE))),"")</f>
        <v/>
      </c>
      <c r="F714" s="9" t="str">
        <f>IFERROR((IF(VLOOKUP(A714,'ECN-ECO_DATA'!B:J,7,FALSE)=0/1/1900,"",VLOOKUP(A714,'ECN-ECO_DATA'!B:J,7,FALSE))),"")</f>
        <v/>
      </c>
      <c r="G714" s="9" t="str">
        <f>IFERROR((IF(VLOOKUP(A714,'ECN-ECO_DATA'!B:J,8,FALSE)=0/1/1900,"",VLOOKUP(A714,'ECN-ECO_DATA'!B:J,8,FALSE))),"")</f>
        <v/>
      </c>
      <c r="H714" s="9" t="str">
        <f>IFERROR((IF(VLOOKUP(A714,'ECN-ECO_DATA'!B:J,9,FALSE)=0/1/1900,"",VLOOKUP(A714,'ECN-ECO_DATA'!B:J,9,FALSE))),"")</f>
        <v/>
      </c>
      <c r="I714" s="10" t="str">
        <f>IFERROR((IF(VLOOKUP(A714,'ECN-ECO_DATA'!B:Q,13,FALSE)="","",VLOOKUP(A714,'ECN-ECO_DATA'!B:Q,13,FALSE))),"")</f>
        <v/>
      </c>
      <c r="J714" s="10" t="str">
        <f>IFERROR((IF(VLOOKUP(A714,'ECN-ECO_DATA'!B:Q,14,FALSE)="","",VLOOKUP(A714,'ECN-ECO_DATA'!B:Q,14,FALSE))),"")</f>
        <v/>
      </c>
      <c r="K714" s="10" t="str">
        <f>IFERROR((IF(VLOOKUP(A714,'ECN-ECO_DATA'!B:Q,15,FALSE)="","",VLOOKUP(A714,'ECN-ECO_DATA'!B:Q,15,FALSE))),"")</f>
        <v/>
      </c>
      <c r="L714" s="10" t="str">
        <f>IFERROR((IF(VLOOKUP(A714,'ECN-ECO_DATA'!B:Q,16,FALSE)="","",VLOOKUP(A714,'ECN-ECO_DATA'!B:Q,16,FALSE))),"")</f>
        <v/>
      </c>
      <c r="M714" s="9" t="str">
        <f>IFERROR((IF(VLOOKUP(A714,'ECN-ECO_DATA'!B:V,18,FALSE)=0/1/1900,"",VLOOKUP(A714,'ECN-ECO_DATA'!B:V,18,FALSE))),"")</f>
        <v/>
      </c>
      <c r="N714" s="9" t="str">
        <f>IFERROR((IF(VLOOKUP(A714,'ECN-ECO_DATA'!B:V,19,FALSE)=0/1/1900,"",VLOOKUP(A714,'ECN-ECO_DATA'!B:V,19,FALSE))),"")</f>
        <v/>
      </c>
      <c r="O714" s="9" t="str">
        <f>IFERROR((IF(VLOOKUP(A714,'ECN-ECO_DATA'!B:V,20,FALSE)=0/1/1900,"",VLOOKUP(A714,'ECN-ECO_DATA'!B:V,20,FALSE))),"")</f>
        <v/>
      </c>
      <c r="P714" s="9" t="str">
        <f>IFERROR((IF(VLOOKUP(A714,'ECN-ECO_DATA'!B:V,21,FALSE)=0/1/1900,"",VLOOKUP(A714,'ECN-ECO_DATA'!B:V,21,FALSE))),"")</f>
        <v/>
      </c>
      <c r="Q714" s="10" t="str">
        <f t="shared" ca="1" si="55"/>
        <v/>
      </c>
      <c r="R714" s="4" t="str">
        <f t="shared" si="56"/>
        <v/>
      </c>
      <c r="S714" s="4" t="str">
        <f t="shared" si="57"/>
        <v/>
      </c>
      <c r="T714" s="4" t="str">
        <f t="shared" si="58"/>
        <v/>
      </c>
      <c r="U714" s="10" t="str">
        <f t="shared" si="59"/>
        <v/>
      </c>
      <c r="V714" s="4"/>
    </row>
    <row r="715" spans="2:22" x14ac:dyDescent="0.25">
      <c r="B715" s="4" t="str">
        <f>IFERROR(VLOOKUP(A715,'ECN-ECO_DATA'!B:G,4,FALSE),"")</f>
        <v/>
      </c>
      <c r="C715" s="9" t="str">
        <f>IFERROR(VLOOKUP(A715,'ECN-ECO_DATA'!B:G,5,FALSE),"")</f>
        <v/>
      </c>
      <c r="D715" s="9" t="str">
        <f ca="1">IFERROR((IF(VLOOKUP(A715,'ECN-ECO_DATA'!B:G,6,FALSE)=0/1/1900,TODAY(),VLOOKUP(A715,'ECN-ECO_DATA'!B:G,6,FALSE))),"")</f>
        <v/>
      </c>
      <c r="E715" s="9" t="str">
        <f>IFERROR((IF(VLOOKUP(A715,'ECN-ECO_DATA'!B:G,6,FALSE)=0/1/1900,"",VLOOKUP(A715,'ECN-ECO_DATA'!B:G,6,FALSE))),"")</f>
        <v/>
      </c>
      <c r="F715" s="9" t="str">
        <f>IFERROR((IF(VLOOKUP(A715,'ECN-ECO_DATA'!B:J,7,FALSE)=0/1/1900,"",VLOOKUP(A715,'ECN-ECO_DATA'!B:J,7,FALSE))),"")</f>
        <v/>
      </c>
      <c r="G715" s="9" t="str">
        <f>IFERROR((IF(VLOOKUP(A715,'ECN-ECO_DATA'!B:J,8,FALSE)=0/1/1900,"",VLOOKUP(A715,'ECN-ECO_DATA'!B:J,8,FALSE))),"")</f>
        <v/>
      </c>
      <c r="H715" s="9" t="str">
        <f>IFERROR((IF(VLOOKUP(A715,'ECN-ECO_DATA'!B:J,9,FALSE)=0/1/1900,"",VLOOKUP(A715,'ECN-ECO_DATA'!B:J,9,FALSE))),"")</f>
        <v/>
      </c>
      <c r="I715" s="10" t="str">
        <f>IFERROR((IF(VLOOKUP(A715,'ECN-ECO_DATA'!B:Q,13,FALSE)="","",VLOOKUP(A715,'ECN-ECO_DATA'!B:Q,13,FALSE))),"")</f>
        <v/>
      </c>
      <c r="J715" s="10" t="str">
        <f>IFERROR((IF(VLOOKUP(A715,'ECN-ECO_DATA'!B:Q,14,FALSE)="","",VLOOKUP(A715,'ECN-ECO_DATA'!B:Q,14,FALSE))),"")</f>
        <v/>
      </c>
      <c r="K715" s="10" t="str">
        <f>IFERROR((IF(VLOOKUP(A715,'ECN-ECO_DATA'!B:Q,15,FALSE)="","",VLOOKUP(A715,'ECN-ECO_DATA'!B:Q,15,FALSE))),"")</f>
        <v/>
      </c>
      <c r="L715" s="10" t="str">
        <f>IFERROR((IF(VLOOKUP(A715,'ECN-ECO_DATA'!B:Q,16,FALSE)="","",VLOOKUP(A715,'ECN-ECO_DATA'!B:Q,16,FALSE))),"")</f>
        <v/>
      </c>
      <c r="M715" s="9" t="str">
        <f>IFERROR((IF(VLOOKUP(A715,'ECN-ECO_DATA'!B:V,18,FALSE)=0/1/1900,"",VLOOKUP(A715,'ECN-ECO_DATA'!B:V,18,FALSE))),"")</f>
        <v/>
      </c>
      <c r="N715" s="9" t="str">
        <f>IFERROR((IF(VLOOKUP(A715,'ECN-ECO_DATA'!B:V,19,FALSE)=0/1/1900,"",VLOOKUP(A715,'ECN-ECO_DATA'!B:V,19,FALSE))),"")</f>
        <v/>
      </c>
      <c r="O715" s="9" t="str">
        <f>IFERROR((IF(VLOOKUP(A715,'ECN-ECO_DATA'!B:V,20,FALSE)=0/1/1900,"",VLOOKUP(A715,'ECN-ECO_DATA'!B:V,20,FALSE))),"")</f>
        <v/>
      </c>
      <c r="P715" s="9" t="str">
        <f>IFERROR((IF(VLOOKUP(A715,'ECN-ECO_DATA'!B:V,21,FALSE)=0/1/1900,"",VLOOKUP(A715,'ECN-ECO_DATA'!B:V,21,FALSE))),"")</f>
        <v/>
      </c>
      <c r="Q715" s="10" t="str">
        <f t="shared" ca="1" si="55"/>
        <v/>
      </c>
      <c r="R715" s="4" t="str">
        <f t="shared" si="56"/>
        <v/>
      </c>
      <c r="S715" s="4" t="str">
        <f t="shared" si="57"/>
        <v/>
      </c>
      <c r="T715" s="4" t="str">
        <f t="shared" si="58"/>
        <v/>
      </c>
      <c r="U715" s="10" t="str">
        <f t="shared" si="59"/>
        <v/>
      </c>
      <c r="V715" s="4"/>
    </row>
    <row r="716" spans="2:22" x14ac:dyDescent="0.25">
      <c r="B716" s="4" t="str">
        <f>IFERROR(VLOOKUP(A716,'ECN-ECO_DATA'!B:G,4,FALSE),"")</f>
        <v/>
      </c>
      <c r="C716" s="9" t="str">
        <f>IFERROR(VLOOKUP(A716,'ECN-ECO_DATA'!B:G,5,FALSE),"")</f>
        <v/>
      </c>
      <c r="D716" s="9" t="str">
        <f ca="1">IFERROR((IF(VLOOKUP(A716,'ECN-ECO_DATA'!B:G,6,FALSE)=0/1/1900,TODAY(),VLOOKUP(A716,'ECN-ECO_DATA'!B:G,6,FALSE))),"")</f>
        <v/>
      </c>
      <c r="E716" s="9" t="str">
        <f>IFERROR((IF(VLOOKUP(A716,'ECN-ECO_DATA'!B:G,6,FALSE)=0/1/1900,"",VLOOKUP(A716,'ECN-ECO_DATA'!B:G,6,FALSE))),"")</f>
        <v/>
      </c>
      <c r="F716" s="9" t="str">
        <f>IFERROR((IF(VLOOKUP(A716,'ECN-ECO_DATA'!B:J,7,FALSE)=0/1/1900,"",VLOOKUP(A716,'ECN-ECO_DATA'!B:J,7,FALSE))),"")</f>
        <v/>
      </c>
      <c r="G716" s="9" t="str">
        <f>IFERROR((IF(VLOOKUP(A716,'ECN-ECO_DATA'!B:J,8,FALSE)=0/1/1900,"",VLOOKUP(A716,'ECN-ECO_DATA'!B:J,8,FALSE))),"")</f>
        <v/>
      </c>
      <c r="H716" s="9" t="str">
        <f>IFERROR((IF(VLOOKUP(A716,'ECN-ECO_DATA'!B:J,9,FALSE)=0/1/1900,"",VLOOKUP(A716,'ECN-ECO_DATA'!B:J,9,FALSE))),"")</f>
        <v/>
      </c>
      <c r="I716" s="10" t="str">
        <f>IFERROR((IF(VLOOKUP(A716,'ECN-ECO_DATA'!B:Q,13,FALSE)="","",VLOOKUP(A716,'ECN-ECO_DATA'!B:Q,13,FALSE))),"")</f>
        <v/>
      </c>
      <c r="J716" s="10" t="str">
        <f>IFERROR((IF(VLOOKUP(A716,'ECN-ECO_DATA'!B:Q,14,FALSE)="","",VLOOKUP(A716,'ECN-ECO_DATA'!B:Q,14,FALSE))),"")</f>
        <v/>
      </c>
      <c r="K716" s="10" t="str">
        <f>IFERROR((IF(VLOOKUP(A716,'ECN-ECO_DATA'!B:Q,15,FALSE)="","",VLOOKUP(A716,'ECN-ECO_DATA'!B:Q,15,FALSE))),"")</f>
        <v/>
      </c>
      <c r="L716" s="10" t="str">
        <f>IFERROR((IF(VLOOKUP(A716,'ECN-ECO_DATA'!B:Q,16,FALSE)="","",VLOOKUP(A716,'ECN-ECO_DATA'!B:Q,16,FALSE))),"")</f>
        <v/>
      </c>
      <c r="M716" s="9" t="str">
        <f>IFERROR((IF(VLOOKUP(A716,'ECN-ECO_DATA'!B:V,18,FALSE)=0/1/1900,"",VLOOKUP(A716,'ECN-ECO_DATA'!B:V,18,FALSE))),"")</f>
        <v/>
      </c>
      <c r="N716" s="9" t="str">
        <f>IFERROR((IF(VLOOKUP(A716,'ECN-ECO_DATA'!B:V,19,FALSE)=0/1/1900,"",VLOOKUP(A716,'ECN-ECO_DATA'!B:V,19,FALSE))),"")</f>
        <v/>
      </c>
      <c r="O716" s="9" t="str">
        <f>IFERROR((IF(VLOOKUP(A716,'ECN-ECO_DATA'!B:V,20,FALSE)=0/1/1900,"",VLOOKUP(A716,'ECN-ECO_DATA'!B:V,20,FALSE))),"")</f>
        <v/>
      </c>
      <c r="P716" s="9" t="str">
        <f>IFERROR((IF(VLOOKUP(A716,'ECN-ECO_DATA'!B:V,21,FALSE)=0/1/1900,"",VLOOKUP(A716,'ECN-ECO_DATA'!B:V,21,FALSE))),"")</f>
        <v/>
      </c>
      <c r="Q716" s="10" t="str">
        <f t="shared" ca="1" si="55"/>
        <v/>
      </c>
      <c r="R716" s="4" t="str">
        <f t="shared" si="56"/>
        <v/>
      </c>
      <c r="S716" s="4" t="str">
        <f t="shared" si="57"/>
        <v/>
      </c>
      <c r="T716" s="4" t="str">
        <f t="shared" si="58"/>
        <v/>
      </c>
      <c r="U716" s="10" t="str">
        <f t="shared" si="59"/>
        <v/>
      </c>
      <c r="V716" s="4"/>
    </row>
    <row r="717" spans="2:22" x14ac:dyDescent="0.25">
      <c r="B717" s="4" t="str">
        <f>IFERROR(VLOOKUP(A717,'ECN-ECO_DATA'!B:G,4,FALSE),"")</f>
        <v/>
      </c>
      <c r="C717" s="9" t="str">
        <f>IFERROR(VLOOKUP(A717,'ECN-ECO_DATA'!B:G,5,FALSE),"")</f>
        <v/>
      </c>
      <c r="D717" s="9" t="str">
        <f ca="1">IFERROR((IF(VLOOKUP(A717,'ECN-ECO_DATA'!B:G,6,FALSE)=0/1/1900,TODAY(),VLOOKUP(A717,'ECN-ECO_DATA'!B:G,6,FALSE))),"")</f>
        <v/>
      </c>
      <c r="E717" s="9" t="str">
        <f>IFERROR((IF(VLOOKUP(A717,'ECN-ECO_DATA'!B:G,6,FALSE)=0/1/1900,"",VLOOKUP(A717,'ECN-ECO_DATA'!B:G,6,FALSE))),"")</f>
        <v/>
      </c>
      <c r="F717" s="9" t="str">
        <f>IFERROR((IF(VLOOKUP(A717,'ECN-ECO_DATA'!B:J,7,FALSE)=0/1/1900,"",VLOOKUP(A717,'ECN-ECO_DATA'!B:J,7,FALSE))),"")</f>
        <v/>
      </c>
      <c r="G717" s="9" t="str">
        <f>IFERROR((IF(VLOOKUP(A717,'ECN-ECO_DATA'!B:J,8,FALSE)=0/1/1900,"",VLOOKUP(A717,'ECN-ECO_DATA'!B:J,8,FALSE))),"")</f>
        <v/>
      </c>
      <c r="H717" s="9" t="str">
        <f>IFERROR((IF(VLOOKUP(A717,'ECN-ECO_DATA'!B:J,9,FALSE)=0/1/1900,"",VLOOKUP(A717,'ECN-ECO_DATA'!B:J,9,FALSE))),"")</f>
        <v/>
      </c>
      <c r="I717" s="10" t="str">
        <f>IFERROR((IF(VLOOKUP(A717,'ECN-ECO_DATA'!B:Q,13,FALSE)="","",VLOOKUP(A717,'ECN-ECO_DATA'!B:Q,13,FALSE))),"")</f>
        <v/>
      </c>
      <c r="J717" s="10" t="str">
        <f>IFERROR((IF(VLOOKUP(A717,'ECN-ECO_DATA'!B:Q,14,FALSE)="","",VLOOKUP(A717,'ECN-ECO_DATA'!B:Q,14,FALSE))),"")</f>
        <v/>
      </c>
      <c r="K717" s="10" t="str">
        <f>IFERROR((IF(VLOOKUP(A717,'ECN-ECO_DATA'!B:Q,15,FALSE)="","",VLOOKUP(A717,'ECN-ECO_DATA'!B:Q,15,FALSE))),"")</f>
        <v/>
      </c>
      <c r="L717" s="10" t="str">
        <f>IFERROR((IF(VLOOKUP(A717,'ECN-ECO_DATA'!B:Q,16,FALSE)="","",VLOOKUP(A717,'ECN-ECO_DATA'!B:Q,16,FALSE))),"")</f>
        <v/>
      </c>
      <c r="M717" s="9" t="str">
        <f>IFERROR((IF(VLOOKUP(A717,'ECN-ECO_DATA'!B:V,18,FALSE)=0/1/1900,"",VLOOKUP(A717,'ECN-ECO_DATA'!B:V,18,FALSE))),"")</f>
        <v/>
      </c>
      <c r="N717" s="9" t="str">
        <f>IFERROR((IF(VLOOKUP(A717,'ECN-ECO_DATA'!B:V,19,FALSE)=0/1/1900,"",VLOOKUP(A717,'ECN-ECO_DATA'!B:V,19,FALSE))),"")</f>
        <v/>
      </c>
      <c r="O717" s="9" t="str">
        <f>IFERROR((IF(VLOOKUP(A717,'ECN-ECO_DATA'!B:V,20,FALSE)=0/1/1900,"",VLOOKUP(A717,'ECN-ECO_DATA'!B:V,20,FALSE))),"")</f>
        <v/>
      </c>
      <c r="P717" s="9" t="str">
        <f>IFERROR((IF(VLOOKUP(A717,'ECN-ECO_DATA'!B:V,21,FALSE)=0/1/1900,"",VLOOKUP(A717,'ECN-ECO_DATA'!B:V,21,FALSE))),"")</f>
        <v/>
      </c>
      <c r="Q717" s="10" t="str">
        <f t="shared" ca="1" si="55"/>
        <v/>
      </c>
      <c r="R717" s="4" t="str">
        <f t="shared" si="56"/>
        <v/>
      </c>
      <c r="S717" s="4" t="str">
        <f t="shared" si="57"/>
        <v/>
      </c>
      <c r="T717" s="4" t="str">
        <f t="shared" si="58"/>
        <v/>
      </c>
      <c r="U717" s="10" t="str">
        <f t="shared" si="59"/>
        <v/>
      </c>
      <c r="V717" s="4"/>
    </row>
    <row r="718" spans="2:22" x14ac:dyDescent="0.25">
      <c r="B718" s="4" t="str">
        <f>IFERROR(VLOOKUP(A718,'ECN-ECO_DATA'!B:G,4,FALSE),"")</f>
        <v/>
      </c>
      <c r="C718" s="9" t="str">
        <f>IFERROR(VLOOKUP(A718,'ECN-ECO_DATA'!B:G,5,FALSE),"")</f>
        <v/>
      </c>
      <c r="D718" s="9" t="str">
        <f ca="1">IFERROR((IF(VLOOKUP(A718,'ECN-ECO_DATA'!B:G,6,FALSE)=0/1/1900,TODAY(),VLOOKUP(A718,'ECN-ECO_DATA'!B:G,6,FALSE))),"")</f>
        <v/>
      </c>
      <c r="E718" s="9" t="str">
        <f>IFERROR((IF(VLOOKUP(A718,'ECN-ECO_DATA'!B:G,6,FALSE)=0/1/1900,"",VLOOKUP(A718,'ECN-ECO_DATA'!B:G,6,FALSE))),"")</f>
        <v/>
      </c>
      <c r="F718" s="9" t="str">
        <f>IFERROR((IF(VLOOKUP(A718,'ECN-ECO_DATA'!B:J,7,FALSE)=0/1/1900,"",VLOOKUP(A718,'ECN-ECO_DATA'!B:J,7,FALSE))),"")</f>
        <v/>
      </c>
      <c r="G718" s="9" t="str">
        <f>IFERROR((IF(VLOOKUP(A718,'ECN-ECO_DATA'!B:J,8,FALSE)=0/1/1900,"",VLOOKUP(A718,'ECN-ECO_DATA'!B:J,8,FALSE))),"")</f>
        <v/>
      </c>
      <c r="H718" s="9" t="str">
        <f>IFERROR((IF(VLOOKUP(A718,'ECN-ECO_DATA'!B:J,9,FALSE)=0/1/1900,"",VLOOKUP(A718,'ECN-ECO_DATA'!B:J,9,FALSE))),"")</f>
        <v/>
      </c>
      <c r="I718" s="10" t="str">
        <f>IFERROR((IF(VLOOKUP(A718,'ECN-ECO_DATA'!B:Q,13,FALSE)="","",VLOOKUP(A718,'ECN-ECO_DATA'!B:Q,13,FALSE))),"")</f>
        <v/>
      </c>
      <c r="J718" s="10" t="str">
        <f>IFERROR((IF(VLOOKUP(A718,'ECN-ECO_DATA'!B:Q,14,FALSE)="","",VLOOKUP(A718,'ECN-ECO_DATA'!B:Q,14,FALSE))),"")</f>
        <v/>
      </c>
      <c r="K718" s="10" t="str">
        <f>IFERROR((IF(VLOOKUP(A718,'ECN-ECO_DATA'!B:Q,15,FALSE)="","",VLOOKUP(A718,'ECN-ECO_DATA'!B:Q,15,FALSE))),"")</f>
        <v/>
      </c>
      <c r="L718" s="10" t="str">
        <f>IFERROR((IF(VLOOKUP(A718,'ECN-ECO_DATA'!B:Q,16,FALSE)="","",VLOOKUP(A718,'ECN-ECO_DATA'!B:Q,16,FALSE))),"")</f>
        <v/>
      </c>
      <c r="M718" s="9" t="str">
        <f>IFERROR((IF(VLOOKUP(A718,'ECN-ECO_DATA'!B:V,18,FALSE)=0/1/1900,"",VLOOKUP(A718,'ECN-ECO_DATA'!B:V,18,FALSE))),"")</f>
        <v/>
      </c>
      <c r="N718" s="9" t="str">
        <f>IFERROR((IF(VLOOKUP(A718,'ECN-ECO_DATA'!B:V,19,FALSE)=0/1/1900,"",VLOOKUP(A718,'ECN-ECO_DATA'!B:V,19,FALSE))),"")</f>
        <v/>
      </c>
      <c r="O718" s="9" t="str">
        <f>IFERROR((IF(VLOOKUP(A718,'ECN-ECO_DATA'!B:V,20,FALSE)=0/1/1900,"",VLOOKUP(A718,'ECN-ECO_DATA'!B:V,20,FALSE))),"")</f>
        <v/>
      </c>
      <c r="P718" s="9" t="str">
        <f>IFERROR((IF(VLOOKUP(A718,'ECN-ECO_DATA'!B:V,21,FALSE)=0/1/1900,"",VLOOKUP(A718,'ECN-ECO_DATA'!B:V,21,FALSE))),"")</f>
        <v/>
      </c>
      <c r="Q718" s="10" t="str">
        <f t="shared" ca="1" si="55"/>
        <v/>
      </c>
      <c r="R718" s="4" t="str">
        <f t="shared" si="56"/>
        <v/>
      </c>
      <c r="S718" s="4" t="str">
        <f t="shared" si="57"/>
        <v/>
      </c>
      <c r="T718" s="4" t="str">
        <f t="shared" si="58"/>
        <v/>
      </c>
      <c r="U718" s="10" t="str">
        <f t="shared" si="59"/>
        <v/>
      </c>
      <c r="V718" s="4"/>
    </row>
    <row r="719" spans="2:22" x14ac:dyDescent="0.25">
      <c r="B719" s="4" t="str">
        <f>IFERROR(VLOOKUP(A719,'ECN-ECO_DATA'!B:G,4,FALSE),"")</f>
        <v/>
      </c>
      <c r="C719" s="9" t="str">
        <f>IFERROR(VLOOKUP(A719,'ECN-ECO_DATA'!B:G,5,FALSE),"")</f>
        <v/>
      </c>
      <c r="D719" s="9" t="str">
        <f ca="1">IFERROR((IF(VLOOKUP(A719,'ECN-ECO_DATA'!B:G,6,FALSE)=0/1/1900,TODAY(),VLOOKUP(A719,'ECN-ECO_DATA'!B:G,6,FALSE))),"")</f>
        <v/>
      </c>
      <c r="E719" s="9" t="str">
        <f>IFERROR((IF(VLOOKUP(A719,'ECN-ECO_DATA'!B:G,6,FALSE)=0/1/1900,"",VLOOKUP(A719,'ECN-ECO_DATA'!B:G,6,FALSE))),"")</f>
        <v/>
      </c>
      <c r="F719" s="9" t="str">
        <f>IFERROR((IF(VLOOKUP(A719,'ECN-ECO_DATA'!B:J,7,FALSE)=0/1/1900,"",VLOOKUP(A719,'ECN-ECO_DATA'!B:J,7,FALSE))),"")</f>
        <v/>
      </c>
      <c r="G719" s="9" t="str">
        <f>IFERROR((IF(VLOOKUP(A719,'ECN-ECO_DATA'!B:J,8,FALSE)=0/1/1900,"",VLOOKUP(A719,'ECN-ECO_DATA'!B:J,8,FALSE))),"")</f>
        <v/>
      </c>
      <c r="H719" s="9" t="str">
        <f>IFERROR((IF(VLOOKUP(A719,'ECN-ECO_DATA'!B:J,9,FALSE)=0/1/1900,"",VLOOKUP(A719,'ECN-ECO_DATA'!B:J,9,FALSE))),"")</f>
        <v/>
      </c>
      <c r="I719" s="10" t="str">
        <f>IFERROR((IF(VLOOKUP(A719,'ECN-ECO_DATA'!B:Q,13,FALSE)="","",VLOOKUP(A719,'ECN-ECO_DATA'!B:Q,13,FALSE))),"")</f>
        <v/>
      </c>
      <c r="J719" s="10" t="str">
        <f>IFERROR((IF(VLOOKUP(A719,'ECN-ECO_DATA'!B:Q,14,FALSE)="","",VLOOKUP(A719,'ECN-ECO_DATA'!B:Q,14,FALSE))),"")</f>
        <v/>
      </c>
      <c r="K719" s="10" t="str">
        <f>IFERROR((IF(VLOOKUP(A719,'ECN-ECO_DATA'!B:Q,15,FALSE)="","",VLOOKUP(A719,'ECN-ECO_DATA'!B:Q,15,FALSE))),"")</f>
        <v/>
      </c>
      <c r="L719" s="10" t="str">
        <f>IFERROR((IF(VLOOKUP(A719,'ECN-ECO_DATA'!B:Q,16,FALSE)="","",VLOOKUP(A719,'ECN-ECO_DATA'!B:Q,16,FALSE))),"")</f>
        <v/>
      </c>
      <c r="M719" s="9" t="str">
        <f>IFERROR((IF(VLOOKUP(A719,'ECN-ECO_DATA'!B:V,18,FALSE)=0/1/1900,"",VLOOKUP(A719,'ECN-ECO_DATA'!B:V,18,FALSE))),"")</f>
        <v/>
      </c>
      <c r="N719" s="9" t="str">
        <f>IFERROR((IF(VLOOKUP(A719,'ECN-ECO_DATA'!B:V,19,FALSE)=0/1/1900,"",VLOOKUP(A719,'ECN-ECO_DATA'!B:V,19,FALSE))),"")</f>
        <v/>
      </c>
      <c r="O719" s="9" t="str">
        <f>IFERROR((IF(VLOOKUP(A719,'ECN-ECO_DATA'!B:V,20,FALSE)=0/1/1900,"",VLOOKUP(A719,'ECN-ECO_DATA'!B:V,20,FALSE))),"")</f>
        <v/>
      </c>
      <c r="P719" s="9" t="str">
        <f>IFERROR((IF(VLOOKUP(A719,'ECN-ECO_DATA'!B:V,21,FALSE)=0/1/1900,"",VLOOKUP(A719,'ECN-ECO_DATA'!B:V,21,FALSE))),"")</f>
        <v/>
      </c>
      <c r="Q719" s="10" t="str">
        <f t="shared" ca="1" si="55"/>
        <v/>
      </c>
      <c r="R719" s="4" t="str">
        <f t="shared" si="56"/>
        <v/>
      </c>
      <c r="S719" s="4" t="str">
        <f t="shared" si="57"/>
        <v/>
      </c>
      <c r="T719" s="4" t="str">
        <f t="shared" si="58"/>
        <v/>
      </c>
      <c r="U719" s="10" t="str">
        <f t="shared" si="59"/>
        <v/>
      </c>
      <c r="V719" s="4"/>
    </row>
    <row r="720" spans="2:22" x14ac:dyDescent="0.25">
      <c r="B720" s="4" t="str">
        <f>IFERROR(VLOOKUP(A720,'ECN-ECO_DATA'!B:G,4,FALSE),"")</f>
        <v/>
      </c>
      <c r="C720" s="9" t="str">
        <f>IFERROR(VLOOKUP(A720,'ECN-ECO_DATA'!B:G,5,FALSE),"")</f>
        <v/>
      </c>
      <c r="D720" s="9" t="str">
        <f ca="1">IFERROR((IF(VLOOKUP(A720,'ECN-ECO_DATA'!B:G,6,FALSE)=0/1/1900,TODAY(),VLOOKUP(A720,'ECN-ECO_DATA'!B:G,6,FALSE))),"")</f>
        <v/>
      </c>
      <c r="E720" s="9" t="str">
        <f>IFERROR((IF(VLOOKUP(A720,'ECN-ECO_DATA'!B:G,6,FALSE)=0/1/1900,"",VLOOKUP(A720,'ECN-ECO_DATA'!B:G,6,FALSE))),"")</f>
        <v/>
      </c>
      <c r="F720" s="9" t="str">
        <f>IFERROR((IF(VLOOKUP(A720,'ECN-ECO_DATA'!B:J,7,FALSE)=0/1/1900,"",VLOOKUP(A720,'ECN-ECO_DATA'!B:J,7,FALSE))),"")</f>
        <v/>
      </c>
      <c r="G720" s="9" t="str">
        <f>IFERROR((IF(VLOOKUP(A720,'ECN-ECO_DATA'!B:J,8,FALSE)=0/1/1900,"",VLOOKUP(A720,'ECN-ECO_DATA'!B:J,8,FALSE))),"")</f>
        <v/>
      </c>
      <c r="H720" s="9" t="str">
        <f>IFERROR((IF(VLOOKUP(A720,'ECN-ECO_DATA'!B:J,9,FALSE)=0/1/1900,"",VLOOKUP(A720,'ECN-ECO_DATA'!B:J,9,FALSE))),"")</f>
        <v/>
      </c>
      <c r="I720" s="10" t="str">
        <f>IFERROR((IF(VLOOKUP(A720,'ECN-ECO_DATA'!B:Q,13,FALSE)="","",VLOOKUP(A720,'ECN-ECO_DATA'!B:Q,13,FALSE))),"")</f>
        <v/>
      </c>
      <c r="J720" s="10" t="str">
        <f>IFERROR((IF(VLOOKUP(A720,'ECN-ECO_DATA'!B:Q,14,FALSE)="","",VLOOKUP(A720,'ECN-ECO_DATA'!B:Q,14,FALSE))),"")</f>
        <v/>
      </c>
      <c r="K720" s="10" t="str">
        <f>IFERROR((IF(VLOOKUP(A720,'ECN-ECO_DATA'!B:Q,15,FALSE)="","",VLOOKUP(A720,'ECN-ECO_DATA'!B:Q,15,FALSE))),"")</f>
        <v/>
      </c>
      <c r="L720" s="10" t="str">
        <f>IFERROR((IF(VLOOKUP(A720,'ECN-ECO_DATA'!B:Q,16,FALSE)="","",VLOOKUP(A720,'ECN-ECO_DATA'!B:Q,16,FALSE))),"")</f>
        <v/>
      </c>
      <c r="M720" s="9" t="str">
        <f>IFERROR((IF(VLOOKUP(A720,'ECN-ECO_DATA'!B:V,18,FALSE)=0/1/1900,"",VLOOKUP(A720,'ECN-ECO_DATA'!B:V,18,FALSE))),"")</f>
        <v/>
      </c>
      <c r="N720" s="9" t="str">
        <f>IFERROR((IF(VLOOKUP(A720,'ECN-ECO_DATA'!B:V,19,FALSE)=0/1/1900,"",VLOOKUP(A720,'ECN-ECO_DATA'!B:V,19,FALSE))),"")</f>
        <v/>
      </c>
      <c r="O720" s="9" t="str">
        <f>IFERROR((IF(VLOOKUP(A720,'ECN-ECO_DATA'!B:V,20,FALSE)=0/1/1900,"",VLOOKUP(A720,'ECN-ECO_DATA'!B:V,20,FALSE))),"")</f>
        <v/>
      </c>
      <c r="P720" s="9" t="str">
        <f>IFERROR((IF(VLOOKUP(A720,'ECN-ECO_DATA'!B:V,21,FALSE)=0/1/1900,"",VLOOKUP(A720,'ECN-ECO_DATA'!B:V,21,FALSE))),"")</f>
        <v/>
      </c>
      <c r="Q720" s="10" t="str">
        <f t="shared" ca="1" si="55"/>
        <v/>
      </c>
      <c r="R720" s="4" t="str">
        <f t="shared" si="56"/>
        <v/>
      </c>
      <c r="S720" s="4" t="str">
        <f t="shared" si="57"/>
        <v/>
      </c>
      <c r="T720" s="4" t="str">
        <f t="shared" si="58"/>
        <v/>
      </c>
      <c r="U720" s="10" t="str">
        <f t="shared" si="59"/>
        <v/>
      </c>
      <c r="V720" s="4"/>
    </row>
    <row r="721" spans="2:22" x14ac:dyDescent="0.25">
      <c r="B721" s="4" t="str">
        <f>IFERROR(VLOOKUP(A721,'ECN-ECO_DATA'!B:G,4,FALSE),"")</f>
        <v/>
      </c>
      <c r="C721" s="9" t="str">
        <f>IFERROR(VLOOKUP(A721,'ECN-ECO_DATA'!B:G,5,FALSE),"")</f>
        <v/>
      </c>
      <c r="D721" s="9" t="str">
        <f ca="1">IFERROR((IF(VLOOKUP(A721,'ECN-ECO_DATA'!B:G,6,FALSE)=0/1/1900,TODAY(),VLOOKUP(A721,'ECN-ECO_DATA'!B:G,6,FALSE))),"")</f>
        <v/>
      </c>
      <c r="E721" s="9" t="str">
        <f>IFERROR((IF(VLOOKUP(A721,'ECN-ECO_DATA'!B:G,6,FALSE)=0/1/1900,"",VLOOKUP(A721,'ECN-ECO_DATA'!B:G,6,FALSE))),"")</f>
        <v/>
      </c>
      <c r="F721" s="9" t="str">
        <f>IFERROR((IF(VLOOKUP(A721,'ECN-ECO_DATA'!B:J,7,FALSE)=0/1/1900,"",VLOOKUP(A721,'ECN-ECO_DATA'!B:J,7,FALSE))),"")</f>
        <v/>
      </c>
      <c r="G721" s="9" t="str">
        <f>IFERROR((IF(VLOOKUP(A721,'ECN-ECO_DATA'!B:J,8,FALSE)=0/1/1900,"",VLOOKUP(A721,'ECN-ECO_DATA'!B:J,8,FALSE))),"")</f>
        <v/>
      </c>
      <c r="H721" s="9" t="str">
        <f>IFERROR((IF(VLOOKUP(A721,'ECN-ECO_DATA'!B:J,9,FALSE)=0/1/1900,"",VLOOKUP(A721,'ECN-ECO_DATA'!B:J,9,FALSE))),"")</f>
        <v/>
      </c>
      <c r="I721" s="10" t="str">
        <f>IFERROR((IF(VLOOKUP(A721,'ECN-ECO_DATA'!B:Q,13,FALSE)="","",VLOOKUP(A721,'ECN-ECO_DATA'!B:Q,13,FALSE))),"")</f>
        <v/>
      </c>
      <c r="J721" s="10" t="str">
        <f>IFERROR((IF(VLOOKUP(A721,'ECN-ECO_DATA'!B:Q,14,FALSE)="","",VLOOKUP(A721,'ECN-ECO_DATA'!B:Q,14,FALSE))),"")</f>
        <v/>
      </c>
      <c r="K721" s="10" t="str">
        <f>IFERROR((IF(VLOOKUP(A721,'ECN-ECO_DATA'!B:Q,15,FALSE)="","",VLOOKUP(A721,'ECN-ECO_DATA'!B:Q,15,FALSE))),"")</f>
        <v/>
      </c>
      <c r="L721" s="10" t="str">
        <f>IFERROR((IF(VLOOKUP(A721,'ECN-ECO_DATA'!B:Q,16,FALSE)="","",VLOOKUP(A721,'ECN-ECO_DATA'!B:Q,16,FALSE))),"")</f>
        <v/>
      </c>
      <c r="M721" s="9" t="str">
        <f>IFERROR((IF(VLOOKUP(A721,'ECN-ECO_DATA'!B:V,18,FALSE)=0/1/1900,"",VLOOKUP(A721,'ECN-ECO_DATA'!B:V,18,FALSE))),"")</f>
        <v/>
      </c>
      <c r="N721" s="9" t="str">
        <f>IFERROR((IF(VLOOKUP(A721,'ECN-ECO_DATA'!B:V,19,FALSE)=0/1/1900,"",VLOOKUP(A721,'ECN-ECO_DATA'!B:V,19,FALSE))),"")</f>
        <v/>
      </c>
      <c r="O721" s="9" t="str">
        <f>IFERROR((IF(VLOOKUP(A721,'ECN-ECO_DATA'!B:V,20,FALSE)=0/1/1900,"",VLOOKUP(A721,'ECN-ECO_DATA'!B:V,20,FALSE))),"")</f>
        <v/>
      </c>
      <c r="P721" s="9" t="str">
        <f>IFERROR((IF(VLOOKUP(A721,'ECN-ECO_DATA'!B:V,21,FALSE)=0/1/1900,"",VLOOKUP(A721,'ECN-ECO_DATA'!B:V,21,FALSE))),"")</f>
        <v/>
      </c>
      <c r="Q721" s="10" t="str">
        <f t="shared" ca="1" si="55"/>
        <v/>
      </c>
      <c r="R721" s="4" t="str">
        <f t="shared" si="56"/>
        <v/>
      </c>
      <c r="S721" s="4" t="str">
        <f t="shared" si="57"/>
        <v/>
      </c>
      <c r="T721" s="4" t="str">
        <f t="shared" si="58"/>
        <v/>
      </c>
      <c r="U721" s="10" t="str">
        <f t="shared" si="59"/>
        <v/>
      </c>
      <c r="V721" s="4"/>
    </row>
    <row r="722" spans="2:22" x14ac:dyDescent="0.25">
      <c r="B722" s="4" t="str">
        <f>IFERROR(VLOOKUP(A722,'ECN-ECO_DATA'!B:G,4,FALSE),"")</f>
        <v/>
      </c>
      <c r="C722" s="9" t="str">
        <f>IFERROR(VLOOKUP(A722,'ECN-ECO_DATA'!B:G,5,FALSE),"")</f>
        <v/>
      </c>
      <c r="D722" s="9" t="str">
        <f ca="1">IFERROR((IF(VLOOKUP(A722,'ECN-ECO_DATA'!B:G,6,FALSE)=0/1/1900,TODAY(),VLOOKUP(A722,'ECN-ECO_DATA'!B:G,6,FALSE))),"")</f>
        <v/>
      </c>
      <c r="E722" s="9" t="str">
        <f>IFERROR((IF(VLOOKUP(A722,'ECN-ECO_DATA'!B:G,6,FALSE)=0/1/1900,"",VLOOKUP(A722,'ECN-ECO_DATA'!B:G,6,FALSE))),"")</f>
        <v/>
      </c>
      <c r="F722" s="9" t="str">
        <f>IFERROR((IF(VLOOKUP(A722,'ECN-ECO_DATA'!B:J,7,FALSE)=0/1/1900,"",VLOOKUP(A722,'ECN-ECO_DATA'!B:J,7,FALSE))),"")</f>
        <v/>
      </c>
      <c r="G722" s="9" t="str">
        <f>IFERROR((IF(VLOOKUP(A722,'ECN-ECO_DATA'!B:J,8,FALSE)=0/1/1900,"",VLOOKUP(A722,'ECN-ECO_DATA'!B:J,8,FALSE))),"")</f>
        <v/>
      </c>
      <c r="H722" s="9" t="str">
        <f>IFERROR((IF(VLOOKUP(A722,'ECN-ECO_DATA'!B:J,9,FALSE)=0/1/1900,"",VLOOKUP(A722,'ECN-ECO_DATA'!B:J,9,FALSE))),"")</f>
        <v/>
      </c>
      <c r="I722" s="10" t="str">
        <f>IFERROR((IF(VLOOKUP(A722,'ECN-ECO_DATA'!B:Q,13,FALSE)="","",VLOOKUP(A722,'ECN-ECO_DATA'!B:Q,13,FALSE))),"")</f>
        <v/>
      </c>
      <c r="J722" s="10" t="str">
        <f>IFERROR((IF(VLOOKUP(A722,'ECN-ECO_DATA'!B:Q,14,FALSE)="","",VLOOKUP(A722,'ECN-ECO_DATA'!B:Q,14,FALSE))),"")</f>
        <v/>
      </c>
      <c r="K722" s="10" t="str">
        <f>IFERROR((IF(VLOOKUP(A722,'ECN-ECO_DATA'!B:Q,15,FALSE)="","",VLOOKUP(A722,'ECN-ECO_DATA'!B:Q,15,FALSE))),"")</f>
        <v/>
      </c>
      <c r="L722" s="10" t="str">
        <f>IFERROR((IF(VLOOKUP(A722,'ECN-ECO_DATA'!B:Q,16,FALSE)="","",VLOOKUP(A722,'ECN-ECO_DATA'!B:Q,16,FALSE))),"")</f>
        <v/>
      </c>
      <c r="M722" s="9" t="str">
        <f>IFERROR((IF(VLOOKUP(A722,'ECN-ECO_DATA'!B:V,18,FALSE)=0/1/1900,"",VLOOKUP(A722,'ECN-ECO_DATA'!B:V,18,FALSE))),"")</f>
        <v/>
      </c>
      <c r="N722" s="9" t="str">
        <f>IFERROR((IF(VLOOKUP(A722,'ECN-ECO_DATA'!B:V,19,FALSE)=0/1/1900,"",VLOOKUP(A722,'ECN-ECO_DATA'!B:V,19,FALSE))),"")</f>
        <v/>
      </c>
      <c r="O722" s="9" t="str">
        <f>IFERROR((IF(VLOOKUP(A722,'ECN-ECO_DATA'!B:V,20,FALSE)=0/1/1900,"",VLOOKUP(A722,'ECN-ECO_DATA'!B:V,20,FALSE))),"")</f>
        <v/>
      </c>
      <c r="P722" s="9" t="str">
        <f>IFERROR((IF(VLOOKUP(A722,'ECN-ECO_DATA'!B:V,21,FALSE)=0/1/1900,"",VLOOKUP(A722,'ECN-ECO_DATA'!B:V,21,FALSE))),"")</f>
        <v/>
      </c>
      <c r="Q722" s="10" t="str">
        <f t="shared" ca="1" si="55"/>
        <v/>
      </c>
      <c r="R722" s="4" t="str">
        <f t="shared" si="56"/>
        <v/>
      </c>
      <c r="S722" s="4" t="str">
        <f t="shared" si="57"/>
        <v/>
      </c>
      <c r="T722" s="4" t="str">
        <f t="shared" si="58"/>
        <v/>
      </c>
      <c r="U722" s="10" t="str">
        <f t="shared" si="59"/>
        <v/>
      </c>
      <c r="V722" s="4"/>
    </row>
    <row r="723" spans="2:22" x14ac:dyDescent="0.25">
      <c r="B723" s="4" t="str">
        <f>IFERROR(VLOOKUP(A723,'ECN-ECO_DATA'!B:G,4,FALSE),"")</f>
        <v/>
      </c>
      <c r="C723" s="9" t="str">
        <f>IFERROR(VLOOKUP(A723,'ECN-ECO_DATA'!B:G,5,FALSE),"")</f>
        <v/>
      </c>
      <c r="D723" s="9" t="str">
        <f ca="1">IFERROR((IF(VLOOKUP(A723,'ECN-ECO_DATA'!B:G,6,FALSE)=0/1/1900,TODAY(),VLOOKUP(A723,'ECN-ECO_DATA'!B:G,6,FALSE))),"")</f>
        <v/>
      </c>
      <c r="E723" s="9" t="str">
        <f>IFERROR((IF(VLOOKUP(A723,'ECN-ECO_DATA'!B:G,6,FALSE)=0/1/1900,"",VLOOKUP(A723,'ECN-ECO_DATA'!B:G,6,FALSE))),"")</f>
        <v/>
      </c>
      <c r="F723" s="9" t="str">
        <f>IFERROR((IF(VLOOKUP(A723,'ECN-ECO_DATA'!B:J,7,FALSE)=0/1/1900,"",VLOOKUP(A723,'ECN-ECO_DATA'!B:J,7,FALSE))),"")</f>
        <v/>
      </c>
      <c r="G723" s="9" t="str">
        <f>IFERROR((IF(VLOOKUP(A723,'ECN-ECO_DATA'!B:J,8,FALSE)=0/1/1900,"",VLOOKUP(A723,'ECN-ECO_DATA'!B:J,8,FALSE))),"")</f>
        <v/>
      </c>
      <c r="H723" s="9" t="str">
        <f>IFERROR((IF(VLOOKUP(A723,'ECN-ECO_DATA'!B:J,9,FALSE)=0/1/1900,"",VLOOKUP(A723,'ECN-ECO_DATA'!B:J,9,FALSE))),"")</f>
        <v/>
      </c>
      <c r="I723" s="10" t="str">
        <f>IFERROR((IF(VLOOKUP(A723,'ECN-ECO_DATA'!B:Q,13,FALSE)="","",VLOOKUP(A723,'ECN-ECO_DATA'!B:Q,13,FALSE))),"")</f>
        <v/>
      </c>
      <c r="J723" s="10" t="str">
        <f>IFERROR((IF(VLOOKUP(A723,'ECN-ECO_DATA'!B:Q,14,FALSE)="","",VLOOKUP(A723,'ECN-ECO_DATA'!B:Q,14,FALSE))),"")</f>
        <v/>
      </c>
      <c r="K723" s="10" t="str">
        <f>IFERROR((IF(VLOOKUP(A723,'ECN-ECO_DATA'!B:Q,15,FALSE)="","",VLOOKUP(A723,'ECN-ECO_DATA'!B:Q,15,FALSE))),"")</f>
        <v/>
      </c>
      <c r="L723" s="10" t="str">
        <f>IFERROR((IF(VLOOKUP(A723,'ECN-ECO_DATA'!B:Q,16,FALSE)="","",VLOOKUP(A723,'ECN-ECO_DATA'!B:Q,16,FALSE))),"")</f>
        <v/>
      </c>
      <c r="M723" s="9" t="str">
        <f>IFERROR((IF(VLOOKUP(A723,'ECN-ECO_DATA'!B:V,18,FALSE)=0/1/1900,"",VLOOKUP(A723,'ECN-ECO_DATA'!B:V,18,FALSE))),"")</f>
        <v/>
      </c>
      <c r="N723" s="9" t="str">
        <f>IFERROR((IF(VLOOKUP(A723,'ECN-ECO_DATA'!B:V,19,FALSE)=0/1/1900,"",VLOOKUP(A723,'ECN-ECO_DATA'!B:V,19,FALSE))),"")</f>
        <v/>
      </c>
      <c r="O723" s="9" t="str">
        <f>IFERROR((IF(VLOOKUP(A723,'ECN-ECO_DATA'!B:V,20,FALSE)=0/1/1900,"",VLOOKUP(A723,'ECN-ECO_DATA'!B:V,20,FALSE))),"")</f>
        <v/>
      </c>
      <c r="P723" s="9" t="str">
        <f>IFERROR((IF(VLOOKUP(A723,'ECN-ECO_DATA'!B:V,21,FALSE)=0/1/1900,"",VLOOKUP(A723,'ECN-ECO_DATA'!B:V,21,FALSE))),"")</f>
        <v/>
      </c>
      <c r="Q723" s="10" t="str">
        <f t="shared" ca="1" si="55"/>
        <v/>
      </c>
      <c r="R723" s="4" t="str">
        <f t="shared" si="56"/>
        <v/>
      </c>
      <c r="S723" s="4" t="str">
        <f t="shared" si="57"/>
        <v/>
      </c>
      <c r="T723" s="4" t="str">
        <f t="shared" si="58"/>
        <v/>
      </c>
      <c r="U723" s="10" t="str">
        <f t="shared" si="59"/>
        <v/>
      </c>
      <c r="V723" s="4"/>
    </row>
    <row r="724" spans="2:22" x14ac:dyDescent="0.25">
      <c r="B724" s="4" t="str">
        <f>IFERROR(VLOOKUP(A724,'ECN-ECO_DATA'!B:G,4,FALSE),"")</f>
        <v/>
      </c>
      <c r="C724" s="9" t="str">
        <f>IFERROR(VLOOKUP(A724,'ECN-ECO_DATA'!B:G,5,FALSE),"")</f>
        <v/>
      </c>
      <c r="D724" s="9" t="str">
        <f ca="1">IFERROR((IF(VLOOKUP(A724,'ECN-ECO_DATA'!B:G,6,FALSE)=0/1/1900,TODAY(),VLOOKUP(A724,'ECN-ECO_DATA'!B:G,6,FALSE))),"")</f>
        <v/>
      </c>
      <c r="E724" s="9" t="str">
        <f>IFERROR((IF(VLOOKUP(A724,'ECN-ECO_DATA'!B:G,6,FALSE)=0/1/1900,"",VLOOKUP(A724,'ECN-ECO_DATA'!B:G,6,FALSE))),"")</f>
        <v/>
      </c>
      <c r="F724" s="9" t="str">
        <f>IFERROR((IF(VLOOKUP(A724,'ECN-ECO_DATA'!B:J,7,FALSE)=0/1/1900,"",VLOOKUP(A724,'ECN-ECO_DATA'!B:J,7,FALSE))),"")</f>
        <v/>
      </c>
      <c r="G724" s="9" t="str">
        <f>IFERROR((IF(VLOOKUP(A724,'ECN-ECO_DATA'!B:J,8,FALSE)=0/1/1900,"",VLOOKUP(A724,'ECN-ECO_DATA'!B:J,8,FALSE))),"")</f>
        <v/>
      </c>
      <c r="H724" s="9" t="str">
        <f>IFERROR((IF(VLOOKUP(A724,'ECN-ECO_DATA'!B:J,9,FALSE)=0/1/1900,"",VLOOKUP(A724,'ECN-ECO_DATA'!B:J,9,FALSE))),"")</f>
        <v/>
      </c>
      <c r="I724" s="10" t="str">
        <f>IFERROR((IF(VLOOKUP(A724,'ECN-ECO_DATA'!B:Q,13,FALSE)="","",VLOOKUP(A724,'ECN-ECO_DATA'!B:Q,13,FALSE))),"")</f>
        <v/>
      </c>
      <c r="J724" s="10" t="str">
        <f>IFERROR((IF(VLOOKUP(A724,'ECN-ECO_DATA'!B:Q,14,FALSE)="","",VLOOKUP(A724,'ECN-ECO_DATA'!B:Q,14,FALSE))),"")</f>
        <v/>
      </c>
      <c r="K724" s="10" t="str">
        <f>IFERROR((IF(VLOOKUP(A724,'ECN-ECO_DATA'!B:Q,15,FALSE)="","",VLOOKUP(A724,'ECN-ECO_DATA'!B:Q,15,FALSE))),"")</f>
        <v/>
      </c>
      <c r="L724" s="10" t="str">
        <f>IFERROR((IF(VLOOKUP(A724,'ECN-ECO_DATA'!B:Q,16,FALSE)="","",VLOOKUP(A724,'ECN-ECO_DATA'!B:Q,16,FALSE))),"")</f>
        <v/>
      </c>
      <c r="M724" s="9" t="str">
        <f>IFERROR((IF(VLOOKUP(A724,'ECN-ECO_DATA'!B:V,18,FALSE)=0/1/1900,"",VLOOKUP(A724,'ECN-ECO_DATA'!B:V,18,FALSE))),"")</f>
        <v/>
      </c>
      <c r="N724" s="9" t="str">
        <f>IFERROR((IF(VLOOKUP(A724,'ECN-ECO_DATA'!B:V,19,FALSE)=0/1/1900,"",VLOOKUP(A724,'ECN-ECO_DATA'!B:V,19,FALSE))),"")</f>
        <v/>
      </c>
      <c r="O724" s="9" t="str">
        <f>IFERROR((IF(VLOOKUP(A724,'ECN-ECO_DATA'!B:V,20,FALSE)=0/1/1900,"",VLOOKUP(A724,'ECN-ECO_DATA'!B:V,20,FALSE))),"")</f>
        <v/>
      </c>
      <c r="P724" s="9" t="str">
        <f>IFERROR((IF(VLOOKUP(A724,'ECN-ECO_DATA'!B:V,21,FALSE)=0/1/1900,"",VLOOKUP(A724,'ECN-ECO_DATA'!B:V,21,FALSE))),"")</f>
        <v/>
      </c>
      <c r="Q724" s="10" t="str">
        <f t="shared" ca="1" si="55"/>
        <v/>
      </c>
      <c r="R724" s="4" t="str">
        <f t="shared" si="56"/>
        <v/>
      </c>
      <c r="S724" s="4" t="str">
        <f t="shared" si="57"/>
        <v/>
      </c>
      <c r="T724" s="4" t="str">
        <f t="shared" si="58"/>
        <v/>
      </c>
      <c r="U724" s="10" t="str">
        <f t="shared" si="59"/>
        <v/>
      </c>
      <c r="V724" s="4"/>
    </row>
    <row r="725" spans="2:22" x14ac:dyDescent="0.25">
      <c r="B725" s="4" t="str">
        <f>IFERROR(VLOOKUP(A725,'ECN-ECO_DATA'!B:G,4,FALSE),"")</f>
        <v/>
      </c>
      <c r="C725" s="9" t="str">
        <f>IFERROR(VLOOKUP(A725,'ECN-ECO_DATA'!B:G,5,FALSE),"")</f>
        <v/>
      </c>
      <c r="D725" s="9" t="str">
        <f ca="1">IFERROR((IF(VLOOKUP(A725,'ECN-ECO_DATA'!B:G,6,FALSE)=0/1/1900,TODAY(),VLOOKUP(A725,'ECN-ECO_DATA'!B:G,6,FALSE))),"")</f>
        <v/>
      </c>
      <c r="E725" s="9" t="str">
        <f>IFERROR((IF(VLOOKUP(A725,'ECN-ECO_DATA'!B:G,6,FALSE)=0/1/1900,"",VLOOKUP(A725,'ECN-ECO_DATA'!B:G,6,FALSE))),"")</f>
        <v/>
      </c>
      <c r="F725" s="9" t="str">
        <f>IFERROR((IF(VLOOKUP(A725,'ECN-ECO_DATA'!B:J,7,FALSE)=0/1/1900,"",VLOOKUP(A725,'ECN-ECO_DATA'!B:J,7,FALSE))),"")</f>
        <v/>
      </c>
      <c r="G725" s="9" t="str">
        <f>IFERROR((IF(VLOOKUP(A725,'ECN-ECO_DATA'!B:J,8,FALSE)=0/1/1900,"",VLOOKUP(A725,'ECN-ECO_DATA'!B:J,8,FALSE))),"")</f>
        <v/>
      </c>
      <c r="H725" s="9" t="str">
        <f>IFERROR((IF(VLOOKUP(A725,'ECN-ECO_DATA'!B:J,9,FALSE)=0/1/1900,"",VLOOKUP(A725,'ECN-ECO_DATA'!B:J,9,FALSE))),"")</f>
        <v/>
      </c>
      <c r="I725" s="10" t="str">
        <f>IFERROR((IF(VLOOKUP(A725,'ECN-ECO_DATA'!B:Q,13,FALSE)="","",VLOOKUP(A725,'ECN-ECO_DATA'!B:Q,13,FALSE))),"")</f>
        <v/>
      </c>
      <c r="J725" s="10" t="str">
        <f>IFERROR((IF(VLOOKUP(A725,'ECN-ECO_DATA'!B:Q,14,FALSE)="","",VLOOKUP(A725,'ECN-ECO_DATA'!B:Q,14,FALSE))),"")</f>
        <v/>
      </c>
      <c r="K725" s="10" t="str">
        <f>IFERROR((IF(VLOOKUP(A725,'ECN-ECO_DATA'!B:Q,15,FALSE)="","",VLOOKUP(A725,'ECN-ECO_DATA'!B:Q,15,FALSE))),"")</f>
        <v/>
      </c>
      <c r="L725" s="10" t="str">
        <f>IFERROR((IF(VLOOKUP(A725,'ECN-ECO_DATA'!B:Q,16,FALSE)="","",VLOOKUP(A725,'ECN-ECO_DATA'!B:Q,16,FALSE))),"")</f>
        <v/>
      </c>
      <c r="M725" s="9" t="str">
        <f>IFERROR((IF(VLOOKUP(A725,'ECN-ECO_DATA'!B:V,18,FALSE)=0/1/1900,"",VLOOKUP(A725,'ECN-ECO_DATA'!B:V,18,FALSE))),"")</f>
        <v/>
      </c>
      <c r="N725" s="9" t="str">
        <f>IFERROR((IF(VLOOKUP(A725,'ECN-ECO_DATA'!B:V,19,FALSE)=0/1/1900,"",VLOOKUP(A725,'ECN-ECO_DATA'!B:V,19,FALSE))),"")</f>
        <v/>
      </c>
      <c r="O725" s="9" t="str">
        <f>IFERROR((IF(VLOOKUP(A725,'ECN-ECO_DATA'!B:V,20,FALSE)=0/1/1900,"",VLOOKUP(A725,'ECN-ECO_DATA'!B:V,20,FALSE))),"")</f>
        <v/>
      </c>
      <c r="P725" s="9" t="str">
        <f>IFERROR((IF(VLOOKUP(A725,'ECN-ECO_DATA'!B:V,21,FALSE)=0/1/1900,"",VLOOKUP(A725,'ECN-ECO_DATA'!B:V,21,FALSE))),"")</f>
        <v/>
      </c>
      <c r="Q725" s="10" t="str">
        <f t="shared" ca="1" si="55"/>
        <v/>
      </c>
      <c r="R725" s="4" t="str">
        <f t="shared" si="56"/>
        <v/>
      </c>
      <c r="S725" s="4" t="str">
        <f t="shared" si="57"/>
        <v/>
      </c>
      <c r="T725" s="4" t="str">
        <f t="shared" si="58"/>
        <v/>
      </c>
      <c r="U725" s="10" t="str">
        <f t="shared" si="59"/>
        <v/>
      </c>
      <c r="V725" s="4"/>
    </row>
    <row r="726" spans="2:22" x14ac:dyDescent="0.25">
      <c r="B726" s="4" t="str">
        <f>IFERROR(VLOOKUP(A726,'ECN-ECO_DATA'!B:G,4,FALSE),"")</f>
        <v/>
      </c>
      <c r="C726" s="9" t="str">
        <f>IFERROR(VLOOKUP(A726,'ECN-ECO_DATA'!B:G,5,FALSE),"")</f>
        <v/>
      </c>
      <c r="D726" s="9" t="str">
        <f ca="1">IFERROR((IF(VLOOKUP(A726,'ECN-ECO_DATA'!B:G,6,FALSE)=0/1/1900,TODAY(),VLOOKUP(A726,'ECN-ECO_DATA'!B:G,6,FALSE))),"")</f>
        <v/>
      </c>
      <c r="E726" s="9" t="str">
        <f>IFERROR((IF(VLOOKUP(A726,'ECN-ECO_DATA'!B:G,6,FALSE)=0/1/1900,"",VLOOKUP(A726,'ECN-ECO_DATA'!B:G,6,FALSE))),"")</f>
        <v/>
      </c>
      <c r="F726" s="9" t="str">
        <f>IFERROR((IF(VLOOKUP(A726,'ECN-ECO_DATA'!B:J,7,FALSE)=0/1/1900,"",VLOOKUP(A726,'ECN-ECO_DATA'!B:J,7,FALSE))),"")</f>
        <v/>
      </c>
      <c r="G726" s="9" t="str">
        <f>IFERROR((IF(VLOOKUP(A726,'ECN-ECO_DATA'!B:J,8,FALSE)=0/1/1900,"",VLOOKUP(A726,'ECN-ECO_DATA'!B:J,8,FALSE))),"")</f>
        <v/>
      </c>
      <c r="H726" s="9" t="str">
        <f>IFERROR((IF(VLOOKUP(A726,'ECN-ECO_DATA'!B:J,9,FALSE)=0/1/1900,"",VLOOKUP(A726,'ECN-ECO_DATA'!B:J,9,FALSE))),"")</f>
        <v/>
      </c>
      <c r="I726" s="10" t="str">
        <f>IFERROR((IF(VLOOKUP(A726,'ECN-ECO_DATA'!B:Q,13,FALSE)="","",VLOOKUP(A726,'ECN-ECO_DATA'!B:Q,13,FALSE))),"")</f>
        <v/>
      </c>
      <c r="J726" s="10" t="str">
        <f>IFERROR((IF(VLOOKUP(A726,'ECN-ECO_DATA'!B:Q,14,FALSE)="","",VLOOKUP(A726,'ECN-ECO_DATA'!B:Q,14,FALSE))),"")</f>
        <v/>
      </c>
      <c r="K726" s="10" t="str">
        <f>IFERROR((IF(VLOOKUP(A726,'ECN-ECO_DATA'!B:Q,15,FALSE)="","",VLOOKUP(A726,'ECN-ECO_DATA'!B:Q,15,FALSE))),"")</f>
        <v/>
      </c>
      <c r="L726" s="10" t="str">
        <f>IFERROR((IF(VLOOKUP(A726,'ECN-ECO_DATA'!B:Q,16,FALSE)="","",VLOOKUP(A726,'ECN-ECO_DATA'!B:Q,16,FALSE))),"")</f>
        <v/>
      </c>
      <c r="M726" s="9" t="str">
        <f>IFERROR((IF(VLOOKUP(A726,'ECN-ECO_DATA'!B:V,18,FALSE)=0/1/1900,"",VLOOKUP(A726,'ECN-ECO_DATA'!B:V,18,FALSE))),"")</f>
        <v/>
      </c>
      <c r="N726" s="9" t="str">
        <f>IFERROR((IF(VLOOKUP(A726,'ECN-ECO_DATA'!B:V,19,FALSE)=0/1/1900,"",VLOOKUP(A726,'ECN-ECO_DATA'!B:V,19,FALSE))),"")</f>
        <v/>
      </c>
      <c r="O726" s="9" t="str">
        <f>IFERROR((IF(VLOOKUP(A726,'ECN-ECO_DATA'!B:V,20,FALSE)=0/1/1900,"",VLOOKUP(A726,'ECN-ECO_DATA'!B:V,20,FALSE))),"")</f>
        <v/>
      </c>
      <c r="P726" s="9" t="str">
        <f>IFERROR((IF(VLOOKUP(A726,'ECN-ECO_DATA'!B:V,21,FALSE)=0/1/1900,"",VLOOKUP(A726,'ECN-ECO_DATA'!B:V,21,FALSE))),"")</f>
        <v/>
      </c>
      <c r="Q726" s="10" t="str">
        <f t="shared" ca="1" si="55"/>
        <v/>
      </c>
      <c r="R726" s="4" t="str">
        <f t="shared" si="56"/>
        <v/>
      </c>
      <c r="S726" s="4" t="str">
        <f t="shared" si="57"/>
        <v/>
      </c>
      <c r="T726" s="4" t="str">
        <f t="shared" si="58"/>
        <v/>
      </c>
      <c r="U726" s="10" t="str">
        <f t="shared" si="59"/>
        <v/>
      </c>
      <c r="V726" s="4"/>
    </row>
    <row r="727" spans="2:22" x14ac:dyDescent="0.25">
      <c r="B727" s="4" t="str">
        <f>IFERROR(VLOOKUP(A727,'ECN-ECO_DATA'!B:G,4,FALSE),"")</f>
        <v/>
      </c>
      <c r="C727" s="9" t="str">
        <f>IFERROR(VLOOKUP(A727,'ECN-ECO_DATA'!B:G,5,FALSE),"")</f>
        <v/>
      </c>
      <c r="D727" s="9" t="str">
        <f ca="1">IFERROR((IF(VLOOKUP(A727,'ECN-ECO_DATA'!B:G,6,FALSE)=0/1/1900,TODAY(),VLOOKUP(A727,'ECN-ECO_DATA'!B:G,6,FALSE))),"")</f>
        <v/>
      </c>
      <c r="E727" s="9" t="str">
        <f>IFERROR((IF(VLOOKUP(A727,'ECN-ECO_DATA'!B:G,6,FALSE)=0/1/1900,"",VLOOKUP(A727,'ECN-ECO_DATA'!B:G,6,FALSE))),"")</f>
        <v/>
      </c>
      <c r="F727" s="9" t="str">
        <f>IFERROR((IF(VLOOKUP(A727,'ECN-ECO_DATA'!B:J,7,FALSE)=0/1/1900,"",VLOOKUP(A727,'ECN-ECO_DATA'!B:J,7,FALSE))),"")</f>
        <v/>
      </c>
      <c r="G727" s="9" t="str">
        <f>IFERROR((IF(VLOOKUP(A727,'ECN-ECO_DATA'!B:J,8,FALSE)=0/1/1900,"",VLOOKUP(A727,'ECN-ECO_DATA'!B:J,8,FALSE))),"")</f>
        <v/>
      </c>
      <c r="H727" s="9" t="str">
        <f>IFERROR((IF(VLOOKUP(A727,'ECN-ECO_DATA'!B:J,9,FALSE)=0/1/1900,"",VLOOKUP(A727,'ECN-ECO_DATA'!B:J,9,FALSE))),"")</f>
        <v/>
      </c>
      <c r="I727" s="10" t="str">
        <f>IFERROR((IF(VLOOKUP(A727,'ECN-ECO_DATA'!B:Q,13,FALSE)="","",VLOOKUP(A727,'ECN-ECO_DATA'!B:Q,13,FALSE))),"")</f>
        <v/>
      </c>
      <c r="J727" s="10" t="str">
        <f>IFERROR((IF(VLOOKUP(A727,'ECN-ECO_DATA'!B:Q,14,FALSE)="","",VLOOKUP(A727,'ECN-ECO_DATA'!B:Q,14,FALSE))),"")</f>
        <v/>
      </c>
      <c r="K727" s="10" t="str">
        <f>IFERROR((IF(VLOOKUP(A727,'ECN-ECO_DATA'!B:Q,15,FALSE)="","",VLOOKUP(A727,'ECN-ECO_DATA'!B:Q,15,FALSE))),"")</f>
        <v/>
      </c>
      <c r="L727" s="10" t="str">
        <f>IFERROR((IF(VLOOKUP(A727,'ECN-ECO_DATA'!B:Q,16,FALSE)="","",VLOOKUP(A727,'ECN-ECO_DATA'!B:Q,16,FALSE))),"")</f>
        <v/>
      </c>
      <c r="M727" s="9" t="str">
        <f>IFERROR((IF(VLOOKUP(A727,'ECN-ECO_DATA'!B:V,18,FALSE)=0/1/1900,"",VLOOKUP(A727,'ECN-ECO_DATA'!B:V,18,FALSE))),"")</f>
        <v/>
      </c>
      <c r="N727" s="9" t="str">
        <f>IFERROR((IF(VLOOKUP(A727,'ECN-ECO_DATA'!B:V,19,FALSE)=0/1/1900,"",VLOOKUP(A727,'ECN-ECO_DATA'!B:V,19,FALSE))),"")</f>
        <v/>
      </c>
      <c r="O727" s="9" t="str">
        <f>IFERROR((IF(VLOOKUP(A727,'ECN-ECO_DATA'!B:V,20,FALSE)=0/1/1900,"",VLOOKUP(A727,'ECN-ECO_DATA'!B:V,20,FALSE))),"")</f>
        <v/>
      </c>
      <c r="P727" s="9" t="str">
        <f>IFERROR((IF(VLOOKUP(A727,'ECN-ECO_DATA'!B:V,21,FALSE)=0/1/1900,"",VLOOKUP(A727,'ECN-ECO_DATA'!B:V,21,FALSE))),"")</f>
        <v/>
      </c>
      <c r="Q727" s="10" t="str">
        <f t="shared" ca="1" si="55"/>
        <v/>
      </c>
      <c r="R727" s="4" t="str">
        <f t="shared" si="56"/>
        <v/>
      </c>
      <c r="S727" s="4" t="str">
        <f t="shared" si="57"/>
        <v/>
      </c>
      <c r="T727" s="4" t="str">
        <f t="shared" si="58"/>
        <v/>
      </c>
      <c r="U727" s="10" t="str">
        <f t="shared" si="59"/>
        <v/>
      </c>
      <c r="V727" s="4"/>
    </row>
    <row r="728" spans="2:22" x14ac:dyDescent="0.25">
      <c r="B728" s="4" t="str">
        <f>IFERROR(VLOOKUP(A728,'ECN-ECO_DATA'!B:G,4,FALSE),"")</f>
        <v/>
      </c>
      <c r="C728" s="9" t="str">
        <f>IFERROR(VLOOKUP(A728,'ECN-ECO_DATA'!B:G,5,FALSE),"")</f>
        <v/>
      </c>
      <c r="D728" s="9" t="str">
        <f ca="1">IFERROR((IF(VLOOKUP(A728,'ECN-ECO_DATA'!B:G,6,FALSE)=0/1/1900,TODAY(),VLOOKUP(A728,'ECN-ECO_DATA'!B:G,6,FALSE))),"")</f>
        <v/>
      </c>
      <c r="E728" s="9" t="str">
        <f>IFERROR((IF(VLOOKUP(A728,'ECN-ECO_DATA'!B:G,6,FALSE)=0/1/1900,"",VLOOKUP(A728,'ECN-ECO_DATA'!B:G,6,FALSE))),"")</f>
        <v/>
      </c>
      <c r="F728" s="9" t="str">
        <f>IFERROR((IF(VLOOKUP(A728,'ECN-ECO_DATA'!B:J,7,FALSE)=0/1/1900,"",VLOOKUP(A728,'ECN-ECO_DATA'!B:J,7,FALSE))),"")</f>
        <v/>
      </c>
      <c r="G728" s="9" t="str">
        <f>IFERROR((IF(VLOOKUP(A728,'ECN-ECO_DATA'!B:J,8,FALSE)=0/1/1900,"",VLOOKUP(A728,'ECN-ECO_DATA'!B:J,8,FALSE))),"")</f>
        <v/>
      </c>
      <c r="H728" s="9" t="str">
        <f>IFERROR((IF(VLOOKUP(A728,'ECN-ECO_DATA'!B:J,9,FALSE)=0/1/1900,"",VLOOKUP(A728,'ECN-ECO_DATA'!B:J,9,FALSE))),"")</f>
        <v/>
      </c>
      <c r="I728" s="10" t="str">
        <f>IFERROR((IF(VLOOKUP(A728,'ECN-ECO_DATA'!B:Q,13,FALSE)="","",VLOOKUP(A728,'ECN-ECO_DATA'!B:Q,13,FALSE))),"")</f>
        <v/>
      </c>
      <c r="J728" s="10" t="str">
        <f>IFERROR((IF(VLOOKUP(A728,'ECN-ECO_DATA'!B:Q,14,FALSE)="","",VLOOKUP(A728,'ECN-ECO_DATA'!B:Q,14,FALSE))),"")</f>
        <v/>
      </c>
      <c r="K728" s="10" t="str">
        <f>IFERROR((IF(VLOOKUP(A728,'ECN-ECO_DATA'!B:Q,15,FALSE)="","",VLOOKUP(A728,'ECN-ECO_DATA'!B:Q,15,FALSE))),"")</f>
        <v/>
      </c>
      <c r="L728" s="10" t="str">
        <f>IFERROR((IF(VLOOKUP(A728,'ECN-ECO_DATA'!B:Q,16,FALSE)="","",VLOOKUP(A728,'ECN-ECO_DATA'!B:Q,16,FALSE))),"")</f>
        <v/>
      </c>
      <c r="M728" s="9" t="str">
        <f>IFERROR((IF(VLOOKUP(A728,'ECN-ECO_DATA'!B:V,18,FALSE)=0/1/1900,"",VLOOKUP(A728,'ECN-ECO_DATA'!B:V,18,FALSE))),"")</f>
        <v/>
      </c>
      <c r="N728" s="9" t="str">
        <f>IFERROR((IF(VLOOKUP(A728,'ECN-ECO_DATA'!B:V,19,FALSE)=0/1/1900,"",VLOOKUP(A728,'ECN-ECO_DATA'!B:V,19,FALSE))),"")</f>
        <v/>
      </c>
      <c r="O728" s="9" t="str">
        <f>IFERROR((IF(VLOOKUP(A728,'ECN-ECO_DATA'!B:V,20,FALSE)=0/1/1900,"",VLOOKUP(A728,'ECN-ECO_DATA'!B:V,20,FALSE))),"")</f>
        <v/>
      </c>
      <c r="P728" s="9" t="str">
        <f>IFERROR((IF(VLOOKUP(A728,'ECN-ECO_DATA'!B:V,21,FALSE)=0/1/1900,"",VLOOKUP(A728,'ECN-ECO_DATA'!B:V,21,FALSE))),"")</f>
        <v/>
      </c>
      <c r="Q728" s="10" t="str">
        <f t="shared" ca="1" si="55"/>
        <v/>
      </c>
      <c r="R728" s="4" t="str">
        <f t="shared" si="56"/>
        <v/>
      </c>
      <c r="S728" s="4" t="str">
        <f t="shared" si="57"/>
        <v/>
      </c>
      <c r="T728" s="4" t="str">
        <f t="shared" si="58"/>
        <v/>
      </c>
      <c r="U728" s="10" t="str">
        <f t="shared" si="59"/>
        <v/>
      </c>
      <c r="V728" s="4"/>
    </row>
    <row r="729" spans="2:22" x14ac:dyDescent="0.25">
      <c r="B729" s="4" t="str">
        <f>IFERROR(VLOOKUP(A729,'ECN-ECO_DATA'!B:G,4,FALSE),"")</f>
        <v/>
      </c>
      <c r="C729" s="9" t="str">
        <f>IFERROR(VLOOKUP(A729,'ECN-ECO_DATA'!B:G,5,FALSE),"")</f>
        <v/>
      </c>
      <c r="D729" s="9" t="str">
        <f ca="1">IFERROR((IF(VLOOKUP(A729,'ECN-ECO_DATA'!B:G,6,FALSE)=0/1/1900,TODAY(),VLOOKUP(A729,'ECN-ECO_DATA'!B:G,6,FALSE))),"")</f>
        <v/>
      </c>
      <c r="E729" s="9" t="str">
        <f>IFERROR((IF(VLOOKUP(A729,'ECN-ECO_DATA'!B:G,6,FALSE)=0/1/1900,"",VLOOKUP(A729,'ECN-ECO_DATA'!B:G,6,FALSE))),"")</f>
        <v/>
      </c>
      <c r="F729" s="9" t="str">
        <f>IFERROR((IF(VLOOKUP(A729,'ECN-ECO_DATA'!B:J,7,FALSE)=0/1/1900,"",VLOOKUP(A729,'ECN-ECO_DATA'!B:J,7,FALSE))),"")</f>
        <v/>
      </c>
      <c r="G729" s="9" t="str">
        <f>IFERROR((IF(VLOOKUP(A729,'ECN-ECO_DATA'!B:J,8,FALSE)=0/1/1900,"",VLOOKUP(A729,'ECN-ECO_DATA'!B:J,8,FALSE))),"")</f>
        <v/>
      </c>
      <c r="H729" s="9" t="str">
        <f>IFERROR((IF(VLOOKUP(A729,'ECN-ECO_DATA'!B:J,9,FALSE)=0/1/1900,"",VLOOKUP(A729,'ECN-ECO_DATA'!B:J,9,FALSE))),"")</f>
        <v/>
      </c>
      <c r="I729" s="10" t="str">
        <f>IFERROR((IF(VLOOKUP(A729,'ECN-ECO_DATA'!B:Q,13,FALSE)="","",VLOOKUP(A729,'ECN-ECO_DATA'!B:Q,13,FALSE))),"")</f>
        <v/>
      </c>
      <c r="J729" s="10" t="str">
        <f>IFERROR((IF(VLOOKUP(A729,'ECN-ECO_DATA'!B:Q,14,FALSE)="","",VLOOKUP(A729,'ECN-ECO_DATA'!B:Q,14,FALSE))),"")</f>
        <v/>
      </c>
      <c r="K729" s="10" t="str">
        <f>IFERROR((IF(VLOOKUP(A729,'ECN-ECO_DATA'!B:Q,15,FALSE)="","",VLOOKUP(A729,'ECN-ECO_DATA'!B:Q,15,FALSE))),"")</f>
        <v/>
      </c>
      <c r="L729" s="10" t="str">
        <f>IFERROR((IF(VLOOKUP(A729,'ECN-ECO_DATA'!B:Q,16,FALSE)="","",VLOOKUP(A729,'ECN-ECO_DATA'!B:Q,16,FALSE))),"")</f>
        <v/>
      </c>
      <c r="M729" s="9" t="str">
        <f>IFERROR((IF(VLOOKUP(A729,'ECN-ECO_DATA'!B:V,18,FALSE)=0/1/1900,"",VLOOKUP(A729,'ECN-ECO_DATA'!B:V,18,FALSE))),"")</f>
        <v/>
      </c>
      <c r="N729" s="9" t="str">
        <f>IFERROR((IF(VLOOKUP(A729,'ECN-ECO_DATA'!B:V,19,FALSE)=0/1/1900,"",VLOOKUP(A729,'ECN-ECO_DATA'!B:V,19,FALSE))),"")</f>
        <v/>
      </c>
      <c r="O729" s="9" t="str">
        <f>IFERROR((IF(VLOOKUP(A729,'ECN-ECO_DATA'!B:V,20,FALSE)=0/1/1900,"",VLOOKUP(A729,'ECN-ECO_DATA'!B:V,20,FALSE))),"")</f>
        <v/>
      </c>
      <c r="P729" s="9" t="str">
        <f>IFERROR((IF(VLOOKUP(A729,'ECN-ECO_DATA'!B:V,21,FALSE)=0/1/1900,"",VLOOKUP(A729,'ECN-ECO_DATA'!B:V,21,FALSE))),"")</f>
        <v/>
      </c>
      <c r="Q729" s="10" t="str">
        <f t="shared" ca="1" si="55"/>
        <v/>
      </c>
      <c r="R729" s="4" t="str">
        <f t="shared" si="56"/>
        <v/>
      </c>
      <c r="S729" s="4" t="str">
        <f t="shared" si="57"/>
        <v/>
      </c>
      <c r="T729" s="4" t="str">
        <f t="shared" si="58"/>
        <v/>
      </c>
      <c r="U729" s="10" t="str">
        <f t="shared" si="59"/>
        <v/>
      </c>
      <c r="V729" s="4"/>
    </row>
    <row r="730" spans="2:22" x14ac:dyDescent="0.25">
      <c r="B730" s="4" t="str">
        <f>IFERROR(VLOOKUP(A730,'ECN-ECO_DATA'!B:G,4,FALSE),"")</f>
        <v/>
      </c>
      <c r="C730" s="9" t="str">
        <f>IFERROR(VLOOKUP(A730,'ECN-ECO_DATA'!B:G,5,FALSE),"")</f>
        <v/>
      </c>
      <c r="D730" s="9" t="str">
        <f ca="1">IFERROR((IF(VLOOKUP(A730,'ECN-ECO_DATA'!B:G,6,FALSE)=0/1/1900,TODAY(),VLOOKUP(A730,'ECN-ECO_DATA'!B:G,6,FALSE))),"")</f>
        <v/>
      </c>
      <c r="E730" s="9" t="str">
        <f>IFERROR((IF(VLOOKUP(A730,'ECN-ECO_DATA'!B:G,6,FALSE)=0/1/1900,"",VLOOKUP(A730,'ECN-ECO_DATA'!B:G,6,FALSE))),"")</f>
        <v/>
      </c>
      <c r="F730" s="9" t="str">
        <f>IFERROR((IF(VLOOKUP(A730,'ECN-ECO_DATA'!B:J,7,FALSE)=0/1/1900,"",VLOOKUP(A730,'ECN-ECO_DATA'!B:J,7,FALSE))),"")</f>
        <v/>
      </c>
      <c r="G730" s="9" t="str">
        <f>IFERROR((IF(VLOOKUP(A730,'ECN-ECO_DATA'!B:J,8,FALSE)=0/1/1900,"",VLOOKUP(A730,'ECN-ECO_DATA'!B:J,8,FALSE))),"")</f>
        <v/>
      </c>
      <c r="H730" s="9" t="str">
        <f>IFERROR((IF(VLOOKUP(A730,'ECN-ECO_DATA'!B:J,9,FALSE)=0/1/1900,"",VLOOKUP(A730,'ECN-ECO_DATA'!B:J,9,FALSE))),"")</f>
        <v/>
      </c>
      <c r="I730" s="10" t="str">
        <f>IFERROR((IF(VLOOKUP(A730,'ECN-ECO_DATA'!B:Q,13,FALSE)="","",VLOOKUP(A730,'ECN-ECO_DATA'!B:Q,13,FALSE))),"")</f>
        <v/>
      </c>
      <c r="J730" s="10" t="str">
        <f>IFERROR((IF(VLOOKUP(A730,'ECN-ECO_DATA'!B:Q,14,FALSE)="","",VLOOKUP(A730,'ECN-ECO_DATA'!B:Q,14,FALSE))),"")</f>
        <v/>
      </c>
      <c r="K730" s="10" t="str">
        <f>IFERROR((IF(VLOOKUP(A730,'ECN-ECO_DATA'!B:Q,15,FALSE)="","",VLOOKUP(A730,'ECN-ECO_DATA'!B:Q,15,FALSE))),"")</f>
        <v/>
      </c>
      <c r="L730" s="10" t="str">
        <f>IFERROR((IF(VLOOKUP(A730,'ECN-ECO_DATA'!B:Q,16,FALSE)="","",VLOOKUP(A730,'ECN-ECO_DATA'!B:Q,16,FALSE))),"")</f>
        <v/>
      </c>
      <c r="M730" s="9" t="str">
        <f>IFERROR((IF(VLOOKUP(A730,'ECN-ECO_DATA'!B:V,18,FALSE)=0/1/1900,"",VLOOKUP(A730,'ECN-ECO_DATA'!B:V,18,FALSE))),"")</f>
        <v/>
      </c>
      <c r="N730" s="9" t="str">
        <f>IFERROR((IF(VLOOKUP(A730,'ECN-ECO_DATA'!B:V,19,FALSE)=0/1/1900,"",VLOOKUP(A730,'ECN-ECO_DATA'!B:V,19,FALSE))),"")</f>
        <v/>
      </c>
      <c r="O730" s="9" t="str">
        <f>IFERROR((IF(VLOOKUP(A730,'ECN-ECO_DATA'!B:V,20,FALSE)=0/1/1900,"",VLOOKUP(A730,'ECN-ECO_DATA'!B:V,20,FALSE))),"")</f>
        <v/>
      </c>
      <c r="P730" s="9" t="str">
        <f>IFERROR((IF(VLOOKUP(A730,'ECN-ECO_DATA'!B:V,21,FALSE)=0/1/1900,"",VLOOKUP(A730,'ECN-ECO_DATA'!B:V,21,FALSE))),"")</f>
        <v/>
      </c>
      <c r="Q730" s="10" t="str">
        <f t="shared" ca="1" si="55"/>
        <v/>
      </c>
      <c r="R730" s="4" t="str">
        <f t="shared" si="56"/>
        <v/>
      </c>
      <c r="S730" s="4" t="str">
        <f t="shared" si="57"/>
        <v/>
      </c>
      <c r="T730" s="4" t="str">
        <f t="shared" si="58"/>
        <v/>
      </c>
      <c r="U730" s="10" t="str">
        <f t="shared" si="59"/>
        <v/>
      </c>
      <c r="V730" s="4"/>
    </row>
    <row r="731" spans="2:22" x14ac:dyDescent="0.25">
      <c r="B731" s="4" t="str">
        <f>IFERROR(VLOOKUP(A731,'ECN-ECO_DATA'!B:G,4,FALSE),"")</f>
        <v/>
      </c>
      <c r="C731" s="9" t="str">
        <f>IFERROR(VLOOKUP(A731,'ECN-ECO_DATA'!B:G,5,FALSE),"")</f>
        <v/>
      </c>
      <c r="D731" s="9" t="str">
        <f ca="1">IFERROR((IF(VLOOKUP(A731,'ECN-ECO_DATA'!B:G,6,FALSE)=0/1/1900,TODAY(),VLOOKUP(A731,'ECN-ECO_DATA'!B:G,6,FALSE))),"")</f>
        <v/>
      </c>
      <c r="E731" s="9" t="str">
        <f>IFERROR((IF(VLOOKUP(A731,'ECN-ECO_DATA'!B:G,6,FALSE)=0/1/1900,"",VLOOKUP(A731,'ECN-ECO_DATA'!B:G,6,FALSE))),"")</f>
        <v/>
      </c>
      <c r="F731" s="9" t="str">
        <f>IFERROR((IF(VLOOKUP(A731,'ECN-ECO_DATA'!B:J,7,FALSE)=0/1/1900,"",VLOOKUP(A731,'ECN-ECO_DATA'!B:J,7,FALSE))),"")</f>
        <v/>
      </c>
      <c r="G731" s="9" t="str">
        <f>IFERROR((IF(VLOOKUP(A731,'ECN-ECO_DATA'!B:J,8,FALSE)=0/1/1900,"",VLOOKUP(A731,'ECN-ECO_DATA'!B:J,8,FALSE))),"")</f>
        <v/>
      </c>
      <c r="H731" s="9" t="str">
        <f>IFERROR((IF(VLOOKUP(A731,'ECN-ECO_DATA'!B:J,9,FALSE)=0/1/1900,"",VLOOKUP(A731,'ECN-ECO_DATA'!B:J,9,FALSE))),"")</f>
        <v/>
      </c>
      <c r="I731" s="10" t="str">
        <f>IFERROR((IF(VLOOKUP(A731,'ECN-ECO_DATA'!B:Q,13,FALSE)="","",VLOOKUP(A731,'ECN-ECO_DATA'!B:Q,13,FALSE))),"")</f>
        <v/>
      </c>
      <c r="J731" s="10" t="str">
        <f>IFERROR((IF(VLOOKUP(A731,'ECN-ECO_DATA'!B:Q,14,FALSE)="","",VLOOKUP(A731,'ECN-ECO_DATA'!B:Q,14,FALSE))),"")</f>
        <v/>
      </c>
      <c r="K731" s="10" t="str">
        <f>IFERROR((IF(VLOOKUP(A731,'ECN-ECO_DATA'!B:Q,15,FALSE)="","",VLOOKUP(A731,'ECN-ECO_DATA'!B:Q,15,FALSE))),"")</f>
        <v/>
      </c>
      <c r="L731" s="10" t="str">
        <f>IFERROR((IF(VLOOKUP(A731,'ECN-ECO_DATA'!B:Q,16,FALSE)="","",VLOOKUP(A731,'ECN-ECO_DATA'!B:Q,16,FALSE))),"")</f>
        <v/>
      </c>
      <c r="M731" s="9" t="str">
        <f>IFERROR((IF(VLOOKUP(A731,'ECN-ECO_DATA'!B:V,18,FALSE)=0/1/1900,"",VLOOKUP(A731,'ECN-ECO_DATA'!B:V,18,FALSE))),"")</f>
        <v/>
      </c>
      <c r="N731" s="9" t="str">
        <f>IFERROR((IF(VLOOKUP(A731,'ECN-ECO_DATA'!B:V,19,FALSE)=0/1/1900,"",VLOOKUP(A731,'ECN-ECO_DATA'!B:V,19,FALSE))),"")</f>
        <v/>
      </c>
      <c r="O731" s="9" t="str">
        <f>IFERROR((IF(VLOOKUP(A731,'ECN-ECO_DATA'!B:V,20,FALSE)=0/1/1900,"",VLOOKUP(A731,'ECN-ECO_DATA'!B:V,20,FALSE))),"")</f>
        <v/>
      </c>
      <c r="P731" s="9" t="str">
        <f>IFERROR((IF(VLOOKUP(A731,'ECN-ECO_DATA'!B:V,21,FALSE)=0/1/1900,"",VLOOKUP(A731,'ECN-ECO_DATA'!B:V,21,FALSE))),"")</f>
        <v/>
      </c>
      <c r="Q731" s="10" t="str">
        <f t="shared" ca="1" si="55"/>
        <v/>
      </c>
      <c r="R731" s="4" t="str">
        <f t="shared" si="56"/>
        <v/>
      </c>
      <c r="S731" s="4" t="str">
        <f t="shared" si="57"/>
        <v/>
      </c>
      <c r="T731" s="4" t="str">
        <f t="shared" si="58"/>
        <v/>
      </c>
      <c r="U731" s="10" t="str">
        <f t="shared" si="59"/>
        <v/>
      </c>
      <c r="V731" s="4"/>
    </row>
    <row r="732" spans="2:22" x14ac:dyDescent="0.25">
      <c r="B732" s="4" t="str">
        <f>IFERROR(VLOOKUP(A732,'ECN-ECO_DATA'!B:G,4,FALSE),"")</f>
        <v/>
      </c>
      <c r="C732" s="9" t="str">
        <f>IFERROR(VLOOKUP(A732,'ECN-ECO_DATA'!B:G,5,FALSE),"")</f>
        <v/>
      </c>
      <c r="D732" s="9" t="str">
        <f ca="1">IFERROR((IF(VLOOKUP(A732,'ECN-ECO_DATA'!B:G,6,FALSE)=0/1/1900,TODAY(),VLOOKUP(A732,'ECN-ECO_DATA'!B:G,6,FALSE))),"")</f>
        <v/>
      </c>
      <c r="E732" s="9" t="str">
        <f>IFERROR((IF(VLOOKUP(A732,'ECN-ECO_DATA'!B:G,6,FALSE)=0/1/1900,"",VLOOKUP(A732,'ECN-ECO_DATA'!B:G,6,FALSE))),"")</f>
        <v/>
      </c>
      <c r="F732" s="9" t="str">
        <f>IFERROR((IF(VLOOKUP(A732,'ECN-ECO_DATA'!B:J,7,FALSE)=0/1/1900,"",VLOOKUP(A732,'ECN-ECO_DATA'!B:J,7,FALSE))),"")</f>
        <v/>
      </c>
      <c r="G732" s="9" t="str">
        <f>IFERROR((IF(VLOOKUP(A732,'ECN-ECO_DATA'!B:J,8,FALSE)=0/1/1900,"",VLOOKUP(A732,'ECN-ECO_DATA'!B:J,8,FALSE))),"")</f>
        <v/>
      </c>
      <c r="H732" s="9" t="str">
        <f>IFERROR((IF(VLOOKUP(A732,'ECN-ECO_DATA'!B:J,9,FALSE)=0/1/1900,"",VLOOKUP(A732,'ECN-ECO_DATA'!B:J,9,FALSE))),"")</f>
        <v/>
      </c>
      <c r="I732" s="10" t="str">
        <f>IFERROR((IF(VLOOKUP(A732,'ECN-ECO_DATA'!B:Q,13,FALSE)="","",VLOOKUP(A732,'ECN-ECO_DATA'!B:Q,13,FALSE))),"")</f>
        <v/>
      </c>
      <c r="J732" s="10" t="str">
        <f>IFERROR((IF(VLOOKUP(A732,'ECN-ECO_DATA'!B:Q,14,FALSE)="","",VLOOKUP(A732,'ECN-ECO_DATA'!B:Q,14,FALSE))),"")</f>
        <v/>
      </c>
      <c r="K732" s="10" t="str">
        <f>IFERROR((IF(VLOOKUP(A732,'ECN-ECO_DATA'!B:Q,15,FALSE)="","",VLOOKUP(A732,'ECN-ECO_DATA'!B:Q,15,FALSE))),"")</f>
        <v/>
      </c>
      <c r="L732" s="10" t="str">
        <f>IFERROR((IF(VLOOKUP(A732,'ECN-ECO_DATA'!B:Q,16,FALSE)="","",VLOOKUP(A732,'ECN-ECO_DATA'!B:Q,16,FALSE))),"")</f>
        <v/>
      </c>
      <c r="M732" s="9" t="str">
        <f>IFERROR((IF(VLOOKUP(A732,'ECN-ECO_DATA'!B:V,18,FALSE)=0/1/1900,"",VLOOKUP(A732,'ECN-ECO_DATA'!B:V,18,FALSE))),"")</f>
        <v/>
      </c>
      <c r="N732" s="9" t="str">
        <f>IFERROR((IF(VLOOKUP(A732,'ECN-ECO_DATA'!B:V,19,FALSE)=0/1/1900,"",VLOOKUP(A732,'ECN-ECO_DATA'!B:V,19,FALSE))),"")</f>
        <v/>
      </c>
      <c r="O732" s="9" t="str">
        <f>IFERROR((IF(VLOOKUP(A732,'ECN-ECO_DATA'!B:V,20,FALSE)=0/1/1900,"",VLOOKUP(A732,'ECN-ECO_DATA'!B:V,20,FALSE))),"")</f>
        <v/>
      </c>
      <c r="P732" s="9" t="str">
        <f>IFERROR((IF(VLOOKUP(A732,'ECN-ECO_DATA'!B:V,21,FALSE)=0/1/1900,"",VLOOKUP(A732,'ECN-ECO_DATA'!B:V,21,FALSE))),"")</f>
        <v/>
      </c>
      <c r="Q732" s="10" t="str">
        <f t="shared" ca="1" si="55"/>
        <v/>
      </c>
      <c r="R732" s="4" t="str">
        <f t="shared" si="56"/>
        <v/>
      </c>
      <c r="S732" s="4" t="str">
        <f t="shared" si="57"/>
        <v/>
      </c>
      <c r="T732" s="4" t="str">
        <f t="shared" si="58"/>
        <v/>
      </c>
      <c r="U732" s="10" t="str">
        <f t="shared" si="59"/>
        <v/>
      </c>
      <c r="V732" s="4"/>
    </row>
    <row r="733" spans="2:22" x14ac:dyDescent="0.25">
      <c r="B733" s="4" t="str">
        <f>IFERROR(VLOOKUP(A733,'ECN-ECO_DATA'!B:G,4,FALSE),"")</f>
        <v/>
      </c>
      <c r="C733" s="9" t="str">
        <f>IFERROR(VLOOKUP(A733,'ECN-ECO_DATA'!B:G,5,FALSE),"")</f>
        <v/>
      </c>
      <c r="D733" s="9" t="str">
        <f ca="1">IFERROR((IF(VLOOKUP(A733,'ECN-ECO_DATA'!B:G,6,FALSE)=0/1/1900,TODAY(),VLOOKUP(A733,'ECN-ECO_DATA'!B:G,6,FALSE))),"")</f>
        <v/>
      </c>
      <c r="E733" s="9" t="str">
        <f>IFERROR((IF(VLOOKUP(A733,'ECN-ECO_DATA'!B:G,6,FALSE)=0/1/1900,"",VLOOKUP(A733,'ECN-ECO_DATA'!B:G,6,FALSE))),"")</f>
        <v/>
      </c>
      <c r="F733" s="9" t="str">
        <f>IFERROR((IF(VLOOKUP(A733,'ECN-ECO_DATA'!B:J,7,FALSE)=0/1/1900,"",VLOOKUP(A733,'ECN-ECO_DATA'!B:J,7,FALSE))),"")</f>
        <v/>
      </c>
      <c r="G733" s="9" t="str">
        <f>IFERROR((IF(VLOOKUP(A733,'ECN-ECO_DATA'!B:J,8,FALSE)=0/1/1900,"",VLOOKUP(A733,'ECN-ECO_DATA'!B:J,8,FALSE))),"")</f>
        <v/>
      </c>
      <c r="H733" s="9" t="str">
        <f>IFERROR((IF(VLOOKUP(A733,'ECN-ECO_DATA'!B:J,9,FALSE)=0/1/1900,"",VLOOKUP(A733,'ECN-ECO_DATA'!B:J,9,FALSE))),"")</f>
        <v/>
      </c>
      <c r="I733" s="10" t="str">
        <f>IFERROR((IF(VLOOKUP(A733,'ECN-ECO_DATA'!B:Q,13,FALSE)="","",VLOOKUP(A733,'ECN-ECO_DATA'!B:Q,13,FALSE))),"")</f>
        <v/>
      </c>
      <c r="J733" s="10" t="str">
        <f>IFERROR((IF(VLOOKUP(A733,'ECN-ECO_DATA'!B:Q,14,FALSE)="","",VLOOKUP(A733,'ECN-ECO_DATA'!B:Q,14,FALSE))),"")</f>
        <v/>
      </c>
      <c r="K733" s="10" t="str">
        <f>IFERROR((IF(VLOOKUP(A733,'ECN-ECO_DATA'!B:Q,15,FALSE)="","",VLOOKUP(A733,'ECN-ECO_DATA'!B:Q,15,FALSE))),"")</f>
        <v/>
      </c>
      <c r="L733" s="10" t="str">
        <f>IFERROR((IF(VLOOKUP(A733,'ECN-ECO_DATA'!B:Q,16,FALSE)="","",VLOOKUP(A733,'ECN-ECO_DATA'!B:Q,16,FALSE))),"")</f>
        <v/>
      </c>
      <c r="M733" s="9" t="str">
        <f>IFERROR((IF(VLOOKUP(A733,'ECN-ECO_DATA'!B:V,18,FALSE)=0/1/1900,"",VLOOKUP(A733,'ECN-ECO_DATA'!B:V,18,FALSE))),"")</f>
        <v/>
      </c>
      <c r="N733" s="9" t="str">
        <f>IFERROR((IF(VLOOKUP(A733,'ECN-ECO_DATA'!B:V,19,FALSE)=0/1/1900,"",VLOOKUP(A733,'ECN-ECO_DATA'!B:V,19,FALSE))),"")</f>
        <v/>
      </c>
      <c r="O733" s="9" t="str">
        <f>IFERROR((IF(VLOOKUP(A733,'ECN-ECO_DATA'!B:V,20,FALSE)=0/1/1900,"",VLOOKUP(A733,'ECN-ECO_DATA'!B:V,20,FALSE))),"")</f>
        <v/>
      </c>
      <c r="P733" s="9" t="str">
        <f>IFERROR((IF(VLOOKUP(A733,'ECN-ECO_DATA'!B:V,21,FALSE)=0/1/1900,"",VLOOKUP(A733,'ECN-ECO_DATA'!B:V,21,FALSE))),"")</f>
        <v/>
      </c>
      <c r="Q733" s="10" t="str">
        <f t="shared" ca="1" si="55"/>
        <v/>
      </c>
      <c r="R733" s="4" t="str">
        <f t="shared" si="56"/>
        <v/>
      </c>
      <c r="S733" s="4" t="str">
        <f t="shared" si="57"/>
        <v/>
      </c>
      <c r="T733" s="4" t="str">
        <f t="shared" si="58"/>
        <v/>
      </c>
      <c r="U733" s="10" t="str">
        <f t="shared" si="59"/>
        <v/>
      </c>
      <c r="V733" s="4"/>
    </row>
    <row r="734" spans="2:22" x14ac:dyDescent="0.25">
      <c r="B734" s="4" t="str">
        <f>IFERROR(VLOOKUP(A734,'ECN-ECO_DATA'!B:G,4,FALSE),"")</f>
        <v/>
      </c>
      <c r="C734" s="9" t="str">
        <f>IFERROR(VLOOKUP(A734,'ECN-ECO_DATA'!B:G,5,FALSE),"")</f>
        <v/>
      </c>
      <c r="D734" s="9" t="str">
        <f ca="1">IFERROR((IF(VLOOKUP(A734,'ECN-ECO_DATA'!B:G,6,FALSE)=0/1/1900,TODAY(),VLOOKUP(A734,'ECN-ECO_DATA'!B:G,6,FALSE))),"")</f>
        <v/>
      </c>
      <c r="E734" s="9" t="str">
        <f>IFERROR((IF(VLOOKUP(A734,'ECN-ECO_DATA'!B:G,6,FALSE)=0/1/1900,"",VLOOKUP(A734,'ECN-ECO_DATA'!B:G,6,FALSE))),"")</f>
        <v/>
      </c>
      <c r="F734" s="9" t="str">
        <f>IFERROR((IF(VLOOKUP(A734,'ECN-ECO_DATA'!B:J,7,FALSE)=0/1/1900,"",VLOOKUP(A734,'ECN-ECO_DATA'!B:J,7,FALSE))),"")</f>
        <v/>
      </c>
      <c r="G734" s="9" t="str">
        <f>IFERROR((IF(VLOOKUP(A734,'ECN-ECO_DATA'!B:J,8,FALSE)=0/1/1900,"",VLOOKUP(A734,'ECN-ECO_DATA'!B:J,8,FALSE))),"")</f>
        <v/>
      </c>
      <c r="H734" s="9" t="str">
        <f>IFERROR((IF(VLOOKUP(A734,'ECN-ECO_DATA'!B:J,9,FALSE)=0/1/1900,"",VLOOKUP(A734,'ECN-ECO_DATA'!B:J,9,FALSE))),"")</f>
        <v/>
      </c>
      <c r="I734" s="10" t="str">
        <f>IFERROR((IF(VLOOKUP(A734,'ECN-ECO_DATA'!B:Q,13,FALSE)="","",VLOOKUP(A734,'ECN-ECO_DATA'!B:Q,13,FALSE))),"")</f>
        <v/>
      </c>
      <c r="J734" s="10" t="str">
        <f>IFERROR((IF(VLOOKUP(A734,'ECN-ECO_DATA'!B:Q,14,FALSE)="","",VLOOKUP(A734,'ECN-ECO_DATA'!B:Q,14,FALSE))),"")</f>
        <v/>
      </c>
      <c r="K734" s="10" t="str">
        <f>IFERROR((IF(VLOOKUP(A734,'ECN-ECO_DATA'!B:Q,15,FALSE)="","",VLOOKUP(A734,'ECN-ECO_DATA'!B:Q,15,FALSE))),"")</f>
        <v/>
      </c>
      <c r="L734" s="10" t="str">
        <f>IFERROR((IF(VLOOKUP(A734,'ECN-ECO_DATA'!B:Q,16,FALSE)="","",VLOOKUP(A734,'ECN-ECO_DATA'!B:Q,16,FALSE))),"")</f>
        <v/>
      </c>
      <c r="M734" s="9" t="str">
        <f>IFERROR((IF(VLOOKUP(A734,'ECN-ECO_DATA'!B:V,18,FALSE)=0/1/1900,"",VLOOKUP(A734,'ECN-ECO_DATA'!B:V,18,FALSE))),"")</f>
        <v/>
      </c>
      <c r="N734" s="9" t="str">
        <f>IFERROR((IF(VLOOKUP(A734,'ECN-ECO_DATA'!B:V,19,FALSE)=0/1/1900,"",VLOOKUP(A734,'ECN-ECO_DATA'!B:V,19,FALSE))),"")</f>
        <v/>
      </c>
      <c r="O734" s="9" t="str">
        <f>IFERROR((IF(VLOOKUP(A734,'ECN-ECO_DATA'!B:V,20,FALSE)=0/1/1900,"",VLOOKUP(A734,'ECN-ECO_DATA'!B:V,20,FALSE))),"")</f>
        <v/>
      </c>
      <c r="P734" s="9" t="str">
        <f>IFERROR((IF(VLOOKUP(A734,'ECN-ECO_DATA'!B:V,21,FALSE)=0/1/1900,"",VLOOKUP(A734,'ECN-ECO_DATA'!B:V,21,FALSE))),"")</f>
        <v/>
      </c>
      <c r="Q734" s="10" t="str">
        <f t="shared" ca="1" si="55"/>
        <v/>
      </c>
      <c r="R734" s="4" t="str">
        <f t="shared" si="56"/>
        <v/>
      </c>
      <c r="S734" s="4" t="str">
        <f t="shared" si="57"/>
        <v/>
      </c>
      <c r="T734" s="4" t="str">
        <f t="shared" si="58"/>
        <v/>
      </c>
      <c r="U734" s="10" t="str">
        <f t="shared" si="59"/>
        <v/>
      </c>
      <c r="V734" s="4"/>
    </row>
    <row r="735" spans="2:22" x14ac:dyDescent="0.25">
      <c r="B735" s="4" t="str">
        <f>IFERROR(VLOOKUP(A735,'ECN-ECO_DATA'!B:G,4,FALSE),"")</f>
        <v/>
      </c>
      <c r="C735" s="9" t="str">
        <f>IFERROR(VLOOKUP(A735,'ECN-ECO_DATA'!B:G,5,FALSE),"")</f>
        <v/>
      </c>
      <c r="D735" s="9" t="str">
        <f ca="1">IFERROR((IF(VLOOKUP(A735,'ECN-ECO_DATA'!B:G,6,FALSE)=0/1/1900,TODAY(),VLOOKUP(A735,'ECN-ECO_DATA'!B:G,6,FALSE))),"")</f>
        <v/>
      </c>
      <c r="E735" s="9" t="str">
        <f>IFERROR((IF(VLOOKUP(A735,'ECN-ECO_DATA'!B:G,6,FALSE)=0/1/1900,"",VLOOKUP(A735,'ECN-ECO_DATA'!B:G,6,FALSE))),"")</f>
        <v/>
      </c>
      <c r="F735" s="9" t="str">
        <f>IFERROR((IF(VLOOKUP(A735,'ECN-ECO_DATA'!B:J,7,FALSE)=0/1/1900,"",VLOOKUP(A735,'ECN-ECO_DATA'!B:J,7,FALSE))),"")</f>
        <v/>
      </c>
      <c r="G735" s="9" t="str">
        <f>IFERROR((IF(VLOOKUP(A735,'ECN-ECO_DATA'!B:J,8,FALSE)=0/1/1900,"",VLOOKUP(A735,'ECN-ECO_DATA'!B:J,8,FALSE))),"")</f>
        <v/>
      </c>
      <c r="H735" s="9" t="str">
        <f>IFERROR((IF(VLOOKUP(A735,'ECN-ECO_DATA'!B:J,9,FALSE)=0/1/1900,"",VLOOKUP(A735,'ECN-ECO_DATA'!B:J,9,FALSE))),"")</f>
        <v/>
      </c>
      <c r="I735" s="10" t="str">
        <f>IFERROR((IF(VLOOKUP(A735,'ECN-ECO_DATA'!B:Q,13,FALSE)="","",VLOOKUP(A735,'ECN-ECO_DATA'!B:Q,13,FALSE))),"")</f>
        <v/>
      </c>
      <c r="J735" s="10" t="str">
        <f>IFERROR((IF(VLOOKUP(A735,'ECN-ECO_DATA'!B:Q,14,FALSE)="","",VLOOKUP(A735,'ECN-ECO_DATA'!B:Q,14,FALSE))),"")</f>
        <v/>
      </c>
      <c r="K735" s="10" t="str">
        <f>IFERROR((IF(VLOOKUP(A735,'ECN-ECO_DATA'!B:Q,15,FALSE)="","",VLOOKUP(A735,'ECN-ECO_DATA'!B:Q,15,FALSE))),"")</f>
        <v/>
      </c>
      <c r="L735" s="10" t="str">
        <f>IFERROR((IF(VLOOKUP(A735,'ECN-ECO_DATA'!B:Q,16,FALSE)="","",VLOOKUP(A735,'ECN-ECO_DATA'!B:Q,16,FALSE))),"")</f>
        <v/>
      </c>
      <c r="M735" s="9" t="str">
        <f>IFERROR((IF(VLOOKUP(A735,'ECN-ECO_DATA'!B:V,18,FALSE)=0/1/1900,"",VLOOKUP(A735,'ECN-ECO_DATA'!B:V,18,FALSE))),"")</f>
        <v/>
      </c>
      <c r="N735" s="9" t="str">
        <f>IFERROR((IF(VLOOKUP(A735,'ECN-ECO_DATA'!B:V,19,FALSE)=0/1/1900,"",VLOOKUP(A735,'ECN-ECO_DATA'!B:V,19,FALSE))),"")</f>
        <v/>
      </c>
      <c r="O735" s="9" t="str">
        <f>IFERROR((IF(VLOOKUP(A735,'ECN-ECO_DATA'!B:V,20,FALSE)=0/1/1900,"",VLOOKUP(A735,'ECN-ECO_DATA'!B:V,20,FALSE))),"")</f>
        <v/>
      </c>
      <c r="P735" s="9" t="str">
        <f>IFERROR((IF(VLOOKUP(A735,'ECN-ECO_DATA'!B:V,21,FALSE)=0/1/1900,"",VLOOKUP(A735,'ECN-ECO_DATA'!B:V,21,FALSE))),"")</f>
        <v/>
      </c>
      <c r="Q735" s="10" t="str">
        <f t="shared" ca="1" si="55"/>
        <v/>
      </c>
      <c r="R735" s="4" t="str">
        <f t="shared" si="56"/>
        <v/>
      </c>
      <c r="S735" s="4" t="str">
        <f t="shared" si="57"/>
        <v/>
      </c>
      <c r="T735" s="4" t="str">
        <f t="shared" si="58"/>
        <v/>
      </c>
      <c r="U735" s="10" t="str">
        <f t="shared" si="59"/>
        <v/>
      </c>
      <c r="V735" s="4"/>
    </row>
    <row r="736" spans="2:22" x14ac:dyDescent="0.25">
      <c r="B736" s="4" t="str">
        <f>IFERROR(VLOOKUP(A736,'ECN-ECO_DATA'!B:G,4,FALSE),"")</f>
        <v/>
      </c>
      <c r="C736" s="9" t="str">
        <f>IFERROR(VLOOKUP(A736,'ECN-ECO_DATA'!B:G,5,FALSE),"")</f>
        <v/>
      </c>
      <c r="D736" s="9" t="str">
        <f ca="1">IFERROR((IF(VLOOKUP(A736,'ECN-ECO_DATA'!B:G,6,FALSE)=0/1/1900,TODAY(),VLOOKUP(A736,'ECN-ECO_DATA'!B:G,6,FALSE))),"")</f>
        <v/>
      </c>
      <c r="E736" s="9" t="str">
        <f>IFERROR((IF(VLOOKUP(A736,'ECN-ECO_DATA'!B:G,6,FALSE)=0/1/1900,"",VLOOKUP(A736,'ECN-ECO_DATA'!B:G,6,FALSE))),"")</f>
        <v/>
      </c>
      <c r="F736" s="9" t="str">
        <f>IFERROR((IF(VLOOKUP(A736,'ECN-ECO_DATA'!B:J,7,FALSE)=0/1/1900,"",VLOOKUP(A736,'ECN-ECO_DATA'!B:J,7,FALSE))),"")</f>
        <v/>
      </c>
      <c r="G736" s="9" t="str">
        <f>IFERROR((IF(VLOOKUP(A736,'ECN-ECO_DATA'!B:J,8,FALSE)=0/1/1900,"",VLOOKUP(A736,'ECN-ECO_DATA'!B:J,8,FALSE))),"")</f>
        <v/>
      </c>
      <c r="H736" s="9" t="str">
        <f>IFERROR((IF(VLOOKUP(A736,'ECN-ECO_DATA'!B:J,9,FALSE)=0/1/1900,"",VLOOKUP(A736,'ECN-ECO_DATA'!B:J,9,FALSE))),"")</f>
        <v/>
      </c>
      <c r="I736" s="10" t="str">
        <f>IFERROR((IF(VLOOKUP(A736,'ECN-ECO_DATA'!B:Q,13,FALSE)="","",VLOOKUP(A736,'ECN-ECO_DATA'!B:Q,13,FALSE))),"")</f>
        <v/>
      </c>
      <c r="J736" s="10" t="str">
        <f>IFERROR((IF(VLOOKUP(A736,'ECN-ECO_DATA'!B:Q,14,FALSE)="","",VLOOKUP(A736,'ECN-ECO_DATA'!B:Q,14,FALSE))),"")</f>
        <v/>
      </c>
      <c r="K736" s="10" t="str">
        <f>IFERROR((IF(VLOOKUP(A736,'ECN-ECO_DATA'!B:Q,15,FALSE)="","",VLOOKUP(A736,'ECN-ECO_DATA'!B:Q,15,FALSE))),"")</f>
        <v/>
      </c>
      <c r="L736" s="10" t="str">
        <f>IFERROR((IF(VLOOKUP(A736,'ECN-ECO_DATA'!B:Q,16,FALSE)="","",VLOOKUP(A736,'ECN-ECO_DATA'!B:Q,16,FALSE))),"")</f>
        <v/>
      </c>
      <c r="M736" s="9" t="str">
        <f>IFERROR((IF(VLOOKUP(A736,'ECN-ECO_DATA'!B:V,18,FALSE)=0/1/1900,"",VLOOKUP(A736,'ECN-ECO_DATA'!B:V,18,FALSE))),"")</f>
        <v/>
      </c>
      <c r="N736" s="9" t="str">
        <f>IFERROR((IF(VLOOKUP(A736,'ECN-ECO_DATA'!B:V,19,FALSE)=0/1/1900,"",VLOOKUP(A736,'ECN-ECO_DATA'!B:V,19,FALSE))),"")</f>
        <v/>
      </c>
      <c r="O736" s="9" t="str">
        <f>IFERROR((IF(VLOOKUP(A736,'ECN-ECO_DATA'!B:V,20,FALSE)=0/1/1900,"",VLOOKUP(A736,'ECN-ECO_DATA'!B:V,20,FALSE))),"")</f>
        <v/>
      </c>
      <c r="P736" s="9" t="str">
        <f>IFERROR((IF(VLOOKUP(A736,'ECN-ECO_DATA'!B:V,21,FALSE)=0/1/1900,"",VLOOKUP(A736,'ECN-ECO_DATA'!B:V,21,FALSE))),"")</f>
        <v/>
      </c>
      <c r="Q736" s="10" t="str">
        <f t="shared" ca="1" si="55"/>
        <v/>
      </c>
      <c r="R736" s="4" t="str">
        <f t="shared" si="56"/>
        <v/>
      </c>
      <c r="S736" s="4" t="str">
        <f t="shared" si="57"/>
        <v/>
      </c>
      <c r="T736" s="4" t="str">
        <f t="shared" si="58"/>
        <v/>
      </c>
      <c r="U736" s="10" t="str">
        <f t="shared" si="59"/>
        <v/>
      </c>
      <c r="V736" s="4"/>
    </row>
    <row r="737" spans="2:22" x14ac:dyDescent="0.25">
      <c r="B737" s="4" t="str">
        <f>IFERROR(VLOOKUP(A737,'ECN-ECO_DATA'!B:G,4,FALSE),"")</f>
        <v/>
      </c>
      <c r="C737" s="9" t="str">
        <f>IFERROR(VLOOKUP(A737,'ECN-ECO_DATA'!B:G,5,FALSE),"")</f>
        <v/>
      </c>
      <c r="D737" s="9" t="str">
        <f ca="1">IFERROR((IF(VLOOKUP(A737,'ECN-ECO_DATA'!B:G,6,FALSE)=0/1/1900,TODAY(),VLOOKUP(A737,'ECN-ECO_DATA'!B:G,6,FALSE))),"")</f>
        <v/>
      </c>
      <c r="E737" s="9" t="str">
        <f>IFERROR((IF(VLOOKUP(A737,'ECN-ECO_DATA'!B:G,6,FALSE)=0/1/1900,"",VLOOKUP(A737,'ECN-ECO_DATA'!B:G,6,FALSE))),"")</f>
        <v/>
      </c>
      <c r="F737" s="9" t="str">
        <f>IFERROR((IF(VLOOKUP(A737,'ECN-ECO_DATA'!B:J,7,FALSE)=0/1/1900,"",VLOOKUP(A737,'ECN-ECO_DATA'!B:J,7,FALSE))),"")</f>
        <v/>
      </c>
      <c r="G737" s="9" t="str">
        <f>IFERROR((IF(VLOOKUP(A737,'ECN-ECO_DATA'!B:J,8,FALSE)=0/1/1900,"",VLOOKUP(A737,'ECN-ECO_DATA'!B:J,8,FALSE))),"")</f>
        <v/>
      </c>
      <c r="H737" s="9" t="str">
        <f>IFERROR((IF(VLOOKUP(A737,'ECN-ECO_DATA'!B:J,9,FALSE)=0/1/1900,"",VLOOKUP(A737,'ECN-ECO_DATA'!B:J,9,FALSE))),"")</f>
        <v/>
      </c>
      <c r="I737" s="10" t="str">
        <f>IFERROR((IF(VLOOKUP(A737,'ECN-ECO_DATA'!B:Q,13,FALSE)="","",VLOOKUP(A737,'ECN-ECO_DATA'!B:Q,13,FALSE))),"")</f>
        <v/>
      </c>
      <c r="J737" s="10" t="str">
        <f>IFERROR((IF(VLOOKUP(A737,'ECN-ECO_DATA'!B:Q,14,FALSE)="","",VLOOKUP(A737,'ECN-ECO_DATA'!B:Q,14,FALSE))),"")</f>
        <v/>
      </c>
      <c r="K737" s="10" t="str">
        <f>IFERROR((IF(VLOOKUP(A737,'ECN-ECO_DATA'!B:Q,15,FALSE)="","",VLOOKUP(A737,'ECN-ECO_DATA'!B:Q,15,FALSE))),"")</f>
        <v/>
      </c>
      <c r="L737" s="10" t="str">
        <f>IFERROR((IF(VLOOKUP(A737,'ECN-ECO_DATA'!B:Q,16,FALSE)="","",VLOOKUP(A737,'ECN-ECO_DATA'!B:Q,16,FALSE))),"")</f>
        <v/>
      </c>
      <c r="M737" s="9" t="str">
        <f>IFERROR((IF(VLOOKUP(A737,'ECN-ECO_DATA'!B:V,18,FALSE)=0/1/1900,"",VLOOKUP(A737,'ECN-ECO_DATA'!B:V,18,FALSE))),"")</f>
        <v/>
      </c>
      <c r="N737" s="9" t="str">
        <f>IFERROR((IF(VLOOKUP(A737,'ECN-ECO_DATA'!B:V,19,FALSE)=0/1/1900,"",VLOOKUP(A737,'ECN-ECO_DATA'!B:V,19,FALSE))),"")</f>
        <v/>
      </c>
      <c r="O737" s="9" t="str">
        <f>IFERROR((IF(VLOOKUP(A737,'ECN-ECO_DATA'!B:V,20,FALSE)=0/1/1900,"",VLOOKUP(A737,'ECN-ECO_DATA'!B:V,20,FALSE))),"")</f>
        <v/>
      </c>
      <c r="P737" s="9" t="str">
        <f>IFERROR((IF(VLOOKUP(A737,'ECN-ECO_DATA'!B:V,21,FALSE)=0/1/1900,"",VLOOKUP(A737,'ECN-ECO_DATA'!B:V,21,FALSE))),"")</f>
        <v/>
      </c>
      <c r="Q737" s="10" t="str">
        <f t="shared" ca="1" si="55"/>
        <v/>
      </c>
      <c r="R737" s="4" t="str">
        <f t="shared" si="56"/>
        <v/>
      </c>
      <c r="S737" s="4" t="str">
        <f t="shared" si="57"/>
        <v/>
      </c>
      <c r="T737" s="4" t="str">
        <f t="shared" si="58"/>
        <v/>
      </c>
      <c r="U737" s="10" t="str">
        <f t="shared" si="59"/>
        <v/>
      </c>
      <c r="V737" s="4"/>
    </row>
    <row r="738" spans="2:22" x14ac:dyDescent="0.25">
      <c r="B738" s="4" t="str">
        <f>IFERROR(VLOOKUP(A738,'ECN-ECO_DATA'!B:G,4,FALSE),"")</f>
        <v/>
      </c>
      <c r="C738" s="9" t="str">
        <f>IFERROR(VLOOKUP(A738,'ECN-ECO_DATA'!B:G,5,FALSE),"")</f>
        <v/>
      </c>
      <c r="D738" s="9" t="str">
        <f ca="1">IFERROR((IF(VLOOKUP(A738,'ECN-ECO_DATA'!B:G,6,FALSE)=0/1/1900,TODAY(),VLOOKUP(A738,'ECN-ECO_DATA'!B:G,6,FALSE))),"")</f>
        <v/>
      </c>
      <c r="E738" s="9" t="str">
        <f>IFERROR((IF(VLOOKUP(A738,'ECN-ECO_DATA'!B:G,6,FALSE)=0/1/1900,"",VLOOKUP(A738,'ECN-ECO_DATA'!B:G,6,FALSE))),"")</f>
        <v/>
      </c>
      <c r="F738" s="9" t="str">
        <f>IFERROR((IF(VLOOKUP(A738,'ECN-ECO_DATA'!B:J,7,FALSE)=0/1/1900,"",VLOOKUP(A738,'ECN-ECO_DATA'!B:J,7,FALSE))),"")</f>
        <v/>
      </c>
      <c r="G738" s="9" t="str">
        <f>IFERROR((IF(VLOOKUP(A738,'ECN-ECO_DATA'!B:J,8,FALSE)=0/1/1900,"",VLOOKUP(A738,'ECN-ECO_DATA'!B:J,8,FALSE))),"")</f>
        <v/>
      </c>
      <c r="H738" s="9" t="str">
        <f>IFERROR((IF(VLOOKUP(A738,'ECN-ECO_DATA'!B:J,9,FALSE)=0/1/1900,"",VLOOKUP(A738,'ECN-ECO_DATA'!B:J,9,FALSE))),"")</f>
        <v/>
      </c>
      <c r="I738" s="10" t="str">
        <f>IFERROR((IF(VLOOKUP(A738,'ECN-ECO_DATA'!B:Q,13,FALSE)="","",VLOOKUP(A738,'ECN-ECO_DATA'!B:Q,13,FALSE))),"")</f>
        <v/>
      </c>
      <c r="J738" s="10" t="str">
        <f>IFERROR((IF(VLOOKUP(A738,'ECN-ECO_DATA'!B:Q,14,FALSE)="","",VLOOKUP(A738,'ECN-ECO_DATA'!B:Q,14,FALSE))),"")</f>
        <v/>
      </c>
      <c r="K738" s="10" t="str">
        <f>IFERROR((IF(VLOOKUP(A738,'ECN-ECO_DATA'!B:Q,15,FALSE)="","",VLOOKUP(A738,'ECN-ECO_DATA'!B:Q,15,FALSE))),"")</f>
        <v/>
      </c>
      <c r="L738" s="10" t="str">
        <f>IFERROR((IF(VLOOKUP(A738,'ECN-ECO_DATA'!B:Q,16,FALSE)="","",VLOOKUP(A738,'ECN-ECO_DATA'!B:Q,16,FALSE))),"")</f>
        <v/>
      </c>
      <c r="M738" s="9" t="str">
        <f>IFERROR((IF(VLOOKUP(A738,'ECN-ECO_DATA'!B:V,18,FALSE)=0/1/1900,"",VLOOKUP(A738,'ECN-ECO_DATA'!B:V,18,FALSE))),"")</f>
        <v/>
      </c>
      <c r="N738" s="9" t="str">
        <f>IFERROR((IF(VLOOKUP(A738,'ECN-ECO_DATA'!B:V,19,FALSE)=0/1/1900,"",VLOOKUP(A738,'ECN-ECO_DATA'!B:V,19,FALSE))),"")</f>
        <v/>
      </c>
      <c r="O738" s="9" t="str">
        <f>IFERROR((IF(VLOOKUP(A738,'ECN-ECO_DATA'!B:V,20,FALSE)=0/1/1900,"",VLOOKUP(A738,'ECN-ECO_DATA'!B:V,20,FALSE))),"")</f>
        <v/>
      </c>
      <c r="P738" s="9" t="str">
        <f>IFERROR((IF(VLOOKUP(A738,'ECN-ECO_DATA'!B:V,21,FALSE)=0/1/1900,"",VLOOKUP(A738,'ECN-ECO_DATA'!B:V,21,FALSE))),"")</f>
        <v/>
      </c>
      <c r="Q738" s="10" t="str">
        <f t="shared" ca="1" si="55"/>
        <v/>
      </c>
      <c r="R738" s="4" t="str">
        <f t="shared" si="56"/>
        <v/>
      </c>
      <c r="S738" s="4" t="str">
        <f t="shared" si="57"/>
        <v/>
      </c>
      <c r="T738" s="4" t="str">
        <f t="shared" si="58"/>
        <v/>
      </c>
      <c r="U738" s="10" t="str">
        <f t="shared" si="59"/>
        <v/>
      </c>
      <c r="V738" s="4"/>
    </row>
    <row r="739" spans="2:22" x14ac:dyDescent="0.25">
      <c r="B739" s="4" t="str">
        <f>IFERROR(VLOOKUP(A739,'ECN-ECO_DATA'!B:G,4,FALSE),"")</f>
        <v/>
      </c>
      <c r="C739" s="9" t="str">
        <f>IFERROR(VLOOKUP(A739,'ECN-ECO_DATA'!B:G,5,FALSE),"")</f>
        <v/>
      </c>
      <c r="D739" s="9" t="str">
        <f ca="1">IFERROR((IF(VLOOKUP(A739,'ECN-ECO_DATA'!B:G,6,FALSE)=0/1/1900,TODAY(),VLOOKUP(A739,'ECN-ECO_DATA'!B:G,6,FALSE))),"")</f>
        <v/>
      </c>
      <c r="E739" s="9" t="str">
        <f>IFERROR((IF(VLOOKUP(A739,'ECN-ECO_DATA'!B:G,6,FALSE)=0/1/1900,"",VLOOKUP(A739,'ECN-ECO_DATA'!B:G,6,FALSE))),"")</f>
        <v/>
      </c>
      <c r="F739" s="9" t="str">
        <f>IFERROR((IF(VLOOKUP(A739,'ECN-ECO_DATA'!B:J,7,FALSE)=0/1/1900,"",VLOOKUP(A739,'ECN-ECO_DATA'!B:J,7,FALSE))),"")</f>
        <v/>
      </c>
      <c r="G739" s="9" t="str">
        <f>IFERROR((IF(VLOOKUP(A739,'ECN-ECO_DATA'!B:J,8,FALSE)=0/1/1900,"",VLOOKUP(A739,'ECN-ECO_DATA'!B:J,8,FALSE))),"")</f>
        <v/>
      </c>
      <c r="H739" s="9" t="str">
        <f>IFERROR((IF(VLOOKUP(A739,'ECN-ECO_DATA'!B:J,9,FALSE)=0/1/1900,"",VLOOKUP(A739,'ECN-ECO_DATA'!B:J,9,FALSE))),"")</f>
        <v/>
      </c>
      <c r="I739" s="10" t="str">
        <f>IFERROR((IF(VLOOKUP(A739,'ECN-ECO_DATA'!B:Q,13,FALSE)="","",VLOOKUP(A739,'ECN-ECO_DATA'!B:Q,13,FALSE))),"")</f>
        <v/>
      </c>
      <c r="J739" s="10" t="str">
        <f>IFERROR((IF(VLOOKUP(A739,'ECN-ECO_DATA'!B:Q,14,FALSE)="","",VLOOKUP(A739,'ECN-ECO_DATA'!B:Q,14,FALSE))),"")</f>
        <v/>
      </c>
      <c r="K739" s="10" t="str">
        <f>IFERROR((IF(VLOOKUP(A739,'ECN-ECO_DATA'!B:Q,15,FALSE)="","",VLOOKUP(A739,'ECN-ECO_DATA'!B:Q,15,FALSE))),"")</f>
        <v/>
      </c>
      <c r="L739" s="10" t="str">
        <f>IFERROR((IF(VLOOKUP(A739,'ECN-ECO_DATA'!B:Q,16,FALSE)="","",VLOOKUP(A739,'ECN-ECO_DATA'!B:Q,16,FALSE))),"")</f>
        <v/>
      </c>
      <c r="M739" s="9" t="str">
        <f>IFERROR((IF(VLOOKUP(A739,'ECN-ECO_DATA'!B:V,18,FALSE)=0/1/1900,"",VLOOKUP(A739,'ECN-ECO_DATA'!B:V,18,FALSE))),"")</f>
        <v/>
      </c>
      <c r="N739" s="9" t="str">
        <f>IFERROR((IF(VLOOKUP(A739,'ECN-ECO_DATA'!B:V,19,FALSE)=0/1/1900,"",VLOOKUP(A739,'ECN-ECO_DATA'!B:V,19,FALSE))),"")</f>
        <v/>
      </c>
      <c r="O739" s="9" t="str">
        <f>IFERROR((IF(VLOOKUP(A739,'ECN-ECO_DATA'!B:V,20,FALSE)=0/1/1900,"",VLOOKUP(A739,'ECN-ECO_DATA'!B:V,20,FALSE))),"")</f>
        <v/>
      </c>
      <c r="P739" s="9" t="str">
        <f>IFERROR((IF(VLOOKUP(A739,'ECN-ECO_DATA'!B:V,21,FALSE)=0/1/1900,"",VLOOKUP(A739,'ECN-ECO_DATA'!B:V,21,FALSE))),"")</f>
        <v/>
      </c>
      <c r="Q739" s="10" t="str">
        <f t="shared" ca="1" si="55"/>
        <v/>
      </c>
      <c r="R739" s="4" t="str">
        <f t="shared" si="56"/>
        <v/>
      </c>
      <c r="S739" s="4" t="str">
        <f t="shared" si="57"/>
        <v/>
      </c>
      <c r="T739" s="4" t="str">
        <f t="shared" si="58"/>
        <v/>
      </c>
      <c r="U739" s="10" t="str">
        <f t="shared" si="59"/>
        <v/>
      </c>
      <c r="V739" s="4"/>
    </row>
    <row r="740" spans="2:22" x14ac:dyDescent="0.25">
      <c r="B740" s="4" t="str">
        <f>IFERROR(VLOOKUP(A740,'ECN-ECO_DATA'!B:G,4,FALSE),"")</f>
        <v/>
      </c>
      <c r="C740" s="9" t="str">
        <f>IFERROR(VLOOKUP(A740,'ECN-ECO_DATA'!B:G,5,FALSE),"")</f>
        <v/>
      </c>
      <c r="D740" s="9" t="str">
        <f ca="1">IFERROR((IF(VLOOKUP(A740,'ECN-ECO_DATA'!B:G,6,FALSE)=0/1/1900,TODAY(),VLOOKUP(A740,'ECN-ECO_DATA'!B:G,6,FALSE))),"")</f>
        <v/>
      </c>
      <c r="E740" s="9" t="str">
        <f>IFERROR((IF(VLOOKUP(A740,'ECN-ECO_DATA'!B:G,6,FALSE)=0/1/1900,"",VLOOKUP(A740,'ECN-ECO_DATA'!B:G,6,FALSE))),"")</f>
        <v/>
      </c>
      <c r="F740" s="9" t="str">
        <f>IFERROR((IF(VLOOKUP(A740,'ECN-ECO_DATA'!B:J,7,FALSE)=0/1/1900,"",VLOOKUP(A740,'ECN-ECO_DATA'!B:J,7,FALSE))),"")</f>
        <v/>
      </c>
      <c r="G740" s="9" t="str">
        <f>IFERROR((IF(VLOOKUP(A740,'ECN-ECO_DATA'!B:J,8,FALSE)=0/1/1900,"",VLOOKUP(A740,'ECN-ECO_DATA'!B:J,8,FALSE))),"")</f>
        <v/>
      </c>
      <c r="H740" s="9" t="str">
        <f>IFERROR((IF(VLOOKUP(A740,'ECN-ECO_DATA'!B:J,9,FALSE)=0/1/1900,"",VLOOKUP(A740,'ECN-ECO_DATA'!B:J,9,FALSE))),"")</f>
        <v/>
      </c>
      <c r="I740" s="10" t="str">
        <f>IFERROR((IF(VLOOKUP(A740,'ECN-ECO_DATA'!B:Q,13,FALSE)="","",VLOOKUP(A740,'ECN-ECO_DATA'!B:Q,13,FALSE))),"")</f>
        <v/>
      </c>
      <c r="J740" s="10" t="str">
        <f>IFERROR((IF(VLOOKUP(A740,'ECN-ECO_DATA'!B:Q,14,FALSE)="","",VLOOKUP(A740,'ECN-ECO_DATA'!B:Q,14,FALSE))),"")</f>
        <v/>
      </c>
      <c r="K740" s="10" t="str">
        <f>IFERROR((IF(VLOOKUP(A740,'ECN-ECO_DATA'!B:Q,15,FALSE)="","",VLOOKUP(A740,'ECN-ECO_DATA'!B:Q,15,FALSE))),"")</f>
        <v/>
      </c>
      <c r="L740" s="10" t="str">
        <f>IFERROR((IF(VLOOKUP(A740,'ECN-ECO_DATA'!B:Q,16,FALSE)="","",VLOOKUP(A740,'ECN-ECO_DATA'!B:Q,16,FALSE))),"")</f>
        <v/>
      </c>
      <c r="M740" s="9" t="str">
        <f>IFERROR((IF(VLOOKUP(A740,'ECN-ECO_DATA'!B:V,18,FALSE)=0/1/1900,"",VLOOKUP(A740,'ECN-ECO_DATA'!B:V,18,FALSE))),"")</f>
        <v/>
      </c>
      <c r="N740" s="9" t="str">
        <f>IFERROR((IF(VLOOKUP(A740,'ECN-ECO_DATA'!B:V,19,FALSE)=0/1/1900,"",VLOOKUP(A740,'ECN-ECO_DATA'!B:V,19,FALSE))),"")</f>
        <v/>
      </c>
      <c r="O740" s="9" t="str">
        <f>IFERROR((IF(VLOOKUP(A740,'ECN-ECO_DATA'!B:V,20,FALSE)=0/1/1900,"",VLOOKUP(A740,'ECN-ECO_DATA'!B:V,20,FALSE))),"")</f>
        <v/>
      </c>
      <c r="P740" s="9" t="str">
        <f>IFERROR((IF(VLOOKUP(A740,'ECN-ECO_DATA'!B:V,21,FALSE)=0/1/1900,"",VLOOKUP(A740,'ECN-ECO_DATA'!B:V,21,FALSE))),"")</f>
        <v/>
      </c>
      <c r="Q740" s="10" t="str">
        <f t="shared" ca="1" si="55"/>
        <v/>
      </c>
      <c r="R740" s="4" t="str">
        <f t="shared" si="56"/>
        <v/>
      </c>
      <c r="S740" s="4" t="str">
        <f t="shared" si="57"/>
        <v/>
      </c>
      <c r="T740" s="4" t="str">
        <f t="shared" si="58"/>
        <v/>
      </c>
      <c r="U740" s="10" t="str">
        <f t="shared" si="59"/>
        <v/>
      </c>
      <c r="V740" s="4"/>
    </row>
    <row r="741" spans="2:22" x14ac:dyDescent="0.25">
      <c r="B741" s="4" t="str">
        <f>IFERROR(VLOOKUP(A741,'ECN-ECO_DATA'!B:G,4,FALSE),"")</f>
        <v/>
      </c>
      <c r="C741" s="9" t="str">
        <f>IFERROR(VLOOKUP(A741,'ECN-ECO_DATA'!B:G,5,FALSE),"")</f>
        <v/>
      </c>
      <c r="D741" s="9" t="str">
        <f ca="1">IFERROR((IF(VLOOKUP(A741,'ECN-ECO_DATA'!B:G,6,FALSE)=0/1/1900,TODAY(),VLOOKUP(A741,'ECN-ECO_DATA'!B:G,6,FALSE))),"")</f>
        <v/>
      </c>
      <c r="E741" s="9" t="str">
        <f>IFERROR((IF(VLOOKUP(A741,'ECN-ECO_DATA'!B:G,6,FALSE)=0/1/1900,"",VLOOKUP(A741,'ECN-ECO_DATA'!B:G,6,FALSE))),"")</f>
        <v/>
      </c>
      <c r="F741" s="9" t="str">
        <f>IFERROR((IF(VLOOKUP(A741,'ECN-ECO_DATA'!B:J,7,FALSE)=0/1/1900,"",VLOOKUP(A741,'ECN-ECO_DATA'!B:J,7,FALSE))),"")</f>
        <v/>
      </c>
      <c r="G741" s="9" t="str">
        <f>IFERROR((IF(VLOOKUP(A741,'ECN-ECO_DATA'!B:J,8,FALSE)=0/1/1900,"",VLOOKUP(A741,'ECN-ECO_DATA'!B:J,8,FALSE))),"")</f>
        <v/>
      </c>
      <c r="H741" s="9" t="str">
        <f>IFERROR((IF(VLOOKUP(A741,'ECN-ECO_DATA'!B:J,9,FALSE)=0/1/1900,"",VLOOKUP(A741,'ECN-ECO_DATA'!B:J,9,FALSE))),"")</f>
        <v/>
      </c>
      <c r="I741" s="10" t="str">
        <f>IFERROR((IF(VLOOKUP(A741,'ECN-ECO_DATA'!B:Q,13,FALSE)="","",VLOOKUP(A741,'ECN-ECO_DATA'!B:Q,13,FALSE))),"")</f>
        <v/>
      </c>
      <c r="J741" s="10" t="str">
        <f>IFERROR((IF(VLOOKUP(A741,'ECN-ECO_DATA'!B:Q,14,FALSE)="","",VLOOKUP(A741,'ECN-ECO_DATA'!B:Q,14,FALSE))),"")</f>
        <v/>
      </c>
      <c r="K741" s="10" t="str">
        <f>IFERROR((IF(VLOOKUP(A741,'ECN-ECO_DATA'!B:Q,15,FALSE)="","",VLOOKUP(A741,'ECN-ECO_DATA'!B:Q,15,FALSE))),"")</f>
        <v/>
      </c>
      <c r="L741" s="10" t="str">
        <f>IFERROR((IF(VLOOKUP(A741,'ECN-ECO_DATA'!B:Q,16,FALSE)="","",VLOOKUP(A741,'ECN-ECO_DATA'!B:Q,16,FALSE))),"")</f>
        <v/>
      </c>
      <c r="M741" s="9" t="str">
        <f>IFERROR((IF(VLOOKUP(A741,'ECN-ECO_DATA'!B:V,18,FALSE)=0/1/1900,"",VLOOKUP(A741,'ECN-ECO_DATA'!B:V,18,FALSE))),"")</f>
        <v/>
      </c>
      <c r="N741" s="9" t="str">
        <f>IFERROR((IF(VLOOKUP(A741,'ECN-ECO_DATA'!B:V,19,FALSE)=0/1/1900,"",VLOOKUP(A741,'ECN-ECO_DATA'!B:V,19,FALSE))),"")</f>
        <v/>
      </c>
      <c r="O741" s="9" t="str">
        <f>IFERROR((IF(VLOOKUP(A741,'ECN-ECO_DATA'!B:V,20,FALSE)=0/1/1900,"",VLOOKUP(A741,'ECN-ECO_DATA'!B:V,20,FALSE))),"")</f>
        <v/>
      </c>
      <c r="P741" s="9" t="str">
        <f>IFERROR((IF(VLOOKUP(A741,'ECN-ECO_DATA'!B:V,21,FALSE)=0/1/1900,"",VLOOKUP(A741,'ECN-ECO_DATA'!B:V,21,FALSE))),"")</f>
        <v/>
      </c>
      <c r="Q741" s="10" t="str">
        <f t="shared" ca="1" si="55"/>
        <v/>
      </c>
      <c r="R741" s="4" t="str">
        <f t="shared" si="56"/>
        <v/>
      </c>
      <c r="S741" s="4" t="str">
        <f t="shared" si="57"/>
        <v/>
      </c>
      <c r="T741" s="4" t="str">
        <f t="shared" si="58"/>
        <v/>
      </c>
      <c r="U741" s="10" t="str">
        <f t="shared" si="59"/>
        <v/>
      </c>
      <c r="V741" s="4"/>
    </row>
    <row r="742" spans="2:22" x14ac:dyDescent="0.25">
      <c r="B742" s="4" t="str">
        <f>IFERROR(VLOOKUP(A742,'ECN-ECO_DATA'!B:G,4,FALSE),"")</f>
        <v/>
      </c>
      <c r="C742" s="9" t="str">
        <f>IFERROR(VLOOKUP(A742,'ECN-ECO_DATA'!B:G,5,FALSE),"")</f>
        <v/>
      </c>
      <c r="D742" s="9" t="str">
        <f ca="1">IFERROR((IF(VLOOKUP(A742,'ECN-ECO_DATA'!B:G,6,FALSE)=0/1/1900,TODAY(),VLOOKUP(A742,'ECN-ECO_DATA'!B:G,6,FALSE))),"")</f>
        <v/>
      </c>
      <c r="E742" s="9" t="str">
        <f>IFERROR((IF(VLOOKUP(A742,'ECN-ECO_DATA'!B:G,6,FALSE)=0/1/1900,"",VLOOKUP(A742,'ECN-ECO_DATA'!B:G,6,FALSE))),"")</f>
        <v/>
      </c>
      <c r="F742" s="9" t="str">
        <f>IFERROR((IF(VLOOKUP(A742,'ECN-ECO_DATA'!B:J,7,FALSE)=0/1/1900,"",VLOOKUP(A742,'ECN-ECO_DATA'!B:J,7,FALSE))),"")</f>
        <v/>
      </c>
      <c r="G742" s="9" t="str">
        <f>IFERROR((IF(VLOOKUP(A742,'ECN-ECO_DATA'!B:J,8,FALSE)=0/1/1900,"",VLOOKUP(A742,'ECN-ECO_DATA'!B:J,8,FALSE))),"")</f>
        <v/>
      </c>
      <c r="H742" s="9" t="str">
        <f>IFERROR((IF(VLOOKUP(A742,'ECN-ECO_DATA'!B:J,9,FALSE)=0/1/1900,"",VLOOKUP(A742,'ECN-ECO_DATA'!B:J,9,FALSE))),"")</f>
        <v/>
      </c>
      <c r="I742" s="10" t="str">
        <f>IFERROR((IF(VLOOKUP(A742,'ECN-ECO_DATA'!B:Q,13,FALSE)="","",VLOOKUP(A742,'ECN-ECO_DATA'!B:Q,13,FALSE))),"")</f>
        <v/>
      </c>
      <c r="J742" s="10" t="str">
        <f>IFERROR((IF(VLOOKUP(A742,'ECN-ECO_DATA'!B:Q,14,FALSE)="","",VLOOKUP(A742,'ECN-ECO_DATA'!B:Q,14,FALSE))),"")</f>
        <v/>
      </c>
      <c r="K742" s="10" t="str">
        <f>IFERROR((IF(VLOOKUP(A742,'ECN-ECO_DATA'!B:Q,15,FALSE)="","",VLOOKUP(A742,'ECN-ECO_DATA'!B:Q,15,FALSE))),"")</f>
        <v/>
      </c>
      <c r="L742" s="10" t="str">
        <f>IFERROR((IF(VLOOKUP(A742,'ECN-ECO_DATA'!B:Q,16,FALSE)="","",VLOOKUP(A742,'ECN-ECO_DATA'!B:Q,16,FALSE))),"")</f>
        <v/>
      </c>
      <c r="M742" s="9" t="str">
        <f>IFERROR((IF(VLOOKUP(A742,'ECN-ECO_DATA'!B:V,18,FALSE)=0/1/1900,"",VLOOKUP(A742,'ECN-ECO_DATA'!B:V,18,FALSE))),"")</f>
        <v/>
      </c>
      <c r="N742" s="9" t="str">
        <f>IFERROR((IF(VLOOKUP(A742,'ECN-ECO_DATA'!B:V,19,FALSE)=0/1/1900,"",VLOOKUP(A742,'ECN-ECO_DATA'!B:V,19,FALSE))),"")</f>
        <v/>
      </c>
      <c r="O742" s="9" t="str">
        <f>IFERROR((IF(VLOOKUP(A742,'ECN-ECO_DATA'!B:V,20,FALSE)=0/1/1900,"",VLOOKUP(A742,'ECN-ECO_DATA'!B:V,20,FALSE))),"")</f>
        <v/>
      </c>
      <c r="P742" s="9" t="str">
        <f>IFERROR((IF(VLOOKUP(A742,'ECN-ECO_DATA'!B:V,21,FALSE)=0/1/1900,"",VLOOKUP(A742,'ECN-ECO_DATA'!B:V,21,FALSE))),"")</f>
        <v/>
      </c>
      <c r="Q742" s="10" t="str">
        <f t="shared" ca="1" si="55"/>
        <v/>
      </c>
      <c r="R742" s="4" t="str">
        <f t="shared" si="56"/>
        <v/>
      </c>
      <c r="S742" s="4" t="str">
        <f t="shared" si="57"/>
        <v/>
      </c>
      <c r="T742" s="4" t="str">
        <f t="shared" si="58"/>
        <v/>
      </c>
      <c r="U742" s="10" t="str">
        <f t="shared" si="59"/>
        <v/>
      </c>
      <c r="V742" s="4"/>
    </row>
    <row r="743" spans="2:22" x14ac:dyDescent="0.25">
      <c r="B743" s="4" t="str">
        <f>IFERROR(VLOOKUP(A743,'ECN-ECO_DATA'!B:G,4,FALSE),"")</f>
        <v/>
      </c>
      <c r="C743" s="9" t="str">
        <f>IFERROR(VLOOKUP(A743,'ECN-ECO_DATA'!B:G,5,FALSE),"")</f>
        <v/>
      </c>
      <c r="D743" s="9" t="str">
        <f ca="1">IFERROR((IF(VLOOKUP(A743,'ECN-ECO_DATA'!B:G,6,FALSE)=0/1/1900,TODAY(),VLOOKUP(A743,'ECN-ECO_DATA'!B:G,6,FALSE))),"")</f>
        <v/>
      </c>
      <c r="E743" s="9" t="str">
        <f>IFERROR((IF(VLOOKUP(A743,'ECN-ECO_DATA'!B:G,6,FALSE)=0/1/1900,"",VLOOKUP(A743,'ECN-ECO_DATA'!B:G,6,FALSE))),"")</f>
        <v/>
      </c>
      <c r="F743" s="9" t="str">
        <f>IFERROR((IF(VLOOKUP(A743,'ECN-ECO_DATA'!B:J,7,FALSE)=0/1/1900,"",VLOOKUP(A743,'ECN-ECO_DATA'!B:J,7,FALSE))),"")</f>
        <v/>
      </c>
      <c r="G743" s="9" t="str">
        <f>IFERROR((IF(VLOOKUP(A743,'ECN-ECO_DATA'!B:J,8,FALSE)=0/1/1900,"",VLOOKUP(A743,'ECN-ECO_DATA'!B:J,8,FALSE))),"")</f>
        <v/>
      </c>
      <c r="H743" s="9" t="str">
        <f>IFERROR((IF(VLOOKUP(A743,'ECN-ECO_DATA'!B:J,9,FALSE)=0/1/1900,"",VLOOKUP(A743,'ECN-ECO_DATA'!B:J,9,FALSE))),"")</f>
        <v/>
      </c>
      <c r="I743" s="10" t="str">
        <f>IFERROR((IF(VLOOKUP(A743,'ECN-ECO_DATA'!B:Q,13,FALSE)="","",VLOOKUP(A743,'ECN-ECO_DATA'!B:Q,13,FALSE))),"")</f>
        <v/>
      </c>
      <c r="J743" s="10" t="str">
        <f>IFERROR((IF(VLOOKUP(A743,'ECN-ECO_DATA'!B:Q,14,FALSE)="","",VLOOKUP(A743,'ECN-ECO_DATA'!B:Q,14,FALSE))),"")</f>
        <v/>
      </c>
      <c r="K743" s="10" t="str">
        <f>IFERROR((IF(VLOOKUP(A743,'ECN-ECO_DATA'!B:Q,15,FALSE)="","",VLOOKUP(A743,'ECN-ECO_DATA'!B:Q,15,FALSE))),"")</f>
        <v/>
      </c>
      <c r="L743" s="10" t="str">
        <f>IFERROR((IF(VLOOKUP(A743,'ECN-ECO_DATA'!B:Q,16,FALSE)="","",VLOOKUP(A743,'ECN-ECO_DATA'!B:Q,16,FALSE))),"")</f>
        <v/>
      </c>
      <c r="M743" s="9" t="str">
        <f>IFERROR((IF(VLOOKUP(A743,'ECN-ECO_DATA'!B:V,18,FALSE)=0/1/1900,"",VLOOKUP(A743,'ECN-ECO_DATA'!B:V,18,FALSE))),"")</f>
        <v/>
      </c>
      <c r="N743" s="9" t="str">
        <f>IFERROR((IF(VLOOKUP(A743,'ECN-ECO_DATA'!B:V,19,FALSE)=0/1/1900,"",VLOOKUP(A743,'ECN-ECO_DATA'!B:V,19,FALSE))),"")</f>
        <v/>
      </c>
      <c r="O743" s="9" t="str">
        <f>IFERROR((IF(VLOOKUP(A743,'ECN-ECO_DATA'!B:V,20,FALSE)=0/1/1900,"",VLOOKUP(A743,'ECN-ECO_DATA'!B:V,20,FALSE))),"")</f>
        <v/>
      </c>
      <c r="P743" s="9" t="str">
        <f>IFERROR((IF(VLOOKUP(A743,'ECN-ECO_DATA'!B:V,21,FALSE)=0/1/1900,"",VLOOKUP(A743,'ECN-ECO_DATA'!B:V,21,FALSE))),"")</f>
        <v/>
      </c>
      <c r="Q743" s="10" t="str">
        <f t="shared" ca="1" si="55"/>
        <v/>
      </c>
      <c r="R743" s="4" t="str">
        <f t="shared" si="56"/>
        <v/>
      </c>
      <c r="S743" s="4" t="str">
        <f t="shared" si="57"/>
        <v/>
      </c>
      <c r="T743" s="4" t="str">
        <f t="shared" si="58"/>
        <v/>
      </c>
      <c r="U743" s="10" t="str">
        <f t="shared" si="59"/>
        <v/>
      </c>
      <c r="V743" s="4"/>
    </row>
    <row r="744" spans="2:22" x14ac:dyDescent="0.25">
      <c r="B744" s="4" t="str">
        <f>IFERROR(VLOOKUP(A744,'ECN-ECO_DATA'!B:G,4,FALSE),"")</f>
        <v/>
      </c>
      <c r="C744" s="9" t="str">
        <f>IFERROR(VLOOKUP(A744,'ECN-ECO_DATA'!B:G,5,FALSE),"")</f>
        <v/>
      </c>
      <c r="D744" s="9" t="str">
        <f ca="1">IFERROR((IF(VLOOKUP(A744,'ECN-ECO_DATA'!B:G,6,FALSE)=0/1/1900,TODAY(),VLOOKUP(A744,'ECN-ECO_DATA'!B:G,6,FALSE))),"")</f>
        <v/>
      </c>
      <c r="E744" s="9" t="str">
        <f>IFERROR((IF(VLOOKUP(A744,'ECN-ECO_DATA'!B:G,6,FALSE)=0/1/1900,"",VLOOKUP(A744,'ECN-ECO_DATA'!B:G,6,FALSE))),"")</f>
        <v/>
      </c>
      <c r="F744" s="9" t="str">
        <f>IFERROR((IF(VLOOKUP(A744,'ECN-ECO_DATA'!B:J,7,FALSE)=0/1/1900,"",VLOOKUP(A744,'ECN-ECO_DATA'!B:J,7,FALSE))),"")</f>
        <v/>
      </c>
      <c r="G744" s="9" t="str">
        <f>IFERROR((IF(VLOOKUP(A744,'ECN-ECO_DATA'!B:J,8,FALSE)=0/1/1900,"",VLOOKUP(A744,'ECN-ECO_DATA'!B:J,8,FALSE))),"")</f>
        <v/>
      </c>
      <c r="H744" s="9" t="str">
        <f>IFERROR((IF(VLOOKUP(A744,'ECN-ECO_DATA'!B:J,9,FALSE)=0/1/1900,"",VLOOKUP(A744,'ECN-ECO_DATA'!B:J,9,FALSE))),"")</f>
        <v/>
      </c>
      <c r="I744" s="10" t="str">
        <f>IFERROR((IF(VLOOKUP(A744,'ECN-ECO_DATA'!B:Q,13,FALSE)="","",VLOOKUP(A744,'ECN-ECO_DATA'!B:Q,13,FALSE))),"")</f>
        <v/>
      </c>
      <c r="J744" s="10" t="str">
        <f>IFERROR((IF(VLOOKUP(A744,'ECN-ECO_DATA'!B:Q,14,FALSE)="","",VLOOKUP(A744,'ECN-ECO_DATA'!B:Q,14,FALSE))),"")</f>
        <v/>
      </c>
      <c r="K744" s="10" t="str">
        <f>IFERROR((IF(VLOOKUP(A744,'ECN-ECO_DATA'!B:Q,15,FALSE)="","",VLOOKUP(A744,'ECN-ECO_DATA'!B:Q,15,FALSE))),"")</f>
        <v/>
      </c>
      <c r="L744" s="10" t="str">
        <f>IFERROR((IF(VLOOKUP(A744,'ECN-ECO_DATA'!B:Q,16,FALSE)="","",VLOOKUP(A744,'ECN-ECO_DATA'!B:Q,16,FALSE))),"")</f>
        <v/>
      </c>
      <c r="M744" s="9" t="str">
        <f>IFERROR((IF(VLOOKUP(A744,'ECN-ECO_DATA'!B:V,18,FALSE)=0/1/1900,"",VLOOKUP(A744,'ECN-ECO_DATA'!B:V,18,FALSE))),"")</f>
        <v/>
      </c>
      <c r="N744" s="9" t="str">
        <f>IFERROR((IF(VLOOKUP(A744,'ECN-ECO_DATA'!B:V,19,FALSE)=0/1/1900,"",VLOOKUP(A744,'ECN-ECO_DATA'!B:V,19,FALSE))),"")</f>
        <v/>
      </c>
      <c r="O744" s="9" t="str">
        <f>IFERROR((IF(VLOOKUP(A744,'ECN-ECO_DATA'!B:V,20,FALSE)=0/1/1900,"",VLOOKUP(A744,'ECN-ECO_DATA'!B:V,20,FALSE))),"")</f>
        <v/>
      </c>
      <c r="P744" s="9" t="str">
        <f>IFERROR((IF(VLOOKUP(A744,'ECN-ECO_DATA'!B:V,21,FALSE)=0/1/1900,"",VLOOKUP(A744,'ECN-ECO_DATA'!B:V,21,FALSE))),"")</f>
        <v/>
      </c>
      <c r="Q744" s="10" t="str">
        <f t="shared" ca="1" si="55"/>
        <v/>
      </c>
      <c r="R744" s="4" t="str">
        <f t="shared" si="56"/>
        <v/>
      </c>
      <c r="S744" s="4" t="str">
        <f t="shared" si="57"/>
        <v/>
      </c>
      <c r="T744" s="4" t="str">
        <f t="shared" si="58"/>
        <v/>
      </c>
      <c r="U744" s="10" t="str">
        <f t="shared" si="59"/>
        <v/>
      </c>
      <c r="V744" s="4"/>
    </row>
    <row r="745" spans="2:22" x14ac:dyDescent="0.25">
      <c r="B745" s="4" t="str">
        <f>IFERROR(VLOOKUP(A745,'ECN-ECO_DATA'!B:G,4,FALSE),"")</f>
        <v/>
      </c>
      <c r="C745" s="9" t="str">
        <f>IFERROR(VLOOKUP(A745,'ECN-ECO_DATA'!B:G,5,FALSE),"")</f>
        <v/>
      </c>
      <c r="D745" s="9" t="str">
        <f ca="1">IFERROR((IF(VLOOKUP(A745,'ECN-ECO_DATA'!B:G,6,FALSE)=0/1/1900,TODAY(),VLOOKUP(A745,'ECN-ECO_DATA'!B:G,6,FALSE))),"")</f>
        <v/>
      </c>
      <c r="E745" s="9" t="str">
        <f>IFERROR((IF(VLOOKUP(A745,'ECN-ECO_DATA'!B:G,6,FALSE)=0/1/1900,"",VLOOKUP(A745,'ECN-ECO_DATA'!B:G,6,FALSE))),"")</f>
        <v/>
      </c>
      <c r="F745" s="9" t="str">
        <f>IFERROR((IF(VLOOKUP(A745,'ECN-ECO_DATA'!B:J,7,FALSE)=0/1/1900,"",VLOOKUP(A745,'ECN-ECO_DATA'!B:J,7,FALSE))),"")</f>
        <v/>
      </c>
      <c r="G745" s="9" t="str">
        <f>IFERROR((IF(VLOOKUP(A745,'ECN-ECO_DATA'!B:J,8,FALSE)=0/1/1900,"",VLOOKUP(A745,'ECN-ECO_DATA'!B:J,8,FALSE))),"")</f>
        <v/>
      </c>
      <c r="H745" s="9" t="str">
        <f>IFERROR((IF(VLOOKUP(A745,'ECN-ECO_DATA'!B:J,9,FALSE)=0/1/1900,"",VLOOKUP(A745,'ECN-ECO_DATA'!B:J,9,FALSE))),"")</f>
        <v/>
      </c>
      <c r="I745" s="10" t="str">
        <f>IFERROR((IF(VLOOKUP(A745,'ECN-ECO_DATA'!B:Q,13,FALSE)="","",VLOOKUP(A745,'ECN-ECO_DATA'!B:Q,13,FALSE))),"")</f>
        <v/>
      </c>
      <c r="J745" s="10" t="str">
        <f>IFERROR((IF(VLOOKUP(A745,'ECN-ECO_DATA'!B:Q,14,FALSE)="","",VLOOKUP(A745,'ECN-ECO_DATA'!B:Q,14,FALSE))),"")</f>
        <v/>
      </c>
      <c r="K745" s="10" t="str">
        <f>IFERROR((IF(VLOOKUP(A745,'ECN-ECO_DATA'!B:Q,15,FALSE)="","",VLOOKUP(A745,'ECN-ECO_DATA'!B:Q,15,FALSE))),"")</f>
        <v/>
      </c>
      <c r="L745" s="10" t="str">
        <f>IFERROR((IF(VLOOKUP(A745,'ECN-ECO_DATA'!B:Q,16,FALSE)="","",VLOOKUP(A745,'ECN-ECO_DATA'!B:Q,16,FALSE))),"")</f>
        <v/>
      </c>
      <c r="M745" s="9" t="str">
        <f>IFERROR((IF(VLOOKUP(A745,'ECN-ECO_DATA'!B:V,18,FALSE)=0/1/1900,"",VLOOKUP(A745,'ECN-ECO_DATA'!B:V,18,FALSE))),"")</f>
        <v/>
      </c>
      <c r="N745" s="9" t="str">
        <f>IFERROR((IF(VLOOKUP(A745,'ECN-ECO_DATA'!B:V,19,FALSE)=0/1/1900,"",VLOOKUP(A745,'ECN-ECO_DATA'!B:V,19,FALSE))),"")</f>
        <v/>
      </c>
      <c r="O745" s="9" t="str">
        <f>IFERROR((IF(VLOOKUP(A745,'ECN-ECO_DATA'!B:V,20,FALSE)=0/1/1900,"",VLOOKUP(A745,'ECN-ECO_DATA'!B:V,20,FALSE))),"")</f>
        <v/>
      </c>
      <c r="P745" s="9" t="str">
        <f>IFERROR((IF(VLOOKUP(A745,'ECN-ECO_DATA'!B:V,21,FALSE)=0/1/1900,"",VLOOKUP(A745,'ECN-ECO_DATA'!B:V,21,FALSE))),"")</f>
        <v/>
      </c>
      <c r="Q745" s="10" t="str">
        <f t="shared" ca="1" si="55"/>
        <v/>
      </c>
      <c r="R745" s="4" t="str">
        <f t="shared" si="56"/>
        <v/>
      </c>
      <c r="S745" s="4" t="str">
        <f t="shared" si="57"/>
        <v/>
      </c>
      <c r="T745" s="4" t="str">
        <f t="shared" si="58"/>
        <v/>
      </c>
      <c r="U745" s="10" t="str">
        <f t="shared" si="59"/>
        <v/>
      </c>
      <c r="V745" s="4"/>
    </row>
    <row r="746" spans="2:22" x14ac:dyDescent="0.25">
      <c r="B746" s="4" t="str">
        <f>IFERROR(VLOOKUP(A746,'ECN-ECO_DATA'!B:G,4,FALSE),"")</f>
        <v/>
      </c>
      <c r="C746" s="9" t="str">
        <f>IFERROR(VLOOKUP(A746,'ECN-ECO_DATA'!B:G,5,FALSE),"")</f>
        <v/>
      </c>
      <c r="D746" s="9" t="str">
        <f ca="1">IFERROR((IF(VLOOKUP(A746,'ECN-ECO_DATA'!B:G,6,FALSE)=0/1/1900,TODAY(),VLOOKUP(A746,'ECN-ECO_DATA'!B:G,6,FALSE))),"")</f>
        <v/>
      </c>
      <c r="E746" s="9" t="str">
        <f>IFERROR((IF(VLOOKUP(A746,'ECN-ECO_DATA'!B:G,6,FALSE)=0/1/1900,"",VLOOKUP(A746,'ECN-ECO_DATA'!B:G,6,FALSE))),"")</f>
        <v/>
      </c>
      <c r="F746" s="9" t="str">
        <f>IFERROR((IF(VLOOKUP(A746,'ECN-ECO_DATA'!B:J,7,FALSE)=0/1/1900,"",VLOOKUP(A746,'ECN-ECO_DATA'!B:J,7,FALSE))),"")</f>
        <v/>
      </c>
      <c r="G746" s="9" t="str">
        <f>IFERROR((IF(VLOOKUP(A746,'ECN-ECO_DATA'!B:J,8,FALSE)=0/1/1900,"",VLOOKUP(A746,'ECN-ECO_DATA'!B:J,8,FALSE))),"")</f>
        <v/>
      </c>
      <c r="H746" s="9" t="str">
        <f>IFERROR((IF(VLOOKUP(A746,'ECN-ECO_DATA'!B:J,9,FALSE)=0/1/1900,"",VLOOKUP(A746,'ECN-ECO_DATA'!B:J,9,FALSE))),"")</f>
        <v/>
      </c>
      <c r="I746" s="10" t="str">
        <f>IFERROR((IF(VLOOKUP(A746,'ECN-ECO_DATA'!B:Q,13,FALSE)="","",VLOOKUP(A746,'ECN-ECO_DATA'!B:Q,13,FALSE))),"")</f>
        <v/>
      </c>
      <c r="J746" s="10" t="str">
        <f>IFERROR((IF(VLOOKUP(A746,'ECN-ECO_DATA'!B:Q,14,FALSE)="","",VLOOKUP(A746,'ECN-ECO_DATA'!B:Q,14,FALSE))),"")</f>
        <v/>
      </c>
      <c r="K746" s="10" t="str">
        <f>IFERROR((IF(VLOOKUP(A746,'ECN-ECO_DATA'!B:Q,15,FALSE)="","",VLOOKUP(A746,'ECN-ECO_DATA'!B:Q,15,FALSE))),"")</f>
        <v/>
      </c>
      <c r="L746" s="10" t="str">
        <f>IFERROR((IF(VLOOKUP(A746,'ECN-ECO_DATA'!B:Q,16,FALSE)="","",VLOOKUP(A746,'ECN-ECO_DATA'!B:Q,16,FALSE))),"")</f>
        <v/>
      </c>
      <c r="M746" s="9" t="str">
        <f>IFERROR((IF(VLOOKUP(A746,'ECN-ECO_DATA'!B:V,18,FALSE)=0/1/1900,"",VLOOKUP(A746,'ECN-ECO_DATA'!B:V,18,FALSE))),"")</f>
        <v/>
      </c>
      <c r="N746" s="9" t="str">
        <f>IFERROR((IF(VLOOKUP(A746,'ECN-ECO_DATA'!B:V,19,FALSE)=0/1/1900,"",VLOOKUP(A746,'ECN-ECO_DATA'!B:V,19,FALSE))),"")</f>
        <v/>
      </c>
      <c r="O746" s="9" t="str">
        <f>IFERROR((IF(VLOOKUP(A746,'ECN-ECO_DATA'!B:V,20,FALSE)=0/1/1900,"",VLOOKUP(A746,'ECN-ECO_DATA'!B:V,20,FALSE))),"")</f>
        <v/>
      </c>
      <c r="P746" s="9" t="str">
        <f>IFERROR((IF(VLOOKUP(A746,'ECN-ECO_DATA'!B:V,21,FALSE)=0/1/1900,"",VLOOKUP(A746,'ECN-ECO_DATA'!B:V,21,FALSE))),"")</f>
        <v/>
      </c>
      <c r="Q746" s="10" t="str">
        <f t="shared" ca="1" si="55"/>
        <v/>
      </c>
      <c r="R746" s="4" t="str">
        <f t="shared" si="56"/>
        <v/>
      </c>
      <c r="S746" s="4" t="str">
        <f t="shared" si="57"/>
        <v/>
      </c>
      <c r="T746" s="4" t="str">
        <f t="shared" si="58"/>
        <v/>
      </c>
      <c r="U746" s="10" t="str">
        <f t="shared" si="59"/>
        <v/>
      </c>
      <c r="V746" s="4"/>
    </row>
    <row r="747" spans="2:22" x14ac:dyDescent="0.25">
      <c r="B747" s="4" t="str">
        <f>IFERROR(VLOOKUP(A747,'ECN-ECO_DATA'!B:G,4,FALSE),"")</f>
        <v/>
      </c>
      <c r="C747" s="9" t="str">
        <f>IFERROR(VLOOKUP(A747,'ECN-ECO_DATA'!B:G,5,FALSE),"")</f>
        <v/>
      </c>
      <c r="D747" s="9" t="str">
        <f ca="1">IFERROR((IF(VLOOKUP(A747,'ECN-ECO_DATA'!B:G,6,FALSE)=0/1/1900,TODAY(),VLOOKUP(A747,'ECN-ECO_DATA'!B:G,6,FALSE))),"")</f>
        <v/>
      </c>
      <c r="E747" s="9" t="str">
        <f>IFERROR((IF(VLOOKUP(A747,'ECN-ECO_DATA'!B:G,6,FALSE)=0/1/1900,"",VLOOKUP(A747,'ECN-ECO_DATA'!B:G,6,FALSE))),"")</f>
        <v/>
      </c>
      <c r="F747" s="9" t="str">
        <f>IFERROR((IF(VLOOKUP(A747,'ECN-ECO_DATA'!B:J,7,FALSE)=0/1/1900,"",VLOOKUP(A747,'ECN-ECO_DATA'!B:J,7,FALSE))),"")</f>
        <v/>
      </c>
      <c r="G747" s="9" t="str">
        <f>IFERROR((IF(VLOOKUP(A747,'ECN-ECO_DATA'!B:J,8,FALSE)=0/1/1900,"",VLOOKUP(A747,'ECN-ECO_DATA'!B:J,8,FALSE))),"")</f>
        <v/>
      </c>
      <c r="H747" s="9" t="str">
        <f>IFERROR((IF(VLOOKUP(A747,'ECN-ECO_DATA'!B:J,9,FALSE)=0/1/1900,"",VLOOKUP(A747,'ECN-ECO_DATA'!B:J,9,FALSE))),"")</f>
        <v/>
      </c>
      <c r="I747" s="10" t="str">
        <f>IFERROR((IF(VLOOKUP(A747,'ECN-ECO_DATA'!B:Q,13,FALSE)="","",VLOOKUP(A747,'ECN-ECO_DATA'!B:Q,13,FALSE))),"")</f>
        <v/>
      </c>
      <c r="J747" s="10" t="str">
        <f>IFERROR((IF(VLOOKUP(A747,'ECN-ECO_DATA'!B:Q,14,FALSE)="","",VLOOKUP(A747,'ECN-ECO_DATA'!B:Q,14,FALSE))),"")</f>
        <v/>
      </c>
      <c r="K747" s="10" t="str">
        <f>IFERROR((IF(VLOOKUP(A747,'ECN-ECO_DATA'!B:Q,15,FALSE)="","",VLOOKUP(A747,'ECN-ECO_DATA'!B:Q,15,FALSE))),"")</f>
        <v/>
      </c>
      <c r="L747" s="10" t="str">
        <f>IFERROR((IF(VLOOKUP(A747,'ECN-ECO_DATA'!B:Q,16,FALSE)="","",VLOOKUP(A747,'ECN-ECO_DATA'!B:Q,16,FALSE))),"")</f>
        <v/>
      </c>
      <c r="M747" s="9" t="str">
        <f>IFERROR((IF(VLOOKUP(A747,'ECN-ECO_DATA'!B:V,18,FALSE)=0/1/1900,"",VLOOKUP(A747,'ECN-ECO_DATA'!B:V,18,FALSE))),"")</f>
        <v/>
      </c>
      <c r="N747" s="9" t="str">
        <f>IFERROR((IF(VLOOKUP(A747,'ECN-ECO_DATA'!B:V,19,FALSE)=0/1/1900,"",VLOOKUP(A747,'ECN-ECO_DATA'!B:V,19,FALSE))),"")</f>
        <v/>
      </c>
      <c r="O747" s="9" t="str">
        <f>IFERROR((IF(VLOOKUP(A747,'ECN-ECO_DATA'!B:V,20,FALSE)=0/1/1900,"",VLOOKUP(A747,'ECN-ECO_DATA'!B:V,20,FALSE))),"")</f>
        <v/>
      </c>
      <c r="P747" s="9" t="str">
        <f>IFERROR((IF(VLOOKUP(A747,'ECN-ECO_DATA'!B:V,21,FALSE)=0/1/1900,"",VLOOKUP(A747,'ECN-ECO_DATA'!B:V,21,FALSE))),"")</f>
        <v/>
      </c>
      <c r="Q747" s="10" t="str">
        <f t="shared" ca="1" si="55"/>
        <v/>
      </c>
      <c r="R747" s="4" t="str">
        <f t="shared" si="56"/>
        <v/>
      </c>
      <c r="S747" s="4" t="str">
        <f t="shared" si="57"/>
        <v/>
      </c>
      <c r="T747" s="4" t="str">
        <f t="shared" si="58"/>
        <v/>
      </c>
      <c r="U747" s="10" t="str">
        <f t="shared" si="59"/>
        <v/>
      </c>
      <c r="V747" s="4"/>
    </row>
    <row r="748" spans="2:22" x14ac:dyDescent="0.25">
      <c r="B748" s="4" t="str">
        <f>IFERROR(VLOOKUP(A748,'ECN-ECO_DATA'!B:G,4,FALSE),"")</f>
        <v/>
      </c>
      <c r="C748" s="9" t="str">
        <f>IFERROR(VLOOKUP(A748,'ECN-ECO_DATA'!B:G,5,FALSE),"")</f>
        <v/>
      </c>
      <c r="D748" s="9" t="str">
        <f ca="1">IFERROR((IF(VLOOKUP(A748,'ECN-ECO_DATA'!B:G,6,FALSE)=0/1/1900,TODAY(),VLOOKUP(A748,'ECN-ECO_DATA'!B:G,6,FALSE))),"")</f>
        <v/>
      </c>
      <c r="E748" s="9" t="str">
        <f>IFERROR((IF(VLOOKUP(A748,'ECN-ECO_DATA'!B:G,6,FALSE)=0/1/1900,"",VLOOKUP(A748,'ECN-ECO_DATA'!B:G,6,FALSE))),"")</f>
        <v/>
      </c>
      <c r="F748" s="9" t="str">
        <f>IFERROR((IF(VLOOKUP(A748,'ECN-ECO_DATA'!B:J,7,FALSE)=0/1/1900,"",VLOOKUP(A748,'ECN-ECO_DATA'!B:J,7,FALSE))),"")</f>
        <v/>
      </c>
      <c r="G748" s="9" t="str">
        <f>IFERROR((IF(VLOOKUP(A748,'ECN-ECO_DATA'!B:J,8,FALSE)=0/1/1900,"",VLOOKUP(A748,'ECN-ECO_DATA'!B:J,8,FALSE))),"")</f>
        <v/>
      </c>
      <c r="H748" s="9" t="str">
        <f>IFERROR((IF(VLOOKUP(A748,'ECN-ECO_DATA'!B:J,9,FALSE)=0/1/1900,"",VLOOKUP(A748,'ECN-ECO_DATA'!B:J,9,FALSE))),"")</f>
        <v/>
      </c>
      <c r="I748" s="10" t="str">
        <f>IFERROR((IF(VLOOKUP(A748,'ECN-ECO_DATA'!B:Q,13,FALSE)="","",VLOOKUP(A748,'ECN-ECO_DATA'!B:Q,13,FALSE))),"")</f>
        <v/>
      </c>
      <c r="J748" s="10" t="str">
        <f>IFERROR((IF(VLOOKUP(A748,'ECN-ECO_DATA'!B:Q,14,FALSE)="","",VLOOKUP(A748,'ECN-ECO_DATA'!B:Q,14,FALSE))),"")</f>
        <v/>
      </c>
      <c r="K748" s="10" t="str">
        <f>IFERROR((IF(VLOOKUP(A748,'ECN-ECO_DATA'!B:Q,15,FALSE)="","",VLOOKUP(A748,'ECN-ECO_DATA'!B:Q,15,FALSE))),"")</f>
        <v/>
      </c>
      <c r="L748" s="10" t="str">
        <f>IFERROR((IF(VLOOKUP(A748,'ECN-ECO_DATA'!B:Q,16,FALSE)="","",VLOOKUP(A748,'ECN-ECO_DATA'!B:Q,16,FALSE))),"")</f>
        <v/>
      </c>
      <c r="M748" s="9" t="str">
        <f>IFERROR((IF(VLOOKUP(A748,'ECN-ECO_DATA'!B:V,18,FALSE)=0/1/1900,"",VLOOKUP(A748,'ECN-ECO_DATA'!B:V,18,FALSE))),"")</f>
        <v/>
      </c>
      <c r="N748" s="9" t="str">
        <f>IFERROR((IF(VLOOKUP(A748,'ECN-ECO_DATA'!B:V,19,FALSE)=0/1/1900,"",VLOOKUP(A748,'ECN-ECO_DATA'!B:V,19,FALSE))),"")</f>
        <v/>
      </c>
      <c r="O748" s="9" t="str">
        <f>IFERROR((IF(VLOOKUP(A748,'ECN-ECO_DATA'!B:V,20,FALSE)=0/1/1900,"",VLOOKUP(A748,'ECN-ECO_DATA'!B:V,20,FALSE))),"")</f>
        <v/>
      </c>
      <c r="P748" s="9" t="str">
        <f>IFERROR((IF(VLOOKUP(A748,'ECN-ECO_DATA'!B:V,21,FALSE)=0/1/1900,"",VLOOKUP(A748,'ECN-ECO_DATA'!B:V,21,FALSE))),"")</f>
        <v/>
      </c>
      <c r="Q748" s="10" t="str">
        <f t="shared" ca="1" si="55"/>
        <v/>
      </c>
      <c r="R748" s="4" t="str">
        <f t="shared" si="56"/>
        <v/>
      </c>
      <c r="S748" s="4" t="str">
        <f t="shared" si="57"/>
        <v/>
      </c>
      <c r="T748" s="4" t="str">
        <f t="shared" si="58"/>
        <v/>
      </c>
      <c r="U748" s="10" t="str">
        <f t="shared" si="59"/>
        <v/>
      </c>
      <c r="V748" s="4"/>
    </row>
    <row r="749" spans="2:22" x14ac:dyDescent="0.25">
      <c r="B749" s="4" t="str">
        <f>IFERROR(VLOOKUP(A749,'ECN-ECO_DATA'!B:G,4,FALSE),"")</f>
        <v/>
      </c>
      <c r="C749" s="9" t="str">
        <f>IFERROR(VLOOKUP(A749,'ECN-ECO_DATA'!B:G,5,FALSE),"")</f>
        <v/>
      </c>
      <c r="D749" s="9" t="str">
        <f ca="1">IFERROR((IF(VLOOKUP(A749,'ECN-ECO_DATA'!B:G,6,FALSE)=0/1/1900,TODAY(),VLOOKUP(A749,'ECN-ECO_DATA'!B:G,6,FALSE))),"")</f>
        <v/>
      </c>
      <c r="E749" s="9" t="str">
        <f>IFERROR((IF(VLOOKUP(A749,'ECN-ECO_DATA'!B:G,6,FALSE)=0/1/1900,"",VLOOKUP(A749,'ECN-ECO_DATA'!B:G,6,FALSE))),"")</f>
        <v/>
      </c>
      <c r="F749" s="9" t="str">
        <f>IFERROR((IF(VLOOKUP(A749,'ECN-ECO_DATA'!B:J,7,FALSE)=0/1/1900,"",VLOOKUP(A749,'ECN-ECO_DATA'!B:J,7,FALSE))),"")</f>
        <v/>
      </c>
      <c r="G749" s="9" t="str">
        <f>IFERROR((IF(VLOOKUP(A749,'ECN-ECO_DATA'!B:J,8,FALSE)=0/1/1900,"",VLOOKUP(A749,'ECN-ECO_DATA'!B:J,8,FALSE))),"")</f>
        <v/>
      </c>
      <c r="H749" s="9" t="str">
        <f>IFERROR((IF(VLOOKUP(A749,'ECN-ECO_DATA'!B:J,9,FALSE)=0/1/1900,"",VLOOKUP(A749,'ECN-ECO_DATA'!B:J,9,FALSE))),"")</f>
        <v/>
      </c>
      <c r="I749" s="10" t="str">
        <f>IFERROR((IF(VLOOKUP(A749,'ECN-ECO_DATA'!B:Q,13,FALSE)="","",VLOOKUP(A749,'ECN-ECO_DATA'!B:Q,13,FALSE))),"")</f>
        <v/>
      </c>
      <c r="J749" s="10" t="str">
        <f>IFERROR((IF(VLOOKUP(A749,'ECN-ECO_DATA'!B:Q,14,FALSE)="","",VLOOKUP(A749,'ECN-ECO_DATA'!B:Q,14,FALSE))),"")</f>
        <v/>
      </c>
      <c r="K749" s="10" t="str">
        <f>IFERROR((IF(VLOOKUP(A749,'ECN-ECO_DATA'!B:Q,15,FALSE)="","",VLOOKUP(A749,'ECN-ECO_DATA'!B:Q,15,FALSE))),"")</f>
        <v/>
      </c>
      <c r="L749" s="10" t="str">
        <f>IFERROR((IF(VLOOKUP(A749,'ECN-ECO_DATA'!B:Q,16,FALSE)="","",VLOOKUP(A749,'ECN-ECO_DATA'!B:Q,16,FALSE))),"")</f>
        <v/>
      </c>
      <c r="M749" s="9" t="str">
        <f>IFERROR((IF(VLOOKUP(A749,'ECN-ECO_DATA'!B:V,18,FALSE)=0/1/1900,"",VLOOKUP(A749,'ECN-ECO_DATA'!B:V,18,FALSE))),"")</f>
        <v/>
      </c>
      <c r="N749" s="9" t="str">
        <f>IFERROR((IF(VLOOKUP(A749,'ECN-ECO_DATA'!B:V,19,FALSE)=0/1/1900,"",VLOOKUP(A749,'ECN-ECO_DATA'!B:V,19,FALSE))),"")</f>
        <v/>
      </c>
      <c r="O749" s="9" t="str">
        <f>IFERROR((IF(VLOOKUP(A749,'ECN-ECO_DATA'!B:V,20,FALSE)=0/1/1900,"",VLOOKUP(A749,'ECN-ECO_DATA'!B:V,20,FALSE))),"")</f>
        <v/>
      </c>
      <c r="P749" s="9" t="str">
        <f>IFERROR((IF(VLOOKUP(A749,'ECN-ECO_DATA'!B:V,21,FALSE)=0/1/1900,"",VLOOKUP(A749,'ECN-ECO_DATA'!B:V,21,FALSE))),"")</f>
        <v/>
      </c>
      <c r="Q749" s="10" t="str">
        <f t="shared" ca="1" si="55"/>
        <v/>
      </c>
      <c r="R749" s="4" t="str">
        <f t="shared" si="56"/>
        <v/>
      </c>
      <c r="S749" s="4" t="str">
        <f t="shared" si="57"/>
        <v/>
      </c>
      <c r="T749" s="4" t="str">
        <f t="shared" si="58"/>
        <v/>
      </c>
      <c r="U749" s="10" t="str">
        <f t="shared" si="59"/>
        <v/>
      </c>
      <c r="V749" s="4"/>
    </row>
    <row r="750" spans="2:22" x14ac:dyDescent="0.25">
      <c r="B750" s="4" t="str">
        <f>IFERROR(VLOOKUP(A750,'ECN-ECO_DATA'!B:G,4,FALSE),"")</f>
        <v/>
      </c>
      <c r="C750" s="9" t="str">
        <f>IFERROR(VLOOKUP(A750,'ECN-ECO_DATA'!B:G,5,FALSE),"")</f>
        <v/>
      </c>
      <c r="D750" s="9" t="str">
        <f ca="1">IFERROR((IF(VLOOKUP(A750,'ECN-ECO_DATA'!B:G,6,FALSE)=0/1/1900,TODAY(),VLOOKUP(A750,'ECN-ECO_DATA'!B:G,6,FALSE))),"")</f>
        <v/>
      </c>
      <c r="E750" s="9" t="str">
        <f>IFERROR((IF(VLOOKUP(A750,'ECN-ECO_DATA'!B:G,6,FALSE)=0/1/1900,"",VLOOKUP(A750,'ECN-ECO_DATA'!B:G,6,FALSE))),"")</f>
        <v/>
      </c>
      <c r="F750" s="9" t="str">
        <f>IFERROR((IF(VLOOKUP(A750,'ECN-ECO_DATA'!B:J,7,FALSE)=0/1/1900,"",VLOOKUP(A750,'ECN-ECO_DATA'!B:J,7,FALSE))),"")</f>
        <v/>
      </c>
      <c r="G750" s="9" t="str">
        <f>IFERROR((IF(VLOOKUP(A750,'ECN-ECO_DATA'!B:J,8,FALSE)=0/1/1900,"",VLOOKUP(A750,'ECN-ECO_DATA'!B:J,8,FALSE))),"")</f>
        <v/>
      </c>
      <c r="H750" s="9" t="str">
        <f>IFERROR((IF(VLOOKUP(A750,'ECN-ECO_DATA'!B:J,9,FALSE)=0/1/1900,"",VLOOKUP(A750,'ECN-ECO_DATA'!B:J,9,FALSE))),"")</f>
        <v/>
      </c>
      <c r="I750" s="10" t="str">
        <f>IFERROR((IF(VLOOKUP(A750,'ECN-ECO_DATA'!B:Q,13,FALSE)="","",VLOOKUP(A750,'ECN-ECO_DATA'!B:Q,13,FALSE))),"")</f>
        <v/>
      </c>
      <c r="J750" s="10" t="str">
        <f>IFERROR((IF(VLOOKUP(A750,'ECN-ECO_DATA'!B:Q,14,FALSE)="","",VLOOKUP(A750,'ECN-ECO_DATA'!B:Q,14,FALSE))),"")</f>
        <v/>
      </c>
      <c r="K750" s="10" t="str">
        <f>IFERROR((IF(VLOOKUP(A750,'ECN-ECO_DATA'!B:Q,15,FALSE)="","",VLOOKUP(A750,'ECN-ECO_DATA'!B:Q,15,FALSE))),"")</f>
        <v/>
      </c>
      <c r="L750" s="10" t="str">
        <f>IFERROR((IF(VLOOKUP(A750,'ECN-ECO_DATA'!B:Q,16,FALSE)="","",VLOOKUP(A750,'ECN-ECO_DATA'!B:Q,16,FALSE))),"")</f>
        <v/>
      </c>
      <c r="M750" s="9" t="str">
        <f>IFERROR((IF(VLOOKUP(A750,'ECN-ECO_DATA'!B:V,18,FALSE)=0/1/1900,"",VLOOKUP(A750,'ECN-ECO_DATA'!B:V,18,FALSE))),"")</f>
        <v/>
      </c>
      <c r="N750" s="9" t="str">
        <f>IFERROR((IF(VLOOKUP(A750,'ECN-ECO_DATA'!B:V,19,FALSE)=0/1/1900,"",VLOOKUP(A750,'ECN-ECO_DATA'!B:V,19,FALSE))),"")</f>
        <v/>
      </c>
      <c r="O750" s="9" t="str">
        <f>IFERROR((IF(VLOOKUP(A750,'ECN-ECO_DATA'!B:V,20,FALSE)=0/1/1900,"",VLOOKUP(A750,'ECN-ECO_DATA'!B:V,20,FALSE))),"")</f>
        <v/>
      </c>
      <c r="P750" s="9" t="str">
        <f>IFERROR((IF(VLOOKUP(A750,'ECN-ECO_DATA'!B:V,21,FALSE)=0/1/1900,"",VLOOKUP(A750,'ECN-ECO_DATA'!B:V,21,FALSE))),"")</f>
        <v/>
      </c>
      <c r="Q750" s="10" t="str">
        <f t="shared" ca="1" si="55"/>
        <v/>
      </c>
      <c r="R750" s="4" t="str">
        <f t="shared" si="56"/>
        <v/>
      </c>
      <c r="S750" s="4" t="str">
        <f t="shared" si="57"/>
        <v/>
      </c>
      <c r="T750" s="4" t="str">
        <f t="shared" si="58"/>
        <v/>
      </c>
      <c r="U750" s="10" t="str">
        <f t="shared" si="59"/>
        <v/>
      </c>
      <c r="V750" s="4"/>
    </row>
    <row r="751" spans="2:22" x14ac:dyDescent="0.25">
      <c r="B751" s="4" t="str">
        <f>IFERROR(VLOOKUP(A751,'ECN-ECO_DATA'!B:G,4,FALSE),"")</f>
        <v/>
      </c>
      <c r="C751" s="9" t="str">
        <f>IFERROR(VLOOKUP(A751,'ECN-ECO_DATA'!B:G,5,FALSE),"")</f>
        <v/>
      </c>
      <c r="D751" s="9" t="str">
        <f ca="1">IFERROR((IF(VLOOKUP(A751,'ECN-ECO_DATA'!B:G,6,FALSE)=0/1/1900,TODAY(),VLOOKUP(A751,'ECN-ECO_DATA'!B:G,6,FALSE))),"")</f>
        <v/>
      </c>
      <c r="E751" s="9" t="str">
        <f>IFERROR((IF(VLOOKUP(A751,'ECN-ECO_DATA'!B:G,6,FALSE)=0/1/1900,"",VLOOKUP(A751,'ECN-ECO_DATA'!B:G,6,FALSE))),"")</f>
        <v/>
      </c>
      <c r="F751" s="9" t="str">
        <f>IFERROR((IF(VLOOKUP(A751,'ECN-ECO_DATA'!B:J,7,FALSE)=0/1/1900,"",VLOOKUP(A751,'ECN-ECO_DATA'!B:J,7,FALSE))),"")</f>
        <v/>
      </c>
      <c r="G751" s="9" t="str">
        <f>IFERROR((IF(VLOOKUP(A751,'ECN-ECO_DATA'!B:J,8,FALSE)=0/1/1900,"",VLOOKUP(A751,'ECN-ECO_DATA'!B:J,8,FALSE))),"")</f>
        <v/>
      </c>
      <c r="H751" s="9" t="str">
        <f>IFERROR((IF(VLOOKUP(A751,'ECN-ECO_DATA'!B:J,9,FALSE)=0/1/1900,"",VLOOKUP(A751,'ECN-ECO_DATA'!B:J,9,FALSE))),"")</f>
        <v/>
      </c>
      <c r="I751" s="10" t="str">
        <f>IFERROR((IF(VLOOKUP(A751,'ECN-ECO_DATA'!B:Q,13,FALSE)="","",VLOOKUP(A751,'ECN-ECO_DATA'!B:Q,13,FALSE))),"")</f>
        <v/>
      </c>
      <c r="J751" s="10" t="str">
        <f>IFERROR((IF(VLOOKUP(A751,'ECN-ECO_DATA'!B:Q,14,FALSE)="","",VLOOKUP(A751,'ECN-ECO_DATA'!B:Q,14,FALSE))),"")</f>
        <v/>
      </c>
      <c r="K751" s="10" t="str">
        <f>IFERROR((IF(VLOOKUP(A751,'ECN-ECO_DATA'!B:Q,15,FALSE)="","",VLOOKUP(A751,'ECN-ECO_DATA'!B:Q,15,FALSE))),"")</f>
        <v/>
      </c>
      <c r="L751" s="10" t="str">
        <f>IFERROR((IF(VLOOKUP(A751,'ECN-ECO_DATA'!B:Q,16,FALSE)="","",VLOOKUP(A751,'ECN-ECO_DATA'!B:Q,16,FALSE))),"")</f>
        <v/>
      </c>
      <c r="M751" s="9" t="str">
        <f>IFERROR((IF(VLOOKUP(A751,'ECN-ECO_DATA'!B:V,18,FALSE)=0/1/1900,"",VLOOKUP(A751,'ECN-ECO_DATA'!B:V,18,FALSE))),"")</f>
        <v/>
      </c>
      <c r="N751" s="9" t="str">
        <f>IFERROR((IF(VLOOKUP(A751,'ECN-ECO_DATA'!B:V,19,FALSE)=0/1/1900,"",VLOOKUP(A751,'ECN-ECO_DATA'!B:V,19,FALSE))),"")</f>
        <v/>
      </c>
      <c r="O751" s="9" t="str">
        <f>IFERROR((IF(VLOOKUP(A751,'ECN-ECO_DATA'!B:V,20,FALSE)=0/1/1900,"",VLOOKUP(A751,'ECN-ECO_DATA'!B:V,20,FALSE))),"")</f>
        <v/>
      </c>
      <c r="P751" s="9" t="str">
        <f>IFERROR((IF(VLOOKUP(A751,'ECN-ECO_DATA'!B:V,21,FALSE)=0/1/1900,"",VLOOKUP(A751,'ECN-ECO_DATA'!B:V,21,FALSE))),"")</f>
        <v/>
      </c>
      <c r="Q751" s="10" t="str">
        <f t="shared" ca="1" si="55"/>
        <v/>
      </c>
      <c r="R751" s="4" t="str">
        <f t="shared" si="56"/>
        <v/>
      </c>
      <c r="S751" s="4" t="str">
        <f t="shared" si="57"/>
        <v/>
      </c>
      <c r="T751" s="4" t="str">
        <f t="shared" si="58"/>
        <v/>
      </c>
      <c r="U751" s="10" t="str">
        <f t="shared" si="59"/>
        <v/>
      </c>
      <c r="V751" s="4"/>
    </row>
    <row r="752" spans="2:22" x14ac:dyDescent="0.25">
      <c r="B752" s="4" t="str">
        <f>IFERROR(VLOOKUP(A752,'ECN-ECO_DATA'!B:G,4,FALSE),"")</f>
        <v/>
      </c>
      <c r="C752" s="9" t="str">
        <f>IFERROR(VLOOKUP(A752,'ECN-ECO_DATA'!B:G,5,FALSE),"")</f>
        <v/>
      </c>
      <c r="D752" s="9" t="str">
        <f ca="1">IFERROR((IF(VLOOKUP(A752,'ECN-ECO_DATA'!B:G,6,FALSE)=0/1/1900,TODAY(),VLOOKUP(A752,'ECN-ECO_DATA'!B:G,6,FALSE))),"")</f>
        <v/>
      </c>
      <c r="E752" s="9" t="str">
        <f>IFERROR((IF(VLOOKUP(A752,'ECN-ECO_DATA'!B:G,6,FALSE)=0/1/1900,"",VLOOKUP(A752,'ECN-ECO_DATA'!B:G,6,FALSE))),"")</f>
        <v/>
      </c>
      <c r="F752" s="9" t="str">
        <f>IFERROR((IF(VLOOKUP(A752,'ECN-ECO_DATA'!B:J,7,FALSE)=0/1/1900,"",VLOOKUP(A752,'ECN-ECO_DATA'!B:J,7,FALSE))),"")</f>
        <v/>
      </c>
      <c r="G752" s="9" t="str">
        <f>IFERROR((IF(VLOOKUP(A752,'ECN-ECO_DATA'!B:J,8,FALSE)=0/1/1900,"",VLOOKUP(A752,'ECN-ECO_DATA'!B:J,8,FALSE))),"")</f>
        <v/>
      </c>
      <c r="H752" s="9" t="str">
        <f>IFERROR((IF(VLOOKUP(A752,'ECN-ECO_DATA'!B:J,9,FALSE)=0/1/1900,"",VLOOKUP(A752,'ECN-ECO_DATA'!B:J,9,FALSE))),"")</f>
        <v/>
      </c>
      <c r="I752" s="10" t="str">
        <f>IFERROR((IF(VLOOKUP(A752,'ECN-ECO_DATA'!B:Q,13,FALSE)="","",VLOOKUP(A752,'ECN-ECO_DATA'!B:Q,13,FALSE))),"")</f>
        <v/>
      </c>
      <c r="J752" s="10" t="str">
        <f>IFERROR((IF(VLOOKUP(A752,'ECN-ECO_DATA'!B:Q,14,FALSE)="","",VLOOKUP(A752,'ECN-ECO_DATA'!B:Q,14,FALSE))),"")</f>
        <v/>
      </c>
      <c r="K752" s="10" t="str">
        <f>IFERROR((IF(VLOOKUP(A752,'ECN-ECO_DATA'!B:Q,15,FALSE)="","",VLOOKUP(A752,'ECN-ECO_DATA'!B:Q,15,FALSE))),"")</f>
        <v/>
      </c>
      <c r="L752" s="10" t="str">
        <f>IFERROR((IF(VLOOKUP(A752,'ECN-ECO_DATA'!B:Q,16,FALSE)="","",VLOOKUP(A752,'ECN-ECO_DATA'!B:Q,16,FALSE))),"")</f>
        <v/>
      </c>
      <c r="M752" s="9" t="str">
        <f>IFERROR((IF(VLOOKUP(A752,'ECN-ECO_DATA'!B:V,18,FALSE)=0/1/1900,"",VLOOKUP(A752,'ECN-ECO_DATA'!B:V,18,FALSE))),"")</f>
        <v/>
      </c>
      <c r="N752" s="9" t="str">
        <f>IFERROR((IF(VLOOKUP(A752,'ECN-ECO_DATA'!B:V,19,FALSE)=0/1/1900,"",VLOOKUP(A752,'ECN-ECO_DATA'!B:V,19,FALSE))),"")</f>
        <v/>
      </c>
      <c r="O752" s="9" t="str">
        <f>IFERROR((IF(VLOOKUP(A752,'ECN-ECO_DATA'!B:V,20,FALSE)=0/1/1900,"",VLOOKUP(A752,'ECN-ECO_DATA'!B:V,20,FALSE))),"")</f>
        <v/>
      </c>
      <c r="P752" s="9" t="str">
        <f>IFERROR((IF(VLOOKUP(A752,'ECN-ECO_DATA'!B:V,21,FALSE)=0/1/1900,"",VLOOKUP(A752,'ECN-ECO_DATA'!B:V,21,FALSE))),"")</f>
        <v/>
      </c>
      <c r="Q752" s="10" t="str">
        <f t="shared" ca="1" si="55"/>
        <v/>
      </c>
      <c r="R752" s="4" t="str">
        <f t="shared" si="56"/>
        <v/>
      </c>
      <c r="S752" s="4" t="str">
        <f t="shared" si="57"/>
        <v/>
      </c>
      <c r="T752" s="4" t="str">
        <f t="shared" si="58"/>
        <v/>
      </c>
      <c r="U752" s="10" t="str">
        <f t="shared" si="59"/>
        <v/>
      </c>
      <c r="V752" s="4"/>
    </row>
    <row r="753" spans="2:22" x14ac:dyDescent="0.25">
      <c r="B753" s="4" t="str">
        <f>IFERROR(VLOOKUP(A753,'ECN-ECO_DATA'!B:G,4,FALSE),"")</f>
        <v/>
      </c>
      <c r="C753" s="9" t="str">
        <f>IFERROR(VLOOKUP(A753,'ECN-ECO_DATA'!B:G,5,FALSE),"")</f>
        <v/>
      </c>
      <c r="D753" s="9" t="str">
        <f ca="1">IFERROR((IF(VLOOKUP(A753,'ECN-ECO_DATA'!B:G,6,FALSE)=0/1/1900,TODAY(),VLOOKUP(A753,'ECN-ECO_DATA'!B:G,6,FALSE))),"")</f>
        <v/>
      </c>
      <c r="E753" s="9" t="str">
        <f>IFERROR((IF(VLOOKUP(A753,'ECN-ECO_DATA'!B:G,6,FALSE)=0/1/1900,"",VLOOKUP(A753,'ECN-ECO_DATA'!B:G,6,FALSE))),"")</f>
        <v/>
      </c>
      <c r="F753" s="9" t="str">
        <f>IFERROR((IF(VLOOKUP(A753,'ECN-ECO_DATA'!B:J,7,FALSE)=0/1/1900,"",VLOOKUP(A753,'ECN-ECO_DATA'!B:J,7,FALSE))),"")</f>
        <v/>
      </c>
      <c r="G753" s="9" t="str">
        <f>IFERROR((IF(VLOOKUP(A753,'ECN-ECO_DATA'!B:J,8,FALSE)=0/1/1900,"",VLOOKUP(A753,'ECN-ECO_DATA'!B:J,8,FALSE))),"")</f>
        <v/>
      </c>
      <c r="H753" s="9" t="str">
        <f>IFERROR((IF(VLOOKUP(A753,'ECN-ECO_DATA'!B:J,9,FALSE)=0/1/1900,"",VLOOKUP(A753,'ECN-ECO_DATA'!B:J,9,FALSE))),"")</f>
        <v/>
      </c>
      <c r="I753" s="10" t="str">
        <f>IFERROR((IF(VLOOKUP(A753,'ECN-ECO_DATA'!B:Q,13,FALSE)="","",VLOOKUP(A753,'ECN-ECO_DATA'!B:Q,13,FALSE))),"")</f>
        <v/>
      </c>
      <c r="J753" s="10" t="str">
        <f>IFERROR((IF(VLOOKUP(A753,'ECN-ECO_DATA'!B:Q,14,FALSE)="","",VLOOKUP(A753,'ECN-ECO_DATA'!B:Q,14,FALSE))),"")</f>
        <v/>
      </c>
      <c r="K753" s="10" t="str">
        <f>IFERROR((IF(VLOOKUP(A753,'ECN-ECO_DATA'!B:Q,15,FALSE)="","",VLOOKUP(A753,'ECN-ECO_DATA'!B:Q,15,FALSE))),"")</f>
        <v/>
      </c>
      <c r="L753" s="10" t="str">
        <f>IFERROR((IF(VLOOKUP(A753,'ECN-ECO_DATA'!B:Q,16,FALSE)="","",VLOOKUP(A753,'ECN-ECO_DATA'!B:Q,16,FALSE))),"")</f>
        <v/>
      </c>
      <c r="M753" s="9" t="str">
        <f>IFERROR((IF(VLOOKUP(A753,'ECN-ECO_DATA'!B:V,18,FALSE)=0/1/1900,"",VLOOKUP(A753,'ECN-ECO_DATA'!B:V,18,FALSE))),"")</f>
        <v/>
      </c>
      <c r="N753" s="9" t="str">
        <f>IFERROR((IF(VLOOKUP(A753,'ECN-ECO_DATA'!B:V,19,FALSE)=0/1/1900,"",VLOOKUP(A753,'ECN-ECO_DATA'!B:V,19,FALSE))),"")</f>
        <v/>
      </c>
      <c r="O753" s="9" t="str">
        <f>IFERROR((IF(VLOOKUP(A753,'ECN-ECO_DATA'!B:V,20,FALSE)=0/1/1900,"",VLOOKUP(A753,'ECN-ECO_DATA'!B:V,20,FALSE))),"")</f>
        <v/>
      </c>
      <c r="P753" s="9" t="str">
        <f>IFERROR((IF(VLOOKUP(A753,'ECN-ECO_DATA'!B:V,21,FALSE)=0/1/1900,"",VLOOKUP(A753,'ECN-ECO_DATA'!B:V,21,FALSE))),"")</f>
        <v/>
      </c>
      <c r="Q753" s="10" t="str">
        <f t="shared" ca="1" si="55"/>
        <v/>
      </c>
      <c r="R753" s="4" t="str">
        <f t="shared" si="56"/>
        <v/>
      </c>
      <c r="S753" s="4" t="str">
        <f t="shared" si="57"/>
        <v/>
      </c>
      <c r="T753" s="4" t="str">
        <f t="shared" si="58"/>
        <v/>
      </c>
      <c r="U753" s="10" t="str">
        <f t="shared" si="59"/>
        <v/>
      </c>
      <c r="V753" s="4"/>
    </row>
    <row r="754" spans="2:22" x14ac:dyDescent="0.25">
      <c r="B754" s="4" t="str">
        <f>IFERROR(VLOOKUP(A754,'ECN-ECO_DATA'!B:G,4,FALSE),"")</f>
        <v/>
      </c>
      <c r="C754" s="9" t="str">
        <f>IFERROR(VLOOKUP(A754,'ECN-ECO_DATA'!B:G,5,FALSE),"")</f>
        <v/>
      </c>
      <c r="D754" s="9" t="str">
        <f ca="1">IFERROR((IF(VLOOKUP(A754,'ECN-ECO_DATA'!B:G,6,FALSE)=0/1/1900,TODAY(),VLOOKUP(A754,'ECN-ECO_DATA'!B:G,6,FALSE))),"")</f>
        <v/>
      </c>
      <c r="E754" s="9" t="str">
        <f>IFERROR((IF(VLOOKUP(A754,'ECN-ECO_DATA'!B:G,6,FALSE)=0/1/1900,"",VLOOKUP(A754,'ECN-ECO_DATA'!B:G,6,FALSE))),"")</f>
        <v/>
      </c>
      <c r="F754" s="9" t="str">
        <f>IFERROR((IF(VLOOKUP(A754,'ECN-ECO_DATA'!B:J,7,FALSE)=0/1/1900,"",VLOOKUP(A754,'ECN-ECO_DATA'!B:J,7,FALSE))),"")</f>
        <v/>
      </c>
      <c r="G754" s="9" t="str">
        <f>IFERROR((IF(VLOOKUP(A754,'ECN-ECO_DATA'!B:J,8,FALSE)=0/1/1900,"",VLOOKUP(A754,'ECN-ECO_DATA'!B:J,8,FALSE))),"")</f>
        <v/>
      </c>
      <c r="H754" s="9" t="str">
        <f>IFERROR((IF(VLOOKUP(A754,'ECN-ECO_DATA'!B:J,9,FALSE)=0/1/1900,"",VLOOKUP(A754,'ECN-ECO_DATA'!B:J,9,FALSE))),"")</f>
        <v/>
      </c>
      <c r="I754" s="10" t="str">
        <f>IFERROR((IF(VLOOKUP(A754,'ECN-ECO_DATA'!B:Q,13,FALSE)="","",VLOOKUP(A754,'ECN-ECO_DATA'!B:Q,13,FALSE))),"")</f>
        <v/>
      </c>
      <c r="J754" s="10" t="str">
        <f>IFERROR((IF(VLOOKUP(A754,'ECN-ECO_DATA'!B:Q,14,FALSE)="","",VLOOKUP(A754,'ECN-ECO_DATA'!B:Q,14,FALSE))),"")</f>
        <v/>
      </c>
      <c r="K754" s="10" t="str">
        <f>IFERROR((IF(VLOOKUP(A754,'ECN-ECO_DATA'!B:Q,15,FALSE)="","",VLOOKUP(A754,'ECN-ECO_DATA'!B:Q,15,FALSE))),"")</f>
        <v/>
      </c>
      <c r="L754" s="10" t="str">
        <f>IFERROR((IF(VLOOKUP(A754,'ECN-ECO_DATA'!B:Q,16,FALSE)="","",VLOOKUP(A754,'ECN-ECO_DATA'!B:Q,16,FALSE))),"")</f>
        <v/>
      </c>
      <c r="M754" s="9" t="str">
        <f>IFERROR((IF(VLOOKUP(A754,'ECN-ECO_DATA'!B:V,18,FALSE)=0/1/1900,"",VLOOKUP(A754,'ECN-ECO_DATA'!B:V,18,FALSE))),"")</f>
        <v/>
      </c>
      <c r="N754" s="9" t="str">
        <f>IFERROR((IF(VLOOKUP(A754,'ECN-ECO_DATA'!B:V,19,FALSE)=0/1/1900,"",VLOOKUP(A754,'ECN-ECO_DATA'!B:V,19,FALSE))),"")</f>
        <v/>
      </c>
      <c r="O754" s="9" t="str">
        <f>IFERROR((IF(VLOOKUP(A754,'ECN-ECO_DATA'!B:V,20,FALSE)=0/1/1900,"",VLOOKUP(A754,'ECN-ECO_DATA'!B:V,20,FALSE))),"")</f>
        <v/>
      </c>
      <c r="P754" s="9" t="str">
        <f>IFERROR((IF(VLOOKUP(A754,'ECN-ECO_DATA'!B:V,21,FALSE)=0/1/1900,"",VLOOKUP(A754,'ECN-ECO_DATA'!B:V,21,FALSE))),"")</f>
        <v/>
      </c>
      <c r="Q754" s="10" t="str">
        <f t="shared" ca="1" si="55"/>
        <v/>
      </c>
      <c r="R754" s="4" t="str">
        <f t="shared" si="56"/>
        <v/>
      </c>
      <c r="S754" s="4" t="str">
        <f t="shared" si="57"/>
        <v/>
      </c>
      <c r="T754" s="4" t="str">
        <f t="shared" si="58"/>
        <v/>
      </c>
      <c r="U754" s="10" t="str">
        <f t="shared" si="59"/>
        <v/>
      </c>
      <c r="V754" s="4"/>
    </row>
    <row r="755" spans="2:22" x14ac:dyDescent="0.25">
      <c r="B755" s="4" t="str">
        <f>IFERROR(VLOOKUP(A755,'ECN-ECO_DATA'!B:G,4,FALSE),"")</f>
        <v/>
      </c>
      <c r="C755" s="9" t="str">
        <f>IFERROR(VLOOKUP(A755,'ECN-ECO_DATA'!B:G,5,FALSE),"")</f>
        <v/>
      </c>
      <c r="D755" s="9" t="str">
        <f ca="1">IFERROR((IF(VLOOKUP(A755,'ECN-ECO_DATA'!B:G,6,FALSE)=0/1/1900,TODAY(),VLOOKUP(A755,'ECN-ECO_DATA'!B:G,6,FALSE))),"")</f>
        <v/>
      </c>
      <c r="E755" s="9" t="str">
        <f>IFERROR((IF(VLOOKUP(A755,'ECN-ECO_DATA'!B:G,6,FALSE)=0/1/1900,"",VLOOKUP(A755,'ECN-ECO_DATA'!B:G,6,FALSE))),"")</f>
        <v/>
      </c>
      <c r="F755" s="9" t="str">
        <f>IFERROR((IF(VLOOKUP(A755,'ECN-ECO_DATA'!B:J,7,FALSE)=0/1/1900,"",VLOOKUP(A755,'ECN-ECO_DATA'!B:J,7,FALSE))),"")</f>
        <v/>
      </c>
      <c r="G755" s="9" t="str">
        <f>IFERROR((IF(VLOOKUP(A755,'ECN-ECO_DATA'!B:J,8,FALSE)=0/1/1900,"",VLOOKUP(A755,'ECN-ECO_DATA'!B:J,8,FALSE))),"")</f>
        <v/>
      </c>
      <c r="H755" s="9" t="str">
        <f>IFERROR((IF(VLOOKUP(A755,'ECN-ECO_DATA'!B:J,9,FALSE)=0/1/1900,"",VLOOKUP(A755,'ECN-ECO_DATA'!B:J,9,FALSE))),"")</f>
        <v/>
      </c>
      <c r="I755" s="10" t="str">
        <f>IFERROR((IF(VLOOKUP(A755,'ECN-ECO_DATA'!B:Q,13,FALSE)="","",VLOOKUP(A755,'ECN-ECO_DATA'!B:Q,13,FALSE))),"")</f>
        <v/>
      </c>
      <c r="J755" s="10" t="str">
        <f>IFERROR((IF(VLOOKUP(A755,'ECN-ECO_DATA'!B:Q,14,FALSE)="","",VLOOKUP(A755,'ECN-ECO_DATA'!B:Q,14,FALSE))),"")</f>
        <v/>
      </c>
      <c r="K755" s="10" t="str">
        <f>IFERROR((IF(VLOOKUP(A755,'ECN-ECO_DATA'!B:Q,15,FALSE)="","",VLOOKUP(A755,'ECN-ECO_DATA'!B:Q,15,FALSE))),"")</f>
        <v/>
      </c>
      <c r="L755" s="10" t="str">
        <f>IFERROR((IF(VLOOKUP(A755,'ECN-ECO_DATA'!B:Q,16,FALSE)="","",VLOOKUP(A755,'ECN-ECO_DATA'!B:Q,16,FALSE))),"")</f>
        <v/>
      </c>
      <c r="M755" s="9" t="str">
        <f>IFERROR((IF(VLOOKUP(A755,'ECN-ECO_DATA'!B:V,18,FALSE)=0/1/1900,"",VLOOKUP(A755,'ECN-ECO_DATA'!B:V,18,FALSE))),"")</f>
        <v/>
      </c>
      <c r="N755" s="9" t="str">
        <f>IFERROR((IF(VLOOKUP(A755,'ECN-ECO_DATA'!B:V,19,FALSE)=0/1/1900,"",VLOOKUP(A755,'ECN-ECO_DATA'!B:V,19,FALSE))),"")</f>
        <v/>
      </c>
      <c r="O755" s="9" t="str">
        <f>IFERROR((IF(VLOOKUP(A755,'ECN-ECO_DATA'!B:V,20,FALSE)=0/1/1900,"",VLOOKUP(A755,'ECN-ECO_DATA'!B:V,20,FALSE))),"")</f>
        <v/>
      </c>
      <c r="P755" s="9" t="str">
        <f>IFERROR((IF(VLOOKUP(A755,'ECN-ECO_DATA'!B:V,21,FALSE)=0/1/1900,"",VLOOKUP(A755,'ECN-ECO_DATA'!B:V,21,FALSE))),"")</f>
        <v/>
      </c>
      <c r="Q755" s="10" t="str">
        <f t="shared" ca="1" si="55"/>
        <v/>
      </c>
      <c r="R755" s="4" t="str">
        <f t="shared" si="56"/>
        <v/>
      </c>
      <c r="S755" s="4" t="str">
        <f t="shared" si="57"/>
        <v/>
      </c>
      <c r="T755" s="4" t="str">
        <f t="shared" si="58"/>
        <v/>
      </c>
      <c r="U755" s="10" t="str">
        <f t="shared" si="59"/>
        <v/>
      </c>
      <c r="V755" s="4"/>
    </row>
    <row r="756" spans="2:22" x14ac:dyDescent="0.25">
      <c r="B756" s="4" t="str">
        <f>IFERROR(VLOOKUP(A756,'ECN-ECO_DATA'!B:G,4,FALSE),"")</f>
        <v/>
      </c>
      <c r="C756" s="9" t="str">
        <f>IFERROR(VLOOKUP(A756,'ECN-ECO_DATA'!B:G,5,FALSE),"")</f>
        <v/>
      </c>
      <c r="D756" s="9" t="str">
        <f ca="1">IFERROR((IF(VLOOKUP(A756,'ECN-ECO_DATA'!B:G,6,FALSE)=0/1/1900,TODAY(),VLOOKUP(A756,'ECN-ECO_DATA'!B:G,6,FALSE))),"")</f>
        <v/>
      </c>
      <c r="E756" s="9" t="str">
        <f>IFERROR((IF(VLOOKUP(A756,'ECN-ECO_DATA'!B:G,6,FALSE)=0/1/1900,"",VLOOKUP(A756,'ECN-ECO_DATA'!B:G,6,FALSE))),"")</f>
        <v/>
      </c>
      <c r="F756" s="9" t="str">
        <f>IFERROR((IF(VLOOKUP(A756,'ECN-ECO_DATA'!B:J,7,FALSE)=0/1/1900,"",VLOOKUP(A756,'ECN-ECO_DATA'!B:J,7,FALSE))),"")</f>
        <v/>
      </c>
      <c r="G756" s="9" t="str">
        <f>IFERROR((IF(VLOOKUP(A756,'ECN-ECO_DATA'!B:J,8,FALSE)=0/1/1900,"",VLOOKUP(A756,'ECN-ECO_DATA'!B:J,8,FALSE))),"")</f>
        <v/>
      </c>
      <c r="H756" s="9" t="str">
        <f>IFERROR((IF(VLOOKUP(A756,'ECN-ECO_DATA'!B:J,9,FALSE)=0/1/1900,"",VLOOKUP(A756,'ECN-ECO_DATA'!B:J,9,FALSE))),"")</f>
        <v/>
      </c>
      <c r="I756" s="10" t="str">
        <f>IFERROR((IF(VLOOKUP(A756,'ECN-ECO_DATA'!B:Q,13,FALSE)="","",VLOOKUP(A756,'ECN-ECO_DATA'!B:Q,13,FALSE))),"")</f>
        <v/>
      </c>
      <c r="J756" s="10" t="str">
        <f>IFERROR((IF(VLOOKUP(A756,'ECN-ECO_DATA'!B:Q,14,FALSE)="","",VLOOKUP(A756,'ECN-ECO_DATA'!B:Q,14,FALSE))),"")</f>
        <v/>
      </c>
      <c r="K756" s="10" t="str">
        <f>IFERROR((IF(VLOOKUP(A756,'ECN-ECO_DATA'!B:Q,15,FALSE)="","",VLOOKUP(A756,'ECN-ECO_DATA'!B:Q,15,FALSE))),"")</f>
        <v/>
      </c>
      <c r="L756" s="10" t="str">
        <f>IFERROR((IF(VLOOKUP(A756,'ECN-ECO_DATA'!B:Q,16,FALSE)="","",VLOOKUP(A756,'ECN-ECO_DATA'!B:Q,16,FALSE))),"")</f>
        <v/>
      </c>
      <c r="M756" s="9" t="str">
        <f>IFERROR((IF(VLOOKUP(A756,'ECN-ECO_DATA'!B:V,18,FALSE)=0/1/1900,"",VLOOKUP(A756,'ECN-ECO_DATA'!B:V,18,FALSE))),"")</f>
        <v/>
      </c>
      <c r="N756" s="9" t="str">
        <f>IFERROR((IF(VLOOKUP(A756,'ECN-ECO_DATA'!B:V,19,FALSE)=0/1/1900,"",VLOOKUP(A756,'ECN-ECO_DATA'!B:V,19,FALSE))),"")</f>
        <v/>
      </c>
      <c r="O756" s="9" t="str">
        <f>IFERROR((IF(VLOOKUP(A756,'ECN-ECO_DATA'!B:V,20,FALSE)=0/1/1900,"",VLOOKUP(A756,'ECN-ECO_DATA'!B:V,20,FALSE))),"")</f>
        <v/>
      </c>
      <c r="P756" s="9" t="str">
        <f>IFERROR((IF(VLOOKUP(A756,'ECN-ECO_DATA'!B:V,21,FALSE)=0/1/1900,"",VLOOKUP(A756,'ECN-ECO_DATA'!B:V,21,FALSE))),"")</f>
        <v/>
      </c>
      <c r="Q756" s="10" t="str">
        <f t="shared" ca="1" si="55"/>
        <v/>
      </c>
      <c r="R756" s="4" t="str">
        <f t="shared" si="56"/>
        <v/>
      </c>
      <c r="S756" s="4" t="str">
        <f t="shared" si="57"/>
        <v/>
      </c>
      <c r="T756" s="4" t="str">
        <f t="shared" si="58"/>
        <v/>
      </c>
      <c r="U756" s="10" t="str">
        <f t="shared" si="59"/>
        <v/>
      </c>
      <c r="V756" s="4"/>
    </row>
    <row r="757" spans="2:22" x14ac:dyDescent="0.25">
      <c r="B757" s="4" t="str">
        <f>IFERROR(VLOOKUP(A757,'ECN-ECO_DATA'!B:G,4,FALSE),"")</f>
        <v/>
      </c>
      <c r="C757" s="9" t="str">
        <f>IFERROR(VLOOKUP(A757,'ECN-ECO_DATA'!B:G,5,FALSE),"")</f>
        <v/>
      </c>
      <c r="D757" s="9" t="str">
        <f ca="1">IFERROR((IF(VLOOKUP(A757,'ECN-ECO_DATA'!B:G,6,FALSE)=0/1/1900,TODAY(),VLOOKUP(A757,'ECN-ECO_DATA'!B:G,6,FALSE))),"")</f>
        <v/>
      </c>
      <c r="E757" s="9" t="str">
        <f>IFERROR((IF(VLOOKUP(A757,'ECN-ECO_DATA'!B:G,6,FALSE)=0/1/1900,"",VLOOKUP(A757,'ECN-ECO_DATA'!B:G,6,FALSE))),"")</f>
        <v/>
      </c>
      <c r="F757" s="9" t="str">
        <f>IFERROR((IF(VLOOKUP(A757,'ECN-ECO_DATA'!B:J,7,FALSE)=0/1/1900,"",VLOOKUP(A757,'ECN-ECO_DATA'!B:J,7,FALSE))),"")</f>
        <v/>
      </c>
      <c r="G757" s="9" t="str">
        <f>IFERROR((IF(VLOOKUP(A757,'ECN-ECO_DATA'!B:J,8,FALSE)=0/1/1900,"",VLOOKUP(A757,'ECN-ECO_DATA'!B:J,8,FALSE))),"")</f>
        <v/>
      </c>
      <c r="H757" s="9" t="str">
        <f>IFERROR((IF(VLOOKUP(A757,'ECN-ECO_DATA'!B:J,9,FALSE)=0/1/1900,"",VLOOKUP(A757,'ECN-ECO_DATA'!B:J,9,FALSE))),"")</f>
        <v/>
      </c>
      <c r="I757" s="10" t="str">
        <f>IFERROR((IF(VLOOKUP(A757,'ECN-ECO_DATA'!B:Q,13,FALSE)="","",VLOOKUP(A757,'ECN-ECO_DATA'!B:Q,13,FALSE))),"")</f>
        <v/>
      </c>
      <c r="J757" s="10" t="str">
        <f>IFERROR((IF(VLOOKUP(A757,'ECN-ECO_DATA'!B:Q,14,FALSE)="","",VLOOKUP(A757,'ECN-ECO_DATA'!B:Q,14,FALSE))),"")</f>
        <v/>
      </c>
      <c r="K757" s="10" t="str">
        <f>IFERROR((IF(VLOOKUP(A757,'ECN-ECO_DATA'!B:Q,15,FALSE)="","",VLOOKUP(A757,'ECN-ECO_DATA'!B:Q,15,FALSE))),"")</f>
        <v/>
      </c>
      <c r="L757" s="10" t="str">
        <f>IFERROR((IF(VLOOKUP(A757,'ECN-ECO_DATA'!B:Q,16,FALSE)="","",VLOOKUP(A757,'ECN-ECO_DATA'!B:Q,16,FALSE))),"")</f>
        <v/>
      </c>
      <c r="M757" s="9" t="str">
        <f>IFERROR((IF(VLOOKUP(A757,'ECN-ECO_DATA'!B:V,18,FALSE)=0/1/1900,"",VLOOKUP(A757,'ECN-ECO_DATA'!B:V,18,FALSE))),"")</f>
        <v/>
      </c>
      <c r="N757" s="9" t="str">
        <f>IFERROR((IF(VLOOKUP(A757,'ECN-ECO_DATA'!B:V,19,FALSE)=0/1/1900,"",VLOOKUP(A757,'ECN-ECO_DATA'!B:V,19,FALSE))),"")</f>
        <v/>
      </c>
      <c r="O757" s="9" t="str">
        <f>IFERROR((IF(VLOOKUP(A757,'ECN-ECO_DATA'!B:V,20,FALSE)=0/1/1900,"",VLOOKUP(A757,'ECN-ECO_DATA'!B:V,20,FALSE))),"")</f>
        <v/>
      </c>
      <c r="P757" s="9" t="str">
        <f>IFERROR((IF(VLOOKUP(A757,'ECN-ECO_DATA'!B:V,21,FALSE)=0/1/1900,"",VLOOKUP(A757,'ECN-ECO_DATA'!B:V,21,FALSE))),"")</f>
        <v/>
      </c>
      <c r="Q757" s="10" t="str">
        <f t="shared" ca="1" si="55"/>
        <v/>
      </c>
      <c r="R757" s="4" t="str">
        <f t="shared" si="56"/>
        <v/>
      </c>
      <c r="S757" s="4" t="str">
        <f t="shared" si="57"/>
        <v/>
      </c>
      <c r="T757" s="4" t="str">
        <f t="shared" si="58"/>
        <v/>
      </c>
      <c r="U757" s="10" t="str">
        <f t="shared" si="59"/>
        <v/>
      </c>
      <c r="V757" s="4"/>
    </row>
    <row r="758" spans="2:22" x14ac:dyDescent="0.25">
      <c r="B758" s="4" t="str">
        <f>IFERROR(VLOOKUP(A758,'ECN-ECO_DATA'!B:G,4,FALSE),"")</f>
        <v/>
      </c>
      <c r="C758" s="9" t="str">
        <f>IFERROR(VLOOKUP(A758,'ECN-ECO_DATA'!B:G,5,FALSE),"")</f>
        <v/>
      </c>
      <c r="D758" s="9" t="str">
        <f ca="1">IFERROR((IF(VLOOKUP(A758,'ECN-ECO_DATA'!B:G,6,FALSE)=0/1/1900,TODAY(),VLOOKUP(A758,'ECN-ECO_DATA'!B:G,6,FALSE))),"")</f>
        <v/>
      </c>
      <c r="E758" s="9" t="str">
        <f>IFERROR((IF(VLOOKUP(A758,'ECN-ECO_DATA'!B:G,6,FALSE)=0/1/1900,"",VLOOKUP(A758,'ECN-ECO_DATA'!B:G,6,FALSE))),"")</f>
        <v/>
      </c>
      <c r="F758" s="9" t="str">
        <f>IFERROR((IF(VLOOKUP(A758,'ECN-ECO_DATA'!B:J,7,FALSE)=0/1/1900,"",VLOOKUP(A758,'ECN-ECO_DATA'!B:J,7,FALSE))),"")</f>
        <v/>
      </c>
      <c r="G758" s="9" t="str">
        <f>IFERROR((IF(VLOOKUP(A758,'ECN-ECO_DATA'!B:J,8,FALSE)=0/1/1900,"",VLOOKUP(A758,'ECN-ECO_DATA'!B:J,8,FALSE))),"")</f>
        <v/>
      </c>
      <c r="H758" s="9" t="str">
        <f>IFERROR((IF(VLOOKUP(A758,'ECN-ECO_DATA'!B:J,9,FALSE)=0/1/1900,"",VLOOKUP(A758,'ECN-ECO_DATA'!B:J,9,FALSE))),"")</f>
        <v/>
      </c>
      <c r="I758" s="10" t="str">
        <f>IFERROR((IF(VLOOKUP(A758,'ECN-ECO_DATA'!B:Q,13,FALSE)="","",VLOOKUP(A758,'ECN-ECO_DATA'!B:Q,13,FALSE))),"")</f>
        <v/>
      </c>
      <c r="J758" s="10" t="str">
        <f>IFERROR((IF(VLOOKUP(A758,'ECN-ECO_DATA'!B:Q,14,FALSE)="","",VLOOKUP(A758,'ECN-ECO_DATA'!B:Q,14,FALSE))),"")</f>
        <v/>
      </c>
      <c r="K758" s="10" t="str">
        <f>IFERROR((IF(VLOOKUP(A758,'ECN-ECO_DATA'!B:Q,15,FALSE)="","",VLOOKUP(A758,'ECN-ECO_DATA'!B:Q,15,FALSE))),"")</f>
        <v/>
      </c>
      <c r="L758" s="10" t="str">
        <f>IFERROR((IF(VLOOKUP(A758,'ECN-ECO_DATA'!B:Q,16,FALSE)="","",VLOOKUP(A758,'ECN-ECO_DATA'!B:Q,16,FALSE))),"")</f>
        <v/>
      </c>
      <c r="M758" s="9" t="str">
        <f>IFERROR((IF(VLOOKUP(A758,'ECN-ECO_DATA'!B:V,18,FALSE)=0/1/1900,"",VLOOKUP(A758,'ECN-ECO_DATA'!B:V,18,FALSE))),"")</f>
        <v/>
      </c>
      <c r="N758" s="9" t="str">
        <f>IFERROR((IF(VLOOKUP(A758,'ECN-ECO_DATA'!B:V,19,FALSE)=0/1/1900,"",VLOOKUP(A758,'ECN-ECO_DATA'!B:V,19,FALSE))),"")</f>
        <v/>
      </c>
      <c r="O758" s="9" t="str">
        <f>IFERROR((IF(VLOOKUP(A758,'ECN-ECO_DATA'!B:V,20,FALSE)=0/1/1900,"",VLOOKUP(A758,'ECN-ECO_DATA'!B:V,20,FALSE))),"")</f>
        <v/>
      </c>
      <c r="P758" s="9" t="str">
        <f>IFERROR((IF(VLOOKUP(A758,'ECN-ECO_DATA'!B:V,21,FALSE)=0/1/1900,"",VLOOKUP(A758,'ECN-ECO_DATA'!B:V,21,FALSE))),"")</f>
        <v/>
      </c>
      <c r="Q758" s="10" t="str">
        <f t="shared" ca="1" si="55"/>
        <v/>
      </c>
      <c r="R758" s="4" t="str">
        <f t="shared" si="56"/>
        <v/>
      </c>
      <c r="S758" s="4" t="str">
        <f t="shared" si="57"/>
        <v/>
      </c>
      <c r="T758" s="4" t="str">
        <f t="shared" si="58"/>
        <v/>
      </c>
      <c r="U758" s="10" t="str">
        <f t="shared" si="59"/>
        <v/>
      </c>
      <c r="V758" s="4"/>
    </row>
    <row r="759" spans="2:22" x14ac:dyDescent="0.25">
      <c r="B759" s="4" t="str">
        <f>IFERROR(VLOOKUP(A759,'ECN-ECO_DATA'!B:G,4,FALSE),"")</f>
        <v/>
      </c>
      <c r="C759" s="9" t="str">
        <f>IFERROR(VLOOKUP(A759,'ECN-ECO_DATA'!B:G,5,FALSE),"")</f>
        <v/>
      </c>
      <c r="D759" s="9" t="str">
        <f ca="1">IFERROR((IF(VLOOKUP(A759,'ECN-ECO_DATA'!B:G,6,FALSE)=0/1/1900,TODAY(),VLOOKUP(A759,'ECN-ECO_DATA'!B:G,6,FALSE))),"")</f>
        <v/>
      </c>
      <c r="E759" s="9" t="str">
        <f>IFERROR((IF(VLOOKUP(A759,'ECN-ECO_DATA'!B:G,6,FALSE)=0/1/1900,"",VLOOKUP(A759,'ECN-ECO_DATA'!B:G,6,FALSE))),"")</f>
        <v/>
      </c>
      <c r="F759" s="9" t="str">
        <f>IFERROR((IF(VLOOKUP(A759,'ECN-ECO_DATA'!B:J,7,FALSE)=0/1/1900,"",VLOOKUP(A759,'ECN-ECO_DATA'!B:J,7,FALSE))),"")</f>
        <v/>
      </c>
      <c r="G759" s="9" t="str">
        <f>IFERROR((IF(VLOOKUP(A759,'ECN-ECO_DATA'!B:J,8,FALSE)=0/1/1900,"",VLOOKUP(A759,'ECN-ECO_DATA'!B:J,8,FALSE))),"")</f>
        <v/>
      </c>
      <c r="H759" s="9" t="str">
        <f>IFERROR((IF(VLOOKUP(A759,'ECN-ECO_DATA'!B:J,9,FALSE)=0/1/1900,"",VLOOKUP(A759,'ECN-ECO_DATA'!B:J,9,FALSE))),"")</f>
        <v/>
      </c>
      <c r="I759" s="10" t="str">
        <f>IFERROR((IF(VLOOKUP(A759,'ECN-ECO_DATA'!B:Q,13,FALSE)="","",VLOOKUP(A759,'ECN-ECO_DATA'!B:Q,13,FALSE))),"")</f>
        <v/>
      </c>
      <c r="J759" s="10" t="str">
        <f>IFERROR((IF(VLOOKUP(A759,'ECN-ECO_DATA'!B:Q,14,FALSE)="","",VLOOKUP(A759,'ECN-ECO_DATA'!B:Q,14,FALSE))),"")</f>
        <v/>
      </c>
      <c r="K759" s="10" t="str">
        <f>IFERROR((IF(VLOOKUP(A759,'ECN-ECO_DATA'!B:Q,15,FALSE)="","",VLOOKUP(A759,'ECN-ECO_DATA'!B:Q,15,FALSE))),"")</f>
        <v/>
      </c>
      <c r="L759" s="10" t="str">
        <f>IFERROR((IF(VLOOKUP(A759,'ECN-ECO_DATA'!B:Q,16,FALSE)="","",VLOOKUP(A759,'ECN-ECO_DATA'!B:Q,16,FALSE))),"")</f>
        <v/>
      </c>
      <c r="M759" s="9" t="str">
        <f>IFERROR((IF(VLOOKUP(A759,'ECN-ECO_DATA'!B:V,18,FALSE)=0/1/1900,"",VLOOKUP(A759,'ECN-ECO_DATA'!B:V,18,FALSE))),"")</f>
        <v/>
      </c>
      <c r="N759" s="9" t="str">
        <f>IFERROR((IF(VLOOKUP(A759,'ECN-ECO_DATA'!B:V,19,FALSE)=0/1/1900,"",VLOOKUP(A759,'ECN-ECO_DATA'!B:V,19,FALSE))),"")</f>
        <v/>
      </c>
      <c r="O759" s="9" t="str">
        <f>IFERROR((IF(VLOOKUP(A759,'ECN-ECO_DATA'!B:V,20,FALSE)=0/1/1900,"",VLOOKUP(A759,'ECN-ECO_DATA'!B:V,20,FALSE))),"")</f>
        <v/>
      </c>
      <c r="P759" s="9" t="str">
        <f>IFERROR((IF(VLOOKUP(A759,'ECN-ECO_DATA'!B:V,21,FALSE)=0/1/1900,"",VLOOKUP(A759,'ECN-ECO_DATA'!B:V,21,FALSE))),"")</f>
        <v/>
      </c>
      <c r="Q759" s="10" t="str">
        <f t="shared" ca="1" si="55"/>
        <v/>
      </c>
      <c r="R759" s="4" t="str">
        <f t="shared" si="56"/>
        <v/>
      </c>
      <c r="S759" s="4" t="str">
        <f t="shared" si="57"/>
        <v/>
      </c>
      <c r="T759" s="4" t="str">
        <f t="shared" si="58"/>
        <v/>
      </c>
      <c r="U759" s="10" t="str">
        <f t="shared" si="59"/>
        <v/>
      </c>
      <c r="V759" s="4"/>
    </row>
    <row r="760" spans="2:22" x14ac:dyDescent="0.25">
      <c r="B760" s="4" t="str">
        <f>IFERROR(VLOOKUP(A760,'ECN-ECO_DATA'!B:G,4,FALSE),"")</f>
        <v/>
      </c>
      <c r="C760" s="9" t="str">
        <f>IFERROR(VLOOKUP(A760,'ECN-ECO_DATA'!B:G,5,FALSE),"")</f>
        <v/>
      </c>
      <c r="D760" s="9" t="str">
        <f ca="1">IFERROR((IF(VLOOKUP(A760,'ECN-ECO_DATA'!B:G,6,FALSE)=0/1/1900,TODAY(),VLOOKUP(A760,'ECN-ECO_DATA'!B:G,6,FALSE))),"")</f>
        <v/>
      </c>
      <c r="E760" s="9" t="str">
        <f>IFERROR((IF(VLOOKUP(A760,'ECN-ECO_DATA'!B:G,6,FALSE)=0/1/1900,"",VLOOKUP(A760,'ECN-ECO_DATA'!B:G,6,FALSE))),"")</f>
        <v/>
      </c>
      <c r="F760" s="9" t="str">
        <f>IFERROR((IF(VLOOKUP(A760,'ECN-ECO_DATA'!B:J,7,FALSE)=0/1/1900,"",VLOOKUP(A760,'ECN-ECO_DATA'!B:J,7,FALSE))),"")</f>
        <v/>
      </c>
      <c r="G760" s="9" t="str">
        <f>IFERROR((IF(VLOOKUP(A760,'ECN-ECO_DATA'!B:J,8,FALSE)=0/1/1900,"",VLOOKUP(A760,'ECN-ECO_DATA'!B:J,8,FALSE))),"")</f>
        <v/>
      </c>
      <c r="H760" s="9" t="str">
        <f>IFERROR((IF(VLOOKUP(A760,'ECN-ECO_DATA'!B:J,9,FALSE)=0/1/1900,"",VLOOKUP(A760,'ECN-ECO_DATA'!B:J,9,FALSE))),"")</f>
        <v/>
      </c>
      <c r="I760" s="10" t="str">
        <f>IFERROR((IF(VLOOKUP(A760,'ECN-ECO_DATA'!B:Q,13,FALSE)="","",VLOOKUP(A760,'ECN-ECO_DATA'!B:Q,13,FALSE))),"")</f>
        <v/>
      </c>
      <c r="J760" s="10" t="str">
        <f>IFERROR((IF(VLOOKUP(A760,'ECN-ECO_DATA'!B:Q,14,FALSE)="","",VLOOKUP(A760,'ECN-ECO_DATA'!B:Q,14,FALSE))),"")</f>
        <v/>
      </c>
      <c r="K760" s="10" t="str">
        <f>IFERROR((IF(VLOOKUP(A760,'ECN-ECO_DATA'!B:Q,15,FALSE)="","",VLOOKUP(A760,'ECN-ECO_DATA'!B:Q,15,FALSE))),"")</f>
        <v/>
      </c>
      <c r="L760" s="10" t="str">
        <f>IFERROR((IF(VLOOKUP(A760,'ECN-ECO_DATA'!B:Q,16,FALSE)="","",VLOOKUP(A760,'ECN-ECO_DATA'!B:Q,16,FALSE))),"")</f>
        <v/>
      </c>
      <c r="M760" s="9" t="str">
        <f>IFERROR((IF(VLOOKUP(A760,'ECN-ECO_DATA'!B:V,18,FALSE)=0/1/1900,"",VLOOKUP(A760,'ECN-ECO_DATA'!B:V,18,FALSE))),"")</f>
        <v/>
      </c>
      <c r="N760" s="9" t="str">
        <f>IFERROR((IF(VLOOKUP(A760,'ECN-ECO_DATA'!B:V,19,FALSE)=0/1/1900,"",VLOOKUP(A760,'ECN-ECO_DATA'!B:V,19,FALSE))),"")</f>
        <v/>
      </c>
      <c r="O760" s="9" t="str">
        <f>IFERROR((IF(VLOOKUP(A760,'ECN-ECO_DATA'!B:V,20,FALSE)=0/1/1900,"",VLOOKUP(A760,'ECN-ECO_DATA'!B:V,20,FALSE))),"")</f>
        <v/>
      </c>
      <c r="P760" s="9" t="str">
        <f>IFERROR((IF(VLOOKUP(A760,'ECN-ECO_DATA'!B:V,21,FALSE)=0/1/1900,"",VLOOKUP(A760,'ECN-ECO_DATA'!B:V,21,FALSE))),"")</f>
        <v/>
      </c>
      <c r="Q760" s="10" t="str">
        <f t="shared" ca="1" si="55"/>
        <v/>
      </c>
      <c r="R760" s="4" t="str">
        <f t="shared" si="56"/>
        <v/>
      </c>
      <c r="S760" s="4" t="str">
        <f t="shared" si="57"/>
        <v/>
      </c>
      <c r="T760" s="4" t="str">
        <f t="shared" si="58"/>
        <v/>
      </c>
      <c r="U760" s="10" t="str">
        <f t="shared" si="59"/>
        <v/>
      </c>
      <c r="V760" s="4"/>
    </row>
    <row r="761" spans="2:22" x14ac:dyDescent="0.25">
      <c r="B761" s="4" t="str">
        <f>IFERROR(VLOOKUP(A761,'ECN-ECO_DATA'!B:G,4,FALSE),"")</f>
        <v/>
      </c>
      <c r="C761" s="9" t="str">
        <f>IFERROR(VLOOKUP(A761,'ECN-ECO_DATA'!B:G,5,FALSE),"")</f>
        <v/>
      </c>
      <c r="D761" s="9" t="str">
        <f ca="1">IFERROR((IF(VLOOKUP(A761,'ECN-ECO_DATA'!B:G,6,FALSE)=0/1/1900,TODAY(),VLOOKUP(A761,'ECN-ECO_DATA'!B:G,6,FALSE))),"")</f>
        <v/>
      </c>
      <c r="E761" s="9" t="str">
        <f>IFERROR((IF(VLOOKUP(A761,'ECN-ECO_DATA'!B:G,6,FALSE)=0/1/1900,"",VLOOKUP(A761,'ECN-ECO_DATA'!B:G,6,FALSE))),"")</f>
        <v/>
      </c>
      <c r="F761" s="9" t="str">
        <f>IFERROR((IF(VLOOKUP(A761,'ECN-ECO_DATA'!B:J,7,FALSE)=0/1/1900,"",VLOOKUP(A761,'ECN-ECO_DATA'!B:J,7,FALSE))),"")</f>
        <v/>
      </c>
      <c r="G761" s="9" t="str">
        <f>IFERROR((IF(VLOOKUP(A761,'ECN-ECO_DATA'!B:J,8,FALSE)=0/1/1900,"",VLOOKUP(A761,'ECN-ECO_DATA'!B:J,8,FALSE))),"")</f>
        <v/>
      </c>
      <c r="H761" s="9" t="str">
        <f>IFERROR((IF(VLOOKUP(A761,'ECN-ECO_DATA'!B:J,9,FALSE)=0/1/1900,"",VLOOKUP(A761,'ECN-ECO_DATA'!B:J,9,FALSE))),"")</f>
        <v/>
      </c>
      <c r="I761" s="10" t="str">
        <f>IFERROR((IF(VLOOKUP(A761,'ECN-ECO_DATA'!B:Q,13,FALSE)="","",VLOOKUP(A761,'ECN-ECO_DATA'!B:Q,13,FALSE))),"")</f>
        <v/>
      </c>
      <c r="J761" s="10" t="str">
        <f>IFERROR((IF(VLOOKUP(A761,'ECN-ECO_DATA'!B:Q,14,FALSE)="","",VLOOKUP(A761,'ECN-ECO_DATA'!B:Q,14,FALSE))),"")</f>
        <v/>
      </c>
      <c r="K761" s="10" t="str">
        <f>IFERROR((IF(VLOOKUP(A761,'ECN-ECO_DATA'!B:Q,15,FALSE)="","",VLOOKUP(A761,'ECN-ECO_DATA'!B:Q,15,FALSE))),"")</f>
        <v/>
      </c>
      <c r="L761" s="10" t="str">
        <f>IFERROR((IF(VLOOKUP(A761,'ECN-ECO_DATA'!B:Q,16,FALSE)="","",VLOOKUP(A761,'ECN-ECO_DATA'!B:Q,16,FALSE))),"")</f>
        <v/>
      </c>
      <c r="M761" s="9" t="str">
        <f>IFERROR((IF(VLOOKUP(A761,'ECN-ECO_DATA'!B:V,18,FALSE)=0/1/1900,"",VLOOKUP(A761,'ECN-ECO_DATA'!B:V,18,FALSE))),"")</f>
        <v/>
      </c>
      <c r="N761" s="9" t="str">
        <f>IFERROR((IF(VLOOKUP(A761,'ECN-ECO_DATA'!B:V,19,FALSE)=0/1/1900,"",VLOOKUP(A761,'ECN-ECO_DATA'!B:V,19,FALSE))),"")</f>
        <v/>
      </c>
      <c r="O761" s="9" t="str">
        <f>IFERROR((IF(VLOOKUP(A761,'ECN-ECO_DATA'!B:V,20,FALSE)=0/1/1900,"",VLOOKUP(A761,'ECN-ECO_DATA'!B:V,20,FALSE))),"")</f>
        <v/>
      </c>
      <c r="P761" s="9" t="str">
        <f>IFERROR((IF(VLOOKUP(A761,'ECN-ECO_DATA'!B:V,21,FALSE)=0/1/1900,"",VLOOKUP(A761,'ECN-ECO_DATA'!B:V,21,FALSE))),"")</f>
        <v/>
      </c>
      <c r="Q761" s="10" t="str">
        <f t="shared" ca="1" si="55"/>
        <v/>
      </c>
      <c r="R761" s="4" t="str">
        <f t="shared" si="56"/>
        <v/>
      </c>
      <c r="S761" s="4" t="str">
        <f t="shared" si="57"/>
        <v/>
      </c>
      <c r="T761" s="4" t="str">
        <f t="shared" si="58"/>
        <v/>
      </c>
      <c r="U761" s="10" t="str">
        <f t="shared" si="59"/>
        <v/>
      </c>
      <c r="V761" s="4"/>
    </row>
    <row r="762" spans="2:22" x14ac:dyDescent="0.25">
      <c r="B762" s="4" t="str">
        <f>IFERROR(VLOOKUP(A762,'ECN-ECO_DATA'!B:G,4,FALSE),"")</f>
        <v/>
      </c>
      <c r="C762" s="9" t="str">
        <f>IFERROR(VLOOKUP(A762,'ECN-ECO_DATA'!B:G,5,FALSE),"")</f>
        <v/>
      </c>
      <c r="D762" s="9" t="str">
        <f ca="1">IFERROR((IF(VLOOKUP(A762,'ECN-ECO_DATA'!B:G,6,FALSE)=0/1/1900,TODAY(),VLOOKUP(A762,'ECN-ECO_DATA'!B:G,6,FALSE))),"")</f>
        <v/>
      </c>
      <c r="E762" s="9" t="str">
        <f>IFERROR((IF(VLOOKUP(A762,'ECN-ECO_DATA'!B:G,6,FALSE)=0/1/1900,"",VLOOKUP(A762,'ECN-ECO_DATA'!B:G,6,FALSE))),"")</f>
        <v/>
      </c>
      <c r="F762" s="9" t="str">
        <f>IFERROR((IF(VLOOKUP(A762,'ECN-ECO_DATA'!B:J,7,FALSE)=0/1/1900,"",VLOOKUP(A762,'ECN-ECO_DATA'!B:J,7,FALSE))),"")</f>
        <v/>
      </c>
      <c r="G762" s="9" t="str">
        <f>IFERROR((IF(VLOOKUP(A762,'ECN-ECO_DATA'!B:J,8,FALSE)=0/1/1900,"",VLOOKUP(A762,'ECN-ECO_DATA'!B:J,8,FALSE))),"")</f>
        <v/>
      </c>
      <c r="H762" s="9" t="str">
        <f>IFERROR((IF(VLOOKUP(A762,'ECN-ECO_DATA'!B:J,9,FALSE)=0/1/1900,"",VLOOKUP(A762,'ECN-ECO_DATA'!B:J,9,FALSE))),"")</f>
        <v/>
      </c>
      <c r="I762" s="10" t="str">
        <f>IFERROR((IF(VLOOKUP(A762,'ECN-ECO_DATA'!B:Q,13,FALSE)="","",VLOOKUP(A762,'ECN-ECO_DATA'!B:Q,13,FALSE))),"")</f>
        <v/>
      </c>
      <c r="J762" s="10" t="str">
        <f>IFERROR((IF(VLOOKUP(A762,'ECN-ECO_DATA'!B:Q,14,FALSE)="","",VLOOKUP(A762,'ECN-ECO_DATA'!B:Q,14,FALSE))),"")</f>
        <v/>
      </c>
      <c r="K762" s="10" t="str">
        <f>IFERROR((IF(VLOOKUP(A762,'ECN-ECO_DATA'!B:Q,15,FALSE)="","",VLOOKUP(A762,'ECN-ECO_DATA'!B:Q,15,FALSE))),"")</f>
        <v/>
      </c>
      <c r="L762" s="10" t="str">
        <f>IFERROR((IF(VLOOKUP(A762,'ECN-ECO_DATA'!B:Q,16,FALSE)="","",VLOOKUP(A762,'ECN-ECO_DATA'!B:Q,16,FALSE))),"")</f>
        <v/>
      </c>
      <c r="M762" s="9" t="str">
        <f>IFERROR((IF(VLOOKUP(A762,'ECN-ECO_DATA'!B:V,18,FALSE)=0/1/1900,"",VLOOKUP(A762,'ECN-ECO_DATA'!B:V,18,FALSE))),"")</f>
        <v/>
      </c>
      <c r="N762" s="9" t="str">
        <f>IFERROR((IF(VLOOKUP(A762,'ECN-ECO_DATA'!B:V,19,FALSE)=0/1/1900,"",VLOOKUP(A762,'ECN-ECO_DATA'!B:V,19,FALSE))),"")</f>
        <v/>
      </c>
      <c r="O762" s="9" t="str">
        <f>IFERROR((IF(VLOOKUP(A762,'ECN-ECO_DATA'!B:V,20,FALSE)=0/1/1900,"",VLOOKUP(A762,'ECN-ECO_DATA'!B:V,20,FALSE))),"")</f>
        <v/>
      </c>
      <c r="P762" s="9" t="str">
        <f>IFERROR((IF(VLOOKUP(A762,'ECN-ECO_DATA'!B:V,21,FALSE)=0/1/1900,"",VLOOKUP(A762,'ECN-ECO_DATA'!B:V,21,FALSE))),"")</f>
        <v/>
      </c>
      <c r="Q762" s="10" t="str">
        <f t="shared" ca="1" si="55"/>
        <v/>
      </c>
      <c r="R762" s="4" t="str">
        <f t="shared" si="56"/>
        <v/>
      </c>
      <c r="S762" s="4" t="str">
        <f t="shared" si="57"/>
        <v/>
      </c>
      <c r="T762" s="4" t="str">
        <f t="shared" si="58"/>
        <v/>
      </c>
      <c r="U762" s="10" t="str">
        <f t="shared" si="59"/>
        <v/>
      </c>
      <c r="V762" s="4"/>
    </row>
    <row r="763" spans="2:22" x14ac:dyDescent="0.25">
      <c r="B763" s="4" t="str">
        <f>IFERROR(VLOOKUP(A763,'ECN-ECO_DATA'!B:G,4,FALSE),"")</f>
        <v/>
      </c>
      <c r="C763" s="9" t="str">
        <f>IFERROR(VLOOKUP(A763,'ECN-ECO_DATA'!B:G,5,FALSE),"")</f>
        <v/>
      </c>
      <c r="D763" s="9" t="str">
        <f ca="1">IFERROR((IF(VLOOKUP(A763,'ECN-ECO_DATA'!B:G,6,FALSE)=0/1/1900,TODAY(),VLOOKUP(A763,'ECN-ECO_DATA'!B:G,6,FALSE))),"")</f>
        <v/>
      </c>
      <c r="E763" s="9" t="str">
        <f>IFERROR((IF(VLOOKUP(A763,'ECN-ECO_DATA'!B:G,6,FALSE)=0/1/1900,"",VLOOKUP(A763,'ECN-ECO_DATA'!B:G,6,FALSE))),"")</f>
        <v/>
      </c>
      <c r="F763" s="9" t="str">
        <f>IFERROR((IF(VLOOKUP(A763,'ECN-ECO_DATA'!B:J,7,FALSE)=0/1/1900,"",VLOOKUP(A763,'ECN-ECO_DATA'!B:J,7,FALSE))),"")</f>
        <v/>
      </c>
      <c r="G763" s="9" t="str">
        <f>IFERROR((IF(VLOOKUP(A763,'ECN-ECO_DATA'!B:J,8,FALSE)=0/1/1900,"",VLOOKUP(A763,'ECN-ECO_DATA'!B:J,8,FALSE))),"")</f>
        <v/>
      </c>
      <c r="H763" s="9" t="str">
        <f>IFERROR((IF(VLOOKUP(A763,'ECN-ECO_DATA'!B:J,9,FALSE)=0/1/1900,"",VLOOKUP(A763,'ECN-ECO_DATA'!B:J,9,FALSE))),"")</f>
        <v/>
      </c>
      <c r="I763" s="10" t="str">
        <f>IFERROR((IF(VLOOKUP(A763,'ECN-ECO_DATA'!B:Q,13,FALSE)="","",VLOOKUP(A763,'ECN-ECO_DATA'!B:Q,13,FALSE))),"")</f>
        <v/>
      </c>
      <c r="J763" s="10" t="str">
        <f>IFERROR((IF(VLOOKUP(A763,'ECN-ECO_DATA'!B:Q,14,FALSE)="","",VLOOKUP(A763,'ECN-ECO_DATA'!B:Q,14,FALSE))),"")</f>
        <v/>
      </c>
      <c r="K763" s="10" t="str">
        <f>IFERROR((IF(VLOOKUP(A763,'ECN-ECO_DATA'!B:Q,15,FALSE)="","",VLOOKUP(A763,'ECN-ECO_DATA'!B:Q,15,FALSE))),"")</f>
        <v/>
      </c>
      <c r="L763" s="10" t="str">
        <f>IFERROR((IF(VLOOKUP(A763,'ECN-ECO_DATA'!B:Q,16,FALSE)="","",VLOOKUP(A763,'ECN-ECO_DATA'!B:Q,16,FALSE))),"")</f>
        <v/>
      </c>
      <c r="M763" s="9" t="str">
        <f>IFERROR((IF(VLOOKUP(A763,'ECN-ECO_DATA'!B:V,18,FALSE)=0/1/1900,"",VLOOKUP(A763,'ECN-ECO_DATA'!B:V,18,FALSE))),"")</f>
        <v/>
      </c>
      <c r="N763" s="9" t="str">
        <f>IFERROR((IF(VLOOKUP(A763,'ECN-ECO_DATA'!B:V,19,FALSE)=0/1/1900,"",VLOOKUP(A763,'ECN-ECO_DATA'!B:V,19,FALSE))),"")</f>
        <v/>
      </c>
      <c r="O763" s="9" t="str">
        <f>IFERROR((IF(VLOOKUP(A763,'ECN-ECO_DATA'!B:V,20,FALSE)=0/1/1900,"",VLOOKUP(A763,'ECN-ECO_DATA'!B:V,20,FALSE))),"")</f>
        <v/>
      </c>
      <c r="P763" s="9" t="str">
        <f>IFERROR((IF(VLOOKUP(A763,'ECN-ECO_DATA'!B:V,21,FALSE)=0/1/1900,"",VLOOKUP(A763,'ECN-ECO_DATA'!B:V,21,FALSE))),"")</f>
        <v/>
      </c>
      <c r="Q763" s="10" t="str">
        <f t="shared" ca="1" si="55"/>
        <v/>
      </c>
      <c r="R763" s="4" t="str">
        <f t="shared" si="56"/>
        <v/>
      </c>
      <c r="S763" s="4" t="str">
        <f t="shared" si="57"/>
        <v/>
      </c>
      <c r="T763" s="4" t="str">
        <f t="shared" si="58"/>
        <v/>
      </c>
      <c r="U763" s="10" t="str">
        <f t="shared" si="59"/>
        <v/>
      </c>
      <c r="V763" s="4"/>
    </row>
    <row r="764" spans="2:22" x14ac:dyDescent="0.25">
      <c r="B764" s="4" t="str">
        <f>IFERROR(VLOOKUP(A764,'ECN-ECO_DATA'!B:G,4,FALSE),"")</f>
        <v/>
      </c>
      <c r="C764" s="9" t="str">
        <f>IFERROR(VLOOKUP(A764,'ECN-ECO_DATA'!B:G,5,FALSE),"")</f>
        <v/>
      </c>
      <c r="D764" s="9" t="str">
        <f ca="1">IFERROR((IF(VLOOKUP(A764,'ECN-ECO_DATA'!B:G,6,FALSE)=0/1/1900,TODAY(),VLOOKUP(A764,'ECN-ECO_DATA'!B:G,6,FALSE))),"")</f>
        <v/>
      </c>
      <c r="E764" s="9" t="str">
        <f>IFERROR((IF(VLOOKUP(A764,'ECN-ECO_DATA'!B:G,6,FALSE)=0/1/1900,"",VLOOKUP(A764,'ECN-ECO_DATA'!B:G,6,FALSE))),"")</f>
        <v/>
      </c>
      <c r="F764" s="9" t="str">
        <f>IFERROR((IF(VLOOKUP(A764,'ECN-ECO_DATA'!B:J,7,FALSE)=0/1/1900,"",VLOOKUP(A764,'ECN-ECO_DATA'!B:J,7,FALSE))),"")</f>
        <v/>
      </c>
      <c r="G764" s="9" t="str">
        <f>IFERROR((IF(VLOOKUP(A764,'ECN-ECO_DATA'!B:J,8,FALSE)=0/1/1900,"",VLOOKUP(A764,'ECN-ECO_DATA'!B:J,8,FALSE))),"")</f>
        <v/>
      </c>
      <c r="H764" s="9" t="str">
        <f>IFERROR((IF(VLOOKUP(A764,'ECN-ECO_DATA'!B:J,9,FALSE)=0/1/1900,"",VLOOKUP(A764,'ECN-ECO_DATA'!B:J,9,FALSE))),"")</f>
        <v/>
      </c>
      <c r="I764" s="10" t="str">
        <f>IFERROR((IF(VLOOKUP(A764,'ECN-ECO_DATA'!B:Q,13,FALSE)="","",VLOOKUP(A764,'ECN-ECO_DATA'!B:Q,13,FALSE))),"")</f>
        <v/>
      </c>
      <c r="J764" s="10" t="str">
        <f>IFERROR((IF(VLOOKUP(A764,'ECN-ECO_DATA'!B:Q,14,FALSE)="","",VLOOKUP(A764,'ECN-ECO_DATA'!B:Q,14,FALSE))),"")</f>
        <v/>
      </c>
      <c r="K764" s="10" t="str">
        <f>IFERROR((IF(VLOOKUP(A764,'ECN-ECO_DATA'!B:Q,15,FALSE)="","",VLOOKUP(A764,'ECN-ECO_DATA'!B:Q,15,FALSE))),"")</f>
        <v/>
      </c>
      <c r="L764" s="10" t="str">
        <f>IFERROR((IF(VLOOKUP(A764,'ECN-ECO_DATA'!B:Q,16,FALSE)="","",VLOOKUP(A764,'ECN-ECO_DATA'!B:Q,16,FALSE))),"")</f>
        <v/>
      </c>
      <c r="M764" s="9" t="str">
        <f>IFERROR((IF(VLOOKUP(A764,'ECN-ECO_DATA'!B:V,18,FALSE)=0/1/1900,"",VLOOKUP(A764,'ECN-ECO_DATA'!B:V,18,FALSE))),"")</f>
        <v/>
      </c>
      <c r="N764" s="9" t="str">
        <f>IFERROR((IF(VLOOKUP(A764,'ECN-ECO_DATA'!B:V,19,FALSE)=0/1/1900,"",VLOOKUP(A764,'ECN-ECO_DATA'!B:V,19,FALSE))),"")</f>
        <v/>
      </c>
      <c r="O764" s="9" t="str">
        <f>IFERROR((IF(VLOOKUP(A764,'ECN-ECO_DATA'!B:V,20,FALSE)=0/1/1900,"",VLOOKUP(A764,'ECN-ECO_DATA'!B:V,20,FALSE))),"")</f>
        <v/>
      </c>
      <c r="P764" s="9" t="str">
        <f>IFERROR((IF(VLOOKUP(A764,'ECN-ECO_DATA'!B:V,21,FALSE)=0/1/1900,"",VLOOKUP(A764,'ECN-ECO_DATA'!B:V,21,FALSE))),"")</f>
        <v/>
      </c>
      <c r="Q764" s="10" t="str">
        <f t="shared" ca="1" si="55"/>
        <v/>
      </c>
      <c r="R764" s="4" t="str">
        <f t="shared" si="56"/>
        <v/>
      </c>
      <c r="S764" s="4" t="str">
        <f t="shared" si="57"/>
        <v/>
      </c>
      <c r="T764" s="4" t="str">
        <f t="shared" si="58"/>
        <v/>
      </c>
      <c r="U764" s="10" t="str">
        <f t="shared" si="59"/>
        <v/>
      </c>
      <c r="V764" s="4"/>
    </row>
    <row r="765" spans="2:22" x14ac:dyDescent="0.25">
      <c r="B765" s="4" t="str">
        <f>IFERROR(VLOOKUP(A765,'ECN-ECO_DATA'!B:G,4,FALSE),"")</f>
        <v/>
      </c>
      <c r="C765" s="9" t="str">
        <f>IFERROR(VLOOKUP(A765,'ECN-ECO_DATA'!B:G,5,FALSE),"")</f>
        <v/>
      </c>
      <c r="D765" s="9" t="str">
        <f ca="1">IFERROR((IF(VLOOKUP(A765,'ECN-ECO_DATA'!B:G,6,FALSE)=0/1/1900,TODAY(),VLOOKUP(A765,'ECN-ECO_DATA'!B:G,6,FALSE))),"")</f>
        <v/>
      </c>
      <c r="E765" s="9" t="str">
        <f>IFERROR((IF(VLOOKUP(A765,'ECN-ECO_DATA'!B:G,6,FALSE)=0/1/1900,"",VLOOKUP(A765,'ECN-ECO_DATA'!B:G,6,FALSE))),"")</f>
        <v/>
      </c>
      <c r="F765" s="9" t="str">
        <f>IFERROR((IF(VLOOKUP(A765,'ECN-ECO_DATA'!B:J,7,FALSE)=0/1/1900,"",VLOOKUP(A765,'ECN-ECO_DATA'!B:J,7,FALSE))),"")</f>
        <v/>
      </c>
      <c r="G765" s="9" t="str">
        <f>IFERROR((IF(VLOOKUP(A765,'ECN-ECO_DATA'!B:J,8,FALSE)=0/1/1900,"",VLOOKUP(A765,'ECN-ECO_DATA'!B:J,8,FALSE))),"")</f>
        <v/>
      </c>
      <c r="H765" s="9" t="str">
        <f>IFERROR((IF(VLOOKUP(A765,'ECN-ECO_DATA'!B:J,9,FALSE)=0/1/1900,"",VLOOKUP(A765,'ECN-ECO_DATA'!B:J,9,FALSE))),"")</f>
        <v/>
      </c>
      <c r="I765" s="10" t="str">
        <f>IFERROR((IF(VLOOKUP(A765,'ECN-ECO_DATA'!B:Q,13,FALSE)="","",VLOOKUP(A765,'ECN-ECO_DATA'!B:Q,13,FALSE))),"")</f>
        <v/>
      </c>
      <c r="J765" s="10" t="str">
        <f>IFERROR((IF(VLOOKUP(A765,'ECN-ECO_DATA'!B:Q,14,FALSE)="","",VLOOKUP(A765,'ECN-ECO_DATA'!B:Q,14,FALSE))),"")</f>
        <v/>
      </c>
      <c r="K765" s="10" t="str">
        <f>IFERROR((IF(VLOOKUP(A765,'ECN-ECO_DATA'!B:Q,15,FALSE)="","",VLOOKUP(A765,'ECN-ECO_DATA'!B:Q,15,FALSE))),"")</f>
        <v/>
      </c>
      <c r="L765" s="10" t="str">
        <f>IFERROR((IF(VLOOKUP(A765,'ECN-ECO_DATA'!B:Q,16,FALSE)="","",VLOOKUP(A765,'ECN-ECO_DATA'!B:Q,16,FALSE))),"")</f>
        <v/>
      </c>
      <c r="M765" s="9" t="str">
        <f>IFERROR((IF(VLOOKUP(A765,'ECN-ECO_DATA'!B:V,18,FALSE)=0/1/1900,"",VLOOKUP(A765,'ECN-ECO_DATA'!B:V,18,FALSE))),"")</f>
        <v/>
      </c>
      <c r="N765" s="9" t="str">
        <f>IFERROR((IF(VLOOKUP(A765,'ECN-ECO_DATA'!B:V,19,FALSE)=0/1/1900,"",VLOOKUP(A765,'ECN-ECO_DATA'!B:V,19,FALSE))),"")</f>
        <v/>
      </c>
      <c r="O765" s="9" t="str">
        <f>IFERROR((IF(VLOOKUP(A765,'ECN-ECO_DATA'!B:V,20,FALSE)=0/1/1900,"",VLOOKUP(A765,'ECN-ECO_DATA'!B:V,20,FALSE))),"")</f>
        <v/>
      </c>
      <c r="P765" s="9" t="str">
        <f>IFERROR((IF(VLOOKUP(A765,'ECN-ECO_DATA'!B:V,21,FALSE)=0/1/1900,"",VLOOKUP(A765,'ECN-ECO_DATA'!B:V,21,FALSE))),"")</f>
        <v/>
      </c>
      <c r="Q765" s="10" t="str">
        <f t="shared" ca="1" si="55"/>
        <v/>
      </c>
      <c r="R765" s="4" t="str">
        <f t="shared" si="56"/>
        <v/>
      </c>
      <c r="S765" s="4" t="str">
        <f t="shared" si="57"/>
        <v/>
      </c>
      <c r="T765" s="4" t="str">
        <f t="shared" si="58"/>
        <v/>
      </c>
      <c r="U765" s="10" t="str">
        <f t="shared" si="59"/>
        <v/>
      </c>
      <c r="V765" s="4"/>
    </row>
    <row r="766" spans="2:22" x14ac:dyDescent="0.25">
      <c r="B766" s="4" t="str">
        <f>IFERROR(VLOOKUP(A766,'ECN-ECO_DATA'!B:G,4,FALSE),"")</f>
        <v/>
      </c>
      <c r="C766" s="9" t="str">
        <f>IFERROR(VLOOKUP(A766,'ECN-ECO_DATA'!B:G,5,FALSE),"")</f>
        <v/>
      </c>
      <c r="D766" s="9" t="str">
        <f ca="1">IFERROR((IF(VLOOKUP(A766,'ECN-ECO_DATA'!B:G,6,FALSE)=0/1/1900,TODAY(),VLOOKUP(A766,'ECN-ECO_DATA'!B:G,6,FALSE))),"")</f>
        <v/>
      </c>
      <c r="E766" s="9" t="str">
        <f>IFERROR((IF(VLOOKUP(A766,'ECN-ECO_DATA'!B:G,6,FALSE)=0/1/1900,"",VLOOKUP(A766,'ECN-ECO_DATA'!B:G,6,FALSE))),"")</f>
        <v/>
      </c>
      <c r="F766" s="9" t="str">
        <f>IFERROR((IF(VLOOKUP(A766,'ECN-ECO_DATA'!B:J,7,FALSE)=0/1/1900,"",VLOOKUP(A766,'ECN-ECO_DATA'!B:J,7,FALSE))),"")</f>
        <v/>
      </c>
      <c r="G766" s="9" t="str">
        <f>IFERROR((IF(VLOOKUP(A766,'ECN-ECO_DATA'!B:J,8,FALSE)=0/1/1900,"",VLOOKUP(A766,'ECN-ECO_DATA'!B:J,8,FALSE))),"")</f>
        <v/>
      </c>
      <c r="H766" s="9" t="str">
        <f>IFERROR((IF(VLOOKUP(A766,'ECN-ECO_DATA'!B:J,9,FALSE)=0/1/1900,"",VLOOKUP(A766,'ECN-ECO_DATA'!B:J,9,FALSE))),"")</f>
        <v/>
      </c>
      <c r="I766" s="10" t="str">
        <f>IFERROR((IF(VLOOKUP(A766,'ECN-ECO_DATA'!B:Q,13,FALSE)="","",VLOOKUP(A766,'ECN-ECO_DATA'!B:Q,13,FALSE))),"")</f>
        <v/>
      </c>
      <c r="J766" s="10" t="str">
        <f>IFERROR((IF(VLOOKUP(A766,'ECN-ECO_DATA'!B:Q,14,FALSE)="","",VLOOKUP(A766,'ECN-ECO_DATA'!B:Q,14,FALSE))),"")</f>
        <v/>
      </c>
      <c r="K766" s="10" t="str">
        <f>IFERROR((IF(VLOOKUP(A766,'ECN-ECO_DATA'!B:Q,15,FALSE)="","",VLOOKUP(A766,'ECN-ECO_DATA'!B:Q,15,FALSE))),"")</f>
        <v/>
      </c>
      <c r="L766" s="10" t="str">
        <f>IFERROR((IF(VLOOKUP(A766,'ECN-ECO_DATA'!B:Q,16,FALSE)="","",VLOOKUP(A766,'ECN-ECO_DATA'!B:Q,16,FALSE))),"")</f>
        <v/>
      </c>
      <c r="M766" s="9" t="str">
        <f>IFERROR((IF(VLOOKUP(A766,'ECN-ECO_DATA'!B:V,18,FALSE)=0/1/1900,"",VLOOKUP(A766,'ECN-ECO_DATA'!B:V,18,FALSE))),"")</f>
        <v/>
      </c>
      <c r="N766" s="9" t="str">
        <f>IFERROR((IF(VLOOKUP(A766,'ECN-ECO_DATA'!B:V,19,FALSE)=0/1/1900,"",VLOOKUP(A766,'ECN-ECO_DATA'!B:V,19,FALSE))),"")</f>
        <v/>
      </c>
      <c r="O766" s="9" t="str">
        <f>IFERROR((IF(VLOOKUP(A766,'ECN-ECO_DATA'!B:V,20,FALSE)=0/1/1900,"",VLOOKUP(A766,'ECN-ECO_DATA'!B:V,20,FALSE))),"")</f>
        <v/>
      </c>
      <c r="P766" s="9" t="str">
        <f>IFERROR((IF(VLOOKUP(A766,'ECN-ECO_DATA'!B:V,21,FALSE)=0/1/1900,"",VLOOKUP(A766,'ECN-ECO_DATA'!B:V,21,FALSE))),"")</f>
        <v/>
      </c>
      <c r="Q766" s="10" t="str">
        <f t="shared" ca="1" si="55"/>
        <v/>
      </c>
      <c r="R766" s="4" t="str">
        <f t="shared" si="56"/>
        <v/>
      </c>
      <c r="S766" s="4" t="str">
        <f t="shared" si="57"/>
        <v/>
      </c>
      <c r="T766" s="4" t="str">
        <f t="shared" si="58"/>
        <v/>
      </c>
      <c r="U766" s="10" t="str">
        <f t="shared" si="59"/>
        <v/>
      </c>
      <c r="V766" s="4"/>
    </row>
    <row r="767" spans="2:22" x14ac:dyDescent="0.25">
      <c r="B767" s="4" t="str">
        <f>IFERROR(VLOOKUP(A767,'ECN-ECO_DATA'!B:G,4,FALSE),"")</f>
        <v/>
      </c>
      <c r="C767" s="9" t="str">
        <f>IFERROR(VLOOKUP(A767,'ECN-ECO_DATA'!B:G,5,FALSE),"")</f>
        <v/>
      </c>
      <c r="D767" s="9" t="str">
        <f ca="1">IFERROR((IF(VLOOKUP(A767,'ECN-ECO_DATA'!B:G,6,FALSE)=0/1/1900,TODAY(),VLOOKUP(A767,'ECN-ECO_DATA'!B:G,6,FALSE))),"")</f>
        <v/>
      </c>
      <c r="E767" s="9" t="str">
        <f>IFERROR((IF(VLOOKUP(A767,'ECN-ECO_DATA'!B:G,6,FALSE)=0/1/1900,"",VLOOKUP(A767,'ECN-ECO_DATA'!B:G,6,FALSE))),"")</f>
        <v/>
      </c>
      <c r="F767" s="9" t="str">
        <f>IFERROR((IF(VLOOKUP(A767,'ECN-ECO_DATA'!B:J,7,FALSE)=0/1/1900,"",VLOOKUP(A767,'ECN-ECO_DATA'!B:J,7,FALSE))),"")</f>
        <v/>
      </c>
      <c r="G767" s="9" t="str">
        <f>IFERROR((IF(VLOOKUP(A767,'ECN-ECO_DATA'!B:J,8,FALSE)=0/1/1900,"",VLOOKUP(A767,'ECN-ECO_DATA'!B:J,8,FALSE))),"")</f>
        <v/>
      </c>
      <c r="H767" s="9" t="str">
        <f>IFERROR((IF(VLOOKUP(A767,'ECN-ECO_DATA'!B:J,9,FALSE)=0/1/1900,"",VLOOKUP(A767,'ECN-ECO_DATA'!B:J,9,FALSE))),"")</f>
        <v/>
      </c>
      <c r="I767" s="10" t="str">
        <f>IFERROR((IF(VLOOKUP(A767,'ECN-ECO_DATA'!B:Q,13,FALSE)="","",VLOOKUP(A767,'ECN-ECO_DATA'!B:Q,13,FALSE))),"")</f>
        <v/>
      </c>
      <c r="J767" s="10" t="str">
        <f>IFERROR((IF(VLOOKUP(A767,'ECN-ECO_DATA'!B:Q,14,FALSE)="","",VLOOKUP(A767,'ECN-ECO_DATA'!B:Q,14,FALSE))),"")</f>
        <v/>
      </c>
      <c r="K767" s="10" t="str">
        <f>IFERROR((IF(VLOOKUP(A767,'ECN-ECO_DATA'!B:Q,15,FALSE)="","",VLOOKUP(A767,'ECN-ECO_DATA'!B:Q,15,FALSE))),"")</f>
        <v/>
      </c>
      <c r="L767" s="10" t="str">
        <f>IFERROR((IF(VLOOKUP(A767,'ECN-ECO_DATA'!B:Q,16,FALSE)="","",VLOOKUP(A767,'ECN-ECO_DATA'!B:Q,16,FALSE))),"")</f>
        <v/>
      </c>
      <c r="M767" s="9" t="str">
        <f>IFERROR((IF(VLOOKUP(A767,'ECN-ECO_DATA'!B:V,18,FALSE)=0/1/1900,"",VLOOKUP(A767,'ECN-ECO_DATA'!B:V,18,FALSE))),"")</f>
        <v/>
      </c>
      <c r="N767" s="9" t="str">
        <f>IFERROR((IF(VLOOKUP(A767,'ECN-ECO_DATA'!B:V,19,FALSE)=0/1/1900,"",VLOOKUP(A767,'ECN-ECO_DATA'!B:V,19,FALSE))),"")</f>
        <v/>
      </c>
      <c r="O767" s="9" t="str">
        <f>IFERROR((IF(VLOOKUP(A767,'ECN-ECO_DATA'!B:V,20,FALSE)=0/1/1900,"",VLOOKUP(A767,'ECN-ECO_DATA'!B:V,20,FALSE))),"")</f>
        <v/>
      </c>
      <c r="P767" s="9" t="str">
        <f>IFERROR((IF(VLOOKUP(A767,'ECN-ECO_DATA'!B:V,21,FALSE)=0/1/1900,"",VLOOKUP(A767,'ECN-ECO_DATA'!B:V,21,FALSE))),"")</f>
        <v/>
      </c>
      <c r="Q767" s="10" t="str">
        <f t="shared" ca="1" si="55"/>
        <v/>
      </c>
      <c r="R767" s="4" t="str">
        <f t="shared" si="56"/>
        <v/>
      </c>
      <c r="S767" s="4" t="str">
        <f t="shared" si="57"/>
        <v/>
      </c>
      <c r="T767" s="4" t="str">
        <f t="shared" si="58"/>
        <v/>
      </c>
      <c r="U767" s="10" t="str">
        <f t="shared" si="59"/>
        <v/>
      </c>
      <c r="V767" s="4"/>
    </row>
    <row r="768" spans="2:22" x14ac:dyDescent="0.25">
      <c r="B768" s="4" t="str">
        <f>IFERROR(VLOOKUP(A768,'ECN-ECO_DATA'!B:G,4,FALSE),"")</f>
        <v/>
      </c>
      <c r="C768" s="9" t="str">
        <f>IFERROR(VLOOKUP(A768,'ECN-ECO_DATA'!B:G,5,FALSE),"")</f>
        <v/>
      </c>
      <c r="D768" s="9" t="str">
        <f ca="1">IFERROR((IF(VLOOKUP(A768,'ECN-ECO_DATA'!B:G,6,FALSE)=0/1/1900,TODAY(),VLOOKUP(A768,'ECN-ECO_DATA'!B:G,6,FALSE))),"")</f>
        <v/>
      </c>
      <c r="E768" s="9" t="str">
        <f>IFERROR((IF(VLOOKUP(A768,'ECN-ECO_DATA'!B:G,6,FALSE)=0/1/1900,"",VLOOKUP(A768,'ECN-ECO_DATA'!B:G,6,FALSE))),"")</f>
        <v/>
      </c>
      <c r="F768" s="9" t="str">
        <f>IFERROR((IF(VLOOKUP(A768,'ECN-ECO_DATA'!B:J,7,FALSE)=0/1/1900,"",VLOOKUP(A768,'ECN-ECO_DATA'!B:J,7,FALSE))),"")</f>
        <v/>
      </c>
      <c r="G768" s="9" t="str">
        <f>IFERROR((IF(VLOOKUP(A768,'ECN-ECO_DATA'!B:J,8,FALSE)=0/1/1900,"",VLOOKUP(A768,'ECN-ECO_DATA'!B:J,8,FALSE))),"")</f>
        <v/>
      </c>
      <c r="H768" s="9" t="str">
        <f>IFERROR((IF(VLOOKUP(A768,'ECN-ECO_DATA'!B:J,9,FALSE)=0/1/1900,"",VLOOKUP(A768,'ECN-ECO_DATA'!B:J,9,FALSE))),"")</f>
        <v/>
      </c>
      <c r="I768" s="10" t="str">
        <f>IFERROR((IF(VLOOKUP(A768,'ECN-ECO_DATA'!B:Q,13,FALSE)="","",VLOOKUP(A768,'ECN-ECO_DATA'!B:Q,13,FALSE))),"")</f>
        <v/>
      </c>
      <c r="J768" s="10" t="str">
        <f>IFERROR((IF(VLOOKUP(A768,'ECN-ECO_DATA'!B:Q,14,FALSE)="","",VLOOKUP(A768,'ECN-ECO_DATA'!B:Q,14,FALSE))),"")</f>
        <v/>
      </c>
      <c r="K768" s="10" t="str">
        <f>IFERROR((IF(VLOOKUP(A768,'ECN-ECO_DATA'!B:Q,15,FALSE)="","",VLOOKUP(A768,'ECN-ECO_DATA'!B:Q,15,FALSE))),"")</f>
        <v/>
      </c>
      <c r="L768" s="10" t="str">
        <f>IFERROR((IF(VLOOKUP(A768,'ECN-ECO_DATA'!B:Q,16,FALSE)="","",VLOOKUP(A768,'ECN-ECO_DATA'!B:Q,16,FALSE))),"")</f>
        <v/>
      </c>
      <c r="M768" s="9" t="str">
        <f>IFERROR((IF(VLOOKUP(A768,'ECN-ECO_DATA'!B:V,18,FALSE)=0/1/1900,"",VLOOKUP(A768,'ECN-ECO_DATA'!B:V,18,FALSE))),"")</f>
        <v/>
      </c>
      <c r="N768" s="9" t="str">
        <f>IFERROR((IF(VLOOKUP(A768,'ECN-ECO_DATA'!B:V,19,FALSE)=0/1/1900,"",VLOOKUP(A768,'ECN-ECO_DATA'!B:V,19,FALSE))),"")</f>
        <v/>
      </c>
      <c r="O768" s="9" t="str">
        <f>IFERROR((IF(VLOOKUP(A768,'ECN-ECO_DATA'!B:V,20,FALSE)=0/1/1900,"",VLOOKUP(A768,'ECN-ECO_DATA'!B:V,20,FALSE))),"")</f>
        <v/>
      </c>
      <c r="P768" s="9" t="str">
        <f>IFERROR((IF(VLOOKUP(A768,'ECN-ECO_DATA'!B:V,21,FALSE)=0/1/1900,"",VLOOKUP(A768,'ECN-ECO_DATA'!B:V,21,FALSE))),"")</f>
        <v/>
      </c>
      <c r="Q768" s="10" t="str">
        <f t="shared" ca="1" si="55"/>
        <v/>
      </c>
      <c r="R768" s="4" t="str">
        <f t="shared" si="56"/>
        <v/>
      </c>
      <c r="S768" s="4" t="str">
        <f t="shared" si="57"/>
        <v/>
      </c>
      <c r="T768" s="4" t="str">
        <f t="shared" si="58"/>
        <v/>
      </c>
      <c r="U768" s="10" t="str">
        <f t="shared" si="59"/>
        <v/>
      </c>
      <c r="V768" s="4"/>
    </row>
    <row r="769" spans="2:22" x14ac:dyDescent="0.25">
      <c r="B769" s="4" t="str">
        <f>IFERROR(VLOOKUP(A769,'ECN-ECO_DATA'!B:G,4,FALSE),"")</f>
        <v/>
      </c>
      <c r="C769" s="9" t="str">
        <f>IFERROR(VLOOKUP(A769,'ECN-ECO_DATA'!B:G,5,FALSE),"")</f>
        <v/>
      </c>
      <c r="D769" s="9" t="str">
        <f ca="1">IFERROR((IF(VLOOKUP(A769,'ECN-ECO_DATA'!B:G,6,FALSE)=0/1/1900,TODAY(),VLOOKUP(A769,'ECN-ECO_DATA'!B:G,6,FALSE))),"")</f>
        <v/>
      </c>
      <c r="E769" s="9" t="str">
        <f>IFERROR((IF(VLOOKUP(A769,'ECN-ECO_DATA'!B:G,6,FALSE)=0/1/1900,"",VLOOKUP(A769,'ECN-ECO_DATA'!B:G,6,FALSE))),"")</f>
        <v/>
      </c>
      <c r="F769" s="9" t="str">
        <f>IFERROR((IF(VLOOKUP(A769,'ECN-ECO_DATA'!B:J,7,FALSE)=0/1/1900,"",VLOOKUP(A769,'ECN-ECO_DATA'!B:J,7,FALSE))),"")</f>
        <v/>
      </c>
      <c r="G769" s="9" t="str">
        <f>IFERROR((IF(VLOOKUP(A769,'ECN-ECO_DATA'!B:J,8,FALSE)=0/1/1900,"",VLOOKUP(A769,'ECN-ECO_DATA'!B:J,8,FALSE))),"")</f>
        <v/>
      </c>
      <c r="H769" s="9" t="str">
        <f>IFERROR((IF(VLOOKUP(A769,'ECN-ECO_DATA'!B:J,9,FALSE)=0/1/1900,"",VLOOKUP(A769,'ECN-ECO_DATA'!B:J,9,FALSE))),"")</f>
        <v/>
      </c>
      <c r="I769" s="10" t="str">
        <f>IFERROR((IF(VLOOKUP(A769,'ECN-ECO_DATA'!B:Q,13,FALSE)="","",VLOOKUP(A769,'ECN-ECO_DATA'!B:Q,13,FALSE))),"")</f>
        <v/>
      </c>
      <c r="J769" s="10" t="str">
        <f>IFERROR((IF(VLOOKUP(A769,'ECN-ECO_DATA'!B:Q,14,FALSE)="","",VLOOKUP(A769,'ECN-ECO_DATA'!B:Q,14,FALSE))),"")</f>
        <v/>
      </c>
      <c r="K769" s="10" t="str">
        <f>IFERROR((IF(VLOOKUP(A769,'ECN-ECO_DATA'!B:Q,15,FALSE)="","",VLOOKUP(A769,'ECN-ECO_DATA'!B:Q,15,FALSE))),"")</f>
        <v/>
      </c>
      <c r="L769" s="10" t="str">
        <f>IFERROR((IF(VLOOKUP(A769,'ECN-ECO_DATA'!B:Q,16,FALSE)="","",VLOOKUP(A769,'ECN-ECO_DATA'!B:Q,16,FALSE))),"")</f>
        <v/>
      </c>
      <c r="M769" s="9" t="str">
        <f>IFERROR((IF(VLOOKUP(A769,'ECN-ECO_DATA'!B:V,18,FALSE)=0/1/1900,"",VLOOKUP(A769,'ECN-ECO_DATA'!B:V,18,FALSE))),"")</f>
        <v/>
      </c>
      <c r="N769" s="9" t="str">
        <f>IFERROR((IF(VLOOKUP(A769,'ECN-ECO_DATA'!B:V,19,FALSE)=0/1/1900,"",VLOOKUP(A769,'ECN-ECO_DATA'!B:V,19,FALSE))),"")</f>
        <v/>
      </c>
      <c r="O769" s="9" t="str">
        <f>IFERROR((IF(VLOOKUP(A769,'ECN-ECO_DATA'!B:V,20,FALSE)=0/1/1900,"",VLOOKUP(A769,'ECN-ECO_DATA'!B:V,20,FALSE))),"")</f>
        <v/>
      </c>
      <c r="P769" s="9" t="str">
        <f>IFERROR((IF(VLOOKUP(A769,'ECN-ECO_DATA'!B:V,21,FALSE)=0/1/1900,"",VLOOKUP(A769,'ECN-ECO_DATA'!B:V,21,FALSE))),"")</f>
        <v/>
      </c>
      <c r="Q769" s="10" t="str">
        <f t="shared" ca="1" si="55"/>
        <v/>
      </c>
      <c r="R769" s="4" t="str">
        <f t="shared" si="56"/>
        <v/>
      </c>
      <c r="S769" s="4" t="str">
        <f t="shared" si="57"/>
        <v/>
      </c>
      <c r="T769" s="4" t="str">
        <f t="shared" si="58"/>
        <v/>
      </c>
      <c r="U769" s="10" t="str">
        <f t="shared" si="59"/>
        <v/>
      </c>
      <c r="V769" s="4"/>
    </row>
    <row r="770" spans="2:22" x14ac:dyDescent="0.25">
      <c r="B770" s="4" t="str">
        <f>IFERROR(VLOOKUP(A770,'ECN-ECO_DATA'!B:G,4,FALSE),"")</f>
        <v/>
      </c>
      <c r="C770" s="9" t="str">
        <f>IFERROR(VLOOKUP(A770,'ECN-ECO_DATA'!B:G,5,FALSE),"")</f>
        <v/>
      </c>
      <c r="D770" s="9" t="str">
        <f ca="1">IFERROR((IF(VLOOKUP(A770,'ECN-ECO_DATA'!B:G,6,FALSE)=0/1/1900,TODAY(),VLOOKUP(A770,'ECN-ECO_DATA'!B:G,6,FALSE))),"")</f>
        <v/>
      </c>
      <c r="E770" s="9" t="str">
        <f>IFERROR((IF(VLOOKUP(A770,'ECN-ECO_DATA'!B:G,6,FALSE)=0/1/1900,"",VLOOKUP(A770,'ECN-ECO_DATA'!B:G,6,FALSE))),"")</f>
        <v/>
      </c>
      <c r="F770" s="9" t="str">
        <f>IFERROR((IF(VLOOKUP(A770,'ECN-ECO_DATA'!B:J,7,FALSE)=0/1/1900,"",VLOOKUP(A770,'ECN-ECO_DATA'!B:J,7,FALSE))),"")</f>
        <v/>
      </c>
      <c r="G770" s="9" t="str">
        <f>IFERROR((IF(VLOOKUP(A770,'ECN-ECO_DATA'!B:J,8,FALSE)=0/1/1900,"",VLOOKUP(A770,'ECN-ECO_DATA'!B:J,8,FALSE))),"")</f>
        <v/>
      </c>
      <c r="H770" s="9" t="str">
        <f>IFERROR((IF(VLOOKUP(A770,'ECN-ECO_DATA'!B:J,9,FALSE)=0/1/1900,"",VLOOKUP(A770,'ECN-ECO_DATA'!B:J,9,FALSE))),"")</f>
        <v/>
      </c>
      <c r="I770" s="10" t="str">
        <f>IFERROR((IF(VLOOKUP(A770,'ECN-ECO_DATA'!B:Q,13,FALSE)="","",VLOOKUP(A770,'ECN-ECO_DATA'!B:Q,13,FALSE))),"")</f>
        <v/>
      </c>
      <c r="J770" s="10" t="str">
        <f>IFERROR((IF(VLOOKUP(A770,'ECN-ECO_DATA'!B:Q,14,FALSE)="","",VLOOKUP(A770,'ECN-ECO_DATA'!B:Q,14,FALSE))),"")</f>
        <v/>
      </c>
      <c r="K770" s="10" t="str">
        <f>IFERROR((IF(VLOOKUP(A770,'ECN-ECO_DATA'!B:Q,15,FALSE)="","",VLOOKUP(A770,'ECN-ECO_DATA'!B:Q,15,FALSE))),"")</f>
        <v/>
      </c>
      <c r="L770" s="10" t="str">
        <f>IFERROR((IF(VLOOKUP(A770,'ECN-ECO_DATA'!B:Q,16,FALSE)="","",VLOOKUP(A770,'ECN-ECO_DATA'!B:Q,16,FALSE))),"")</f>
        <v/>
      </c>
      <c r="M770" s="9" t="str">
        <f>IFERROR((IF(VLOOKUP(A770,'ECN-ECO_DATA'!B:V,18,FALSE)=0/1/1900,"",VLOOKUP(A770,'ECN-ECO_DATA'!B:V,18,FALSE))),"")</f>
        <v/>
      </c>
      <c r="N770" s="9" t="str">
        <f>IFERROR((IF(VLOOKUP(A770,'ECN-ECO_DATA'!B:V,19,FALSE)=0/1/1900,"",VLOOKUP(A770,'ECN-ECO_DATA'!B:V,19,FALSE))),"")</f>
        <v/>
      </c>
      <c r="O770" s="9" t="str">
        <f>IFERROR((IF(VLOOKUP(A770,'ECN-ECO_DATA'!B:V,20,FALSE)=0/1/1900,"",VLOOKUP(A770,'ECN-ECO_DATA'!B:V,20,FALSE))),"")</f>
        <v/>
      </c>
      <c r="P770" s="9" t="str">
        <f>IFERROR((IF(VLOOKUP(A770,'ECN-ECO_DATA'!B:V,21,FALSE)=0/1/1900,"",VLOOKUP(A770,'ECN-ECO_DATA'!B:V,21,FALSE))),"")</f>
        <v/>
      </c>
      <c r="Q770" s="10" t="str">
        <f t="shared" ca="1" si="55"/>
        <v/>
      </c>
      <c r="R770" s="4" t="str">
        <f t="shared" si="56"/>
        <v/>
      </c>
      <c r="S770" s="4" t="str">
        <f t="shared" si="57"/>
        <v/>
      </c>
      <c r="T770" s="4" t="str">
        <f t="shared" si="58"/>
        <v/>
      </c>
      <c r="U770" s="10" t="str">
        <f t="shared" si="59"/>
        <v/>
      </c>
      <c r="V770" s="4"/>
    </row>
    <row r="771" spans="2:22" x14ac:dyDescent="0.25">
      <c r="B771" s="4" t="str">
        <f>IFERROR(VLOOKUP(A771,'ECN-ECO_DATA'!B:G,4,FALSE),"")</f>
        <v/>
      </c>
      <c r="C771" s="9" t="str">
        <f>IFERROR(VLOOKUP(A771,'ECN-ECO_DATA'!B:G,5,FALSE),"")</f>
        <v/>
      </c>
      <c r="D771" s="9" t="str">
        <f ca="1">IFERROR((IF(VLOOKUP(A771,'ECN-ECO_DATA'!B:G,6,FALSE)=0/1/1900,TODAY(),VLOOKUP(A771,'ECN-ECO_DATA'!B:G,6,FALSE))),"")</f>
        <v/>
      </c>
      <c r="E771" s="9" t="str">
        <f>IFERROR((IF(VLOOKUP(A771,'ECN-ECO_DATA'!B:G,6,FALSE)=0/1/1900,"",VLOOKUP(A771,'ECN-ECO_DATA'!B:G,6,FALSE))),"")</f>
        <v/>
      </c>
      <c r="F771" s="9" t="str">
        <f>IFERROR((IF(VLOOKUP(A771,'ECN-ECO_DATA'!B:J,7,FALSE)=0/1/1900,"",VLOOKUP(A771,'ECN-ECO_DATA'!B:J,7,FALSE))),"")</f>
        <v/>
      </c>
      <c r="G771" s="9" t="str">
        <f>IFERROR((IF(VLOOKUP(A771,'ECN-ECO_DATA'!B:J,8,FALSE)=0/1/1900,"",VLOOKUP(A771,'ECN-ECO_DATA'!B:J,8,FALSE))),"")</f>
        <v/>
      </c>
      <c r="H771" s="9" t="str">
        <f>IFERROR((IF(VLOOKUP(A771,'ECN-ECO_DATA'!B:J,9,FALSE)=0/1/1900,"",VLOOKUP(A771,'ECN-ECO_DATA'!B:J,9,FALSE))),"")</f>
        <v/>
      </c>
      <c r="I771" s="10" t="str">
        <f>IFERROR((IF(VLOOKUP(A771,'ECN-ECO_DATA'!B:Q,13,FALSE)="","",VLOOKUP(A771,'ECN-ECO_DATA'!B:Q,13,FALSE))),"")</f>
        <v/>
      </c>
      <c r="J771" s="10" t="str">
        <f>IFERROR((IF(VLOOKUP(A771,'ECN-ECO_DATA'!B:Q,14,FALSE)="","",VLOOKUP(A771,'ECN-ECO_DATA'!B:Q,14,FALSE))),"")</f>
        <v/>
      </c>
      <c r="K771" s="10" t="str">
        <f>IFERROR((IF(VLOOKUP(A771,'ECN-ECO_DATA'!B:Q,15,FALSE)="","",VLOOKUP(A771,'ECN-ECO_DATA'!B:Q,15,FALSE))),"")</f>
        <v/>
      </c>
      <c r="L771" s="10" t="str">
        <f>IFERROR((IF(VLOOKUP(A771,'ECN-ECO_DATA'!B:Q,16,FALSE)="","",VLOOKUP(A771,'ECN-ECO_DATA'!B:Q,16,FALSE))),"")</f>
        <v/>
      </c>
      <c r="M771" s="9" t="str">
        <f>IFERROR((IF(VLOOKUP(A771,'ECN-ECO_DATA'!B:V,18,FALSE)=0/1/1900,"",VLOOKUP(A771,'ECN-ECO_DATA'!B:V,18,FALSE))),"")</f>
        <v/>
      </c>
      <c r="N771" s="9" t="str">
        <f>IFERROR((IF(VLOOKUP(A771,'ECN-ECO_DATA'!B:V,19,FALSE)=0/1/1900,"",VLOOKUP(A771,'ECN-ECO_DATA'!B:V,19,FALSE))),"")</f>
        <v/>
      </c>
      <c r="O771" s="9" t="str">
        <f>IFERROR((IF(VLOOKUP(A771,'ECN-ECO_DATA'!B:V,20,FALSE)=0/1/1900,"",VLOOKUP(A771,'ECN-ECO_DATA'!B:V,20,FALSE))),"")</f>
        <v/>
      </c>
      <c r="P771" s="9" t="str">
        <f>IFERROR((IF(VLOOKUP(A771,'ECN-ECO_DATA'!B:V,21,FALSE)=0/1/1900,"",VLOOKUP(A771,'ECN-ECO_DATA'!B:V,21,FALSE))),"")</f>
        <v/>
      </c>
      <c r="Q771" s="10" t="str">
        <f t="shared" ref="Q771:Q834" ca="1" si="60">IFERROR(D771-C771,"")</f>
        <v/>
      </c>
      <c r="R771" s="4" t="str">
        <f t="shared" ref="R771:R834" si="61">IFERROR(H771-E771,"")</f>
        <v/>
      </c>
      <c r="S771" s="4" t="str">
        <f t="shared" ref="S771:S834" si="62">IFERROR(N771-H771,"")</f>
        <v/>
      </c>
      <c r="T771" s="4" t="str">
        <f t="shared" ref="T771:T834" si="63">IFERROR(O771-N771,"")</f>
        <v/>
      </c>
      <c r="U771" s="10" t="str">
        <f t="shared" ref="U771:U834" si="64">IF(O771="","",IF(SUM(Q771:T771)=0,"",SUM(Q771:T771)))</f>
        <v/>
      </c>
      <c r="V771" s="4"/>
    </row>
    <row r="772" spans="2:22" x14ac:dyDescent="0.25">
      <c r="B772" s="4" t="str">
        <f>IFERROR(VLOOKUP(A772,'ECN-ECO_DATA'!B:G,4,FALSE),"")</f>
        <v/>
      </c>
      <c r="C772" s="9" t="str">
        <f>IFERROR(VLOOKUP(A772,'ECN-ECO_DATA'!B:G,5,FALSE),"")</f>
        <v/>
      </c>
      <c r="D772" s="9" t="str">
        <f ca="1">IFERROR((IF(VLOOKUP(A772,'ECN-ECO_DATA'!B:G,6,FALSE)=0/1/1900,TODAY(),VLOOKUP(A772,'ECN-ECO_DATA'!B:G,6,FALSE))),"")</f>
        <v/>
      </c>
      <c r="E772" s="9" t="str">
        <f>IFERROR((IF(VLOOKUP(A772,'ECN-ECO_DATA'!B:G,6,FALSE)=0/1/1900,"",VLOOKUP(A772,'ECN-ECO_DATA'!B:G,6,FALSE))),"")</f>
        <v/>
      </c>
      <c r="F772" s="9" t="str">
        <f>IFERROR((IF(VLOOKUP(A772,'ECN-ECO_DATA'!B:J,7,FALSE)=0/1/1900,"",VLOOKUP(A772,'ECN-ECO_DATA'!B:J,7,FALSE))),"")</f>
        <v/>
      </c>
      <c r="G772" s="9" t="str">
        <f>IFERROR((IF(VLOOKUP(A772,'ECN-ECO_DATA'!B:J,8,FALSE)=0/1/1900,"",VLOOKUP(A772,'ECN-ECO_DATA'!B:J,8,FALSE))),"")</f>
        <v/>
      </c>
      <c r="H772" s="9" t="str">
        <f>IFERROR((IF(VLOOKUP(A772,'ECN-ECO_DATA'!B:J,9,FALSE)=0/1/1900,"",VLOOKUP(A772,'ECN-ECO_DATA'!B:J,9,FALSE))),"")</f>
        <v/>
      </c>
      <c r="I772" s="10" t="str">
        <f>IFERROR((IF(VLOOKUP(A772,'ECN-ECO_DATA'!B:Q,13,FALSE)="","",VLOOKUP(A772,'ECN-ECO_DATA'!B:Q,13,FALSE))),"")</f>
        <v/>
      </c>
      <c r="J772" s="10" t="str">
        <f>IFERROR((IF(VLOOKUP(A772,'ECN-ECO_DATA'!B:Q,14,FALSE)="","",VLOOKUP(A772,'ECN-ECO_DATA'!B:Q,14,FALSE))),"")</f>
        <v/>
      </c>
      <c r="K772" s="10" t="str">
        <f>IFERROR((IF(VLOOKUP(A772,'ECN-ECO_DATA'!B:Q,15,FALSE)="","",VLOOKUP(A772,'ECN-ECO_DATA'!B:Q,15,FALSE))),"")</f>
        <v/>
      </c>
      <c r="L772" s="10" t="str">
        <f>IFERROR((IF(VLOOKUP(A772,'ECN-ECO_DATA'!B:Q,16,FALSE)="","",VLOOKUP(A772,'ECN-ECO_DATA'!B:Q,16,FALSE))),"")</f>
        <v/>
      </c>
      <c r="M772" s="9" t="str">
        <f>IFERROR((IF(VLOOKUP(A772,'ECN-ECO_DATA'!B:V,18,FALSE)=0/1/1900,"",VLOOKUP(A772,'ECN-ECO_DATA'!B:V,18,FALSE))),"")</f>
        <v/>
      </c>
      <c r="N772" s="9" t="str">
        <f>IFERROR((IF(VLOOKUP(A772,'ECN-ECO_DATA'!B:V,19,FALSE)=0/1/1900,"",VLOOKUP(A772,'ECN-ECO_DATA'!B:V,19,FALSE))),"")</f>
        <v/>
      </c>
      <c r="O772" s="9" t="str">
        <f>IFERROR((IF(VLOOKUP(A772,'ECN-ECO_DATA'!B:V,20,FALSE)=0/1/1900,"",VLOOKUP(A772,'ECN-ECO_DATA'!B:V,20,FALSE))),"")</f>
        <v/>
      </c>
      <c r="P772" s="9" t="str">
        <f>IFERROR((IF(VLOOKUP(A772,'ECN-ECO_DATA'!B:V,21,FALSE)=0/1/1900,"",VLOOKUP(A772,'ECN-ECO_DATA'!B:V,21,FALSE))),"")</f>
        <v/>
      </c>
      <c r="Q772" s="10" t="str">
        <f t="shared" ca="1" si="60"/>
        <v/>
      </c>
      <c r="R772" s="4" t="str">
        <f t="shared" si="61"/>
        <v/>
      </c>
      <c r="S772" s="4" t="str">
        <f t="shared" si="62"/>
        <v/>
      </c>
      <c r="T772" s="4" t="str">
        <f t="shared" si="63"/>
        <v/>
      </c>
      <c r="U772" s="10" t="str">
        <f t="shared" si="64"/>
        <v/>
      </c>
      <c r="V772" s="4"/>
    </row>
    <row r="773" spans="2:22" x14ac:dyDescent="0.25">
      <c r="B773" s="4" t="str">
        <f>IFERROR(VLOOKUP(A773,'ECN-ECO_DATA'!B:G,4,FALSE),"")</f>
        <v/>
      </c>
      <c r="C773" s="9" t="str">
        <f>IFERROR(VLOOKUP(A773,'ECN-ECO_DATA'!B:G,5,FALSE),"")</f>
        <v/>
      </c>
      <c r="D773" s="9" t="str">
        <f ca="1">IFERROR((IF(VLOOKUP(A773,'ECN-ECO_DATA'!B:G,6,FALSE)=0/1/1900,TODAY(),VLOOKUP(A773,'ECN-ECO_DATA'!B:G,6,FALSE))),"")</f>
        <v/>
      </c>
      <c r="E773" s="9" t="str">
        <f>IFERROR((IF(VLOOKUP(A773,'ECN-ECO_DATA'!B:G,6,FALSE)=0/1/1900,"",VLOOKUP(A773,'ECN-ECO_DATA'!B:G,6,FALSE))),"")</f>
        <v/>
      </c>
      <c r="F773" s="9" t="str">
        <f>IFERROR((IF(VLOOKUP(A773,'ECN-ECO_DATA'!B:J,7,FALSE)=0/1/1900,"",VLOOKUP(A773,'ECN-ECO_DATA'!B:J,7,FALSE))),"")</f>
        <v/>
      </c>
      <c r="G773" s="9" t="str">
        <f>IFERROR((IF(VLOOKUP(A773,'ECN-ECO_DATA'!B:J,8,FALSE)=0/1/1900,"",VLOOKUP(A773,'ECN-ECO_DATA'!B:J,8,FALSE))),"")</f>
        <v/>
      </c>
      <c r="H773" s="9" t="str">
        <f>IFERROR((IF(VLOOKUP(A773,'ECN-ECO_DATA'!B:J,9,FALSE)=0/1/1900,"",VLOOKUP(A773,'ECN-ECO_DATA'!B:J,9,FALSE))),"")</f>
        <v/>
      </c>
      <c r="I773" s="10" t="str">
        <f>IFERROR((IF(VLOOKUP(A773,'ECN-ECO_DATA'!B:Q,13,FALSE)="","",VLOOKUP(A773,'ECN-ECO_DATA'!B:Q,13,FALSE))),"")</f>
        <v/>
      </c>
      <c r="J773" s="10" t="str">
        <f>IFERROR((IF(VLOOKUP(A773,'ECN-ECO_DATA'!B:Q,14,FALSE)="","",VLOOKUP(A773,'ECN-ECO_DATA'!B:Q,14,FALSE))),"")</f>
        <v/>
      </c>
      <c r="K773" s="10" t="str">
        <f>IFERROR((IF(VLOOKUP(A773,'ECN-ECO_DATA'!B:Q,15,FALSE)="","",VLOOKUP(A773,'ECN-ECO_DATA'!B:Q,15,FALSE))),"")</f>
        <v/>
      </c>
      <c r="L773" s="10" t="str">
        <f>IFERROR((IF(VLOOKUP(A773,'ECN-ECO_DATA'!B:Q,16,FALSE)="","",VLOOKUP(A773,'ECN-ECO_DATA'!B:Q,16,FALSE))),"")</f>
        <v/>
      </c>
      <c r="M773" s="9" t="str">
        <f>IFERROR((IF(VLOOKUP(A773,'ECN-ECO_DATA'!B:V,18,FALSE)=0/1/1900,"",VLOOKUP(A773,'ECN-ECO_DATA'!B:V,18,FALSE))),"")</f>
        <v/>
      </c>
      <c r="N773" s="9" t="str">
        <f>IFERROR((IF(VLOOKUP(A773,'ECN-ECO_DATA'!B:V,19,FALSE)=0/1/1900,"",VLOOKUP(A773,'ECN-ECO_DATA'!B:V,19,FALSE))),"")</f>
        <v/>
      </c>
      <c r="O773" s="9" t="str">
        <f>IFERROR((IF(VLOOKUP(A773,'ECN-ECO_DATA'!B:V,20,FALSE)=0/1/1900,"",VLOOKUP(A773,'ECN-ECO_DATA'!B:V,20,FALSE))),"")</f>
        <v/>
      </c>
      <c r="P773" s="9" t="str">
        <f>IFERROR((IF(VLOOKUP(A773,'ECN-ECO_DATA'!B:V,21,FALSE)=0/1/1900,"",VLOOKUP(A773,'ECN-ECO_DATA'!B:V,21,FALSE))),"")</f>
        <v/>
      </c>
      <c r="Q773" s="10" t="str">
        <f t="shared" ca="1" si="60"/>
        <v/>
      </c>
      <c r="R773" s="4" t="str">
        <f t="shared" si="61"/>
        <v/>
      </c>
      <c r="S773" s="4" t="str">
        <f t="shared" si="62"/>
        <v/>
      </c>
      <c r="T773" s="4" t="str">
        <f t="shared" si="63"/>
        <v/>
      </c>
      <c r="U773" s="10" t="str">
        <f t="shared" si="64"/>
        <v/>
      </c>
      <c r="V773" s="4"/>
    </row>
    <row r="774" spans="2:22" x14ac:dyDescent="0.25">
      <c r="B774" s="4" t="str">
        <f>IFERROR(VLOOKUP(A774,'ECN-ECO_DATA'!B:G,4,FALSE),"")</f>
        <v/>
      </c>
      <c r="C774" s="9" t="str">
        <f>IFERROR(VLOOKUP(A774,'ECN-ECO_DATA'!B:G,5,FALSE),"")</f>
        <v/>
      </c>
      <c r="D774" s="9" t="str">
        <f ca="1">IFERROR((IF(VLOOKUP(A774,'ECN-ECO_DATA'!B:G,6,FALSE)=0/1/1900,TODAY(),VLOOKUP(A774,'ECN-ECO_DATA'!B:G,6,FALSE))),"")</f>
        <v/>
      </c>
      <c r="E774" s="9" t="str">
        <f>IFERROR((IF(VLOOKUP(A774,'ECN-ECO_DATA'!B:G,6,FALSE)=0/1/1900,"",VLOOKUP(A774,'ECN-ECO_DATA'!B:G,6,FALSE))),"")</f>
        <v/>
      </c>
      <c r="F774" s="9" t="str">
        <f>IFERROR((IF(VLOOKUP(A774,'ECN-ECO_DATA'!B:J,7,FALSE)=0/1/1900,"",VLOOKUP(A774,'ECN-ECO_DATA'!B:J,7,FALSE))),"")</f>
        <v/>
      </c>
      <c r="G774" s="9" t="str">
        <f>IFERROR((IF(VLOOKUP(A774,'ECN-ECO_DATA'!B:J,8,FALSE)=0/1/1900,"",VLOOKUP(A774,'ECN-ECO_DATA'!B:J,8,FALSE))),"")</f>
        <v/>
      </c>
      <c r="H774" s="9" t="str">
        <f>IFERROR((IF(VLOOKUP(A774,'ECN-ECO_DATA'!B:J,9,FALSE)=0/1/1900,"",VLOOKUP(A774,'ECN-ECO_DATA'!B:J,9,FALSE))),"")</f>
        <v/>
      </c>
      <c r="I774" s="10" t="str">
        <f>IFERROR((IF(VLOOKUP(A774,'ECN-ECO_DATA'!B:Q,13,FALSE)="","",VLOOKUP(A774,'ECN-ECO_DATA'!B:Q,13,FALSE))),"")</f>
        <v/>
      </c>
      <c r="J774" s="10" t="str">
        <f>IFERROR((IF(VLOOKUP(A774,'ECN-ECO_DATA'!B:Q,14,FALSE)="","",VLOOKUP(A774,'ECN-ECO_DATA'!B:Q,14,FALSE))),"")</f>
        <v/>
      </c>
      <c r="K774" s="10" t="str">
        <f>IFERROR((IF(VLOOKUP(A774,'ECN-ECO_DATA'!B:Q,15,FALSE)="","",VLOOKUP(A774,'ECN-ECO_DATA'!B:Q,15,FALSE))),"")</f>
        <v/>
      </c>
      <c r="L774" s="10" t="str">
        <f>IFERROR((IF(VLOOKUP(A774,'ECN-ECO_DATA'!B:Q,16,FALSE)="","",VLOOKUP(A774,'ECN-ECO_DATA'!B:Q,16,FALSE))),"")</f>
        <v/>
      </c>
      <c r="M774" s="9" t="str">
        <f>IFERROR((IF(VLOOKUP(A774,'ECN-ECO_DATA'!B:V,18,FALSE)=0/1/1900,"",VLOOKUP(A774,'ECN-ECO_DATA'!B:V,18,FALSE))),"")</f>
        <v/>
      </c>
      <c r="N774" s="9" t="str">
        <f>IFERROR((IF(VLOOKUP(A774,'ECN-ECO_DATA'!B:V,19,FALSE)=0/1/1900,"",VLOOKUP(A774,'ECN-ECO_DATA'!B:V,19,FALSE))),"")</f>
        <v/>
      </c>
      <c r="O774" s="9" t="str">
        <f>IFERROR((IF(VLOOKUP(A774,'ECN-ECO_DATA'!B:V,20,FALSE)=0/1/1900,"",VLOOKUP(A774,'ECN-ECO_DATA'!B:V,20,FALSE))),"")</f>
        <v/>
      </c>
      <c r="P774" s="9" t="str">
        <f>IFERROR((IF(VLOOKUP(A774,'ECN-ECO_DATA'!B:V,21,FALSE)=0/1/1900,"",VLOOKUP(A774,'ECN-ECO_DATA'!B:V,21,FALSE))),"")</f>
        <v/>
      </c>
      <c r="Q774" s="10" t="str">
        <f t="shared" ca="1" si="60"/>
        <v/>
      </c>
      <c r="R774" s="4" t="str">
        <f t="shared" si="61"/>
        <v/>
      </c>
      <c r="S774" s="4" t="str">
        <f t="shared" si="62"/>
        <v/>
      </c>
      <c r="T774" s="4" t="str">
        <f t="shared" si="63"/>
        <v/>
      </c>
      <c r="U774" s="10" t="str">
        <f t="shared" si="64"/>
        <v/>
      </c>
      <c r="V774" s="4"/>
    </row>
    <row r="775" spans="2:22" x14ac:dyDescent="0.25">
      <c r="B775" s="4" t="str">
        <f>IFERROR(VLOOKUP(A775,'ECN-ECO_DATA'!B:G,4,FALSE),"")</f>
        <v/>
      </c>
      <c r="C775" s="9" t="str">
        <f>IFERROR(VLOOKUP(A775,'ECN-ECO_DATA'!B:G,5,FALSE),"")</f>
        <v/>
      </c>
      <c r="D775" s="9" t="str">
        <f ca="1">IFERROR((IF(VLOOKUP(A775,'ECN-ECO_DATA'!B:G,6,FALSE)=0/1/1900,TODAY(),VLOOKUP(A775,'ECN-ECO_DATA'!B:G,6,FALSE))),"")</f>
        <v/>
      </c>
      <c r="E775" s="9" t="str">
        <f>IFERROR((IF(VLOOKUP(A775,'ECN-ECO_DATA'!B:G,6,FALSE)=0/1/1900,"",VLOOKUP(A775,'ECN-ECO_DATA'!B:G,6,FALSE))),"")</f>
        <v/>
      </c>
      <c r="F775" s="9" t="str">
        <f>IFERROR((IF(VLOOKUP(A775,'ECN-ECO_DATA'!B:J,7,FALSE)=0/1/1900,"",VLOOKUP(A775,'ECN-ECO_DATA'!B:J,7,FALSE))),"")</f>
        <v/>
      </c>
      <c r="G775" s="9" t="str">
        <f>IFERROR((IF(VLOOKUP(A775,'ECN-ECO_DATA'!B:J,8,FALSE)=0/1/1900,"",VLOOKUP(A775,'ECN-ECO_DATA'!B:J,8,FALSE))),"")</f>
        <v/>
      </c>
      <c r="H775" s="9" t="str">
        <f>IFERROR((IF(VLOOKUP(A775,'ECN-ECO_DATA'!B:J,9,FALSE)=0/1/1900,"",VLOOKUP(A775,'ECN-ECO_DATA'!B:J,9,FALSE))),"")</f>
        <v/>
      </c>
      <c r="I775" s="10" t="str">
        <f>IFERROR((IF(VLOOKUP(A775,'ECN-ECO_DATA'!B:Q,13,FALSE)="","",VLOOKUP(A775,'ECN-ECO_DATA'!B:Q,13,FALSE))),"")</f>
        <v/>
      </c>
      <c r="J775" s="10" t="str">
        <f>IFERROR((IF(VLOOKUP(A775,'ECN-ECO_DATA'!B:Q,14,FALSE)="","",VLOOKUP(A775,'ECN-ECO_DATA'!B:Q,14,FALSE))),"")</f>
        <v/>
      </c>
      <c r="K775" s="10" t="str">
        <f>IFERROR((IF(VLOOKUP(A775,'ECN-ECO_DATA'!B:Q,15,FALSE)="","",VLOOKUP(A775,'ECN-ECO_DATA'!B:Q,15,FALSE))),"")</f>
        <v/>
      </c>
      <c r="L775" s="10" t="str">
        <f>IFERROR((IF(VLOOKUP(A775,'ECN-ECO_DATA'!B:Q,16,FALSE)="","",VLOOKUP(A775,'ECN-ECO_DATA'!B:Q,16,FALSE))),"")</f>
        <v/>
      </c>
      <c r="M775" s="9" t="str">
        <f>IFERROR((IF(VLOOKUP(A775,'ECN-ECO_DATA'!B:V,18,FALSE)=0/1/1900,"",VLOOKUP(A775,'ECN-ECO_DATA'!B:V,18,FALSE))),"")</f>
        <v/>
      </c>
      <c r="N775" s="9" t="str">
        <f>IFERROR((IF(VLOOKUP(A775,'ECN-ECO_DATA'!B:V,19,FALSE)=0/1/1900,"",VLOOKUP(A775,'ECN-ECO_DATA'!B:V,19,FALSE))),"")</f>
        <v/>
      </c>
      <c r="O775" s="9" t="str">
        <f>IFERROR((IF(VLOOKUP(A775,'ECN-ECO_DATA'!B:V,20,FALSE)=0/1/1900,"",VLOOKUP(A775,'ECN-ECO_DATA'!B:V,20,FALSE))),"")</f>
        <v/>
      </c>
      <c r="P775" s="9" t="str">
        <f>IFERROR((IF(VLOOKUP(A775,'ECN-ECO_DATA'!B:V,21,FALSE)=0/1/1900,"",VLOOKUP(A775,'ECN-ECO_DATA'!B:V,21,FALSE))),"")</f>
        <v/>
      </c>
      <c r="Q775" s="10" t="str">
        <f t="shared" ca="1" si="60"/>
        <v/>
      </c>
      <c r="R775" s="4" t="str">
        <f t="shared" si="61"/>
        <v/>
      </c>
      <c r="S775" s="4" t="str">
        <f t="shared" si="62"/>
        <v/>
      </c>
      <c r="T775" s="4" t="str">
        <f t="shared" si="63"/>
        <v/>
      </c>
      <c r="U775" s="10" t="str">
        <f t="shared" si="64"/>
        <v/>
      </c>
      <c r="V775" s="4"/>
    </row>
    <row r="776" spans="2:22" x14ac:dyDescent="0.25">
      <c r="B776" s="4" t="str">
        <f>IFERROR(VLOOKUP(A776,'ECN-ECO_DATA'!B:G,4,FALSE),"")</f>
        <v/>
      </c>
      <c r="C776" s="9" t="str">
        <f>IFERROR(VLOOKUP(A776,'ECN-ECO_DATA'!B:G,5,FALSE),"")</f>
        <v/>
      </c>
      <c r="D776" s="9" t="str">
        <f ca="1">IFERROR((IF(VLOOKUP(A776,'ECN-ECO_DATA'!B:G,6,FALSE)=0/1/1900,TODAY(),VLOOKUP(A776,'ECN-ECO_DATA'!B:G,6,FALSE))),"")</f>
        <v/>
      </c>
      <c r="E776" s="9" t="str">
        <f>IFERROR((IF(VLOOKUP(A776,'ECN-ECO_DATA'!B:G,6,FALSE)=0/1/1900,"",VLOOKUP(A776,'ECN-ECO_DATA'!B:G,6,FALSE))),"")</f>
        <v/>
      </c>
      <c r="F776" s="9" t="str">
        <f>IFERROR((IF(VLOOKUP(A776,'ECN-ECO_DATA'!B:J,7,FALSE)=0/1/1900,"",VLOOKUP(A776,'ECN-ECO_DATA'!B:J,7,FALSE))),"")</f>
        <v/>
      </c>
      <c r="G776" s="9" t="str">
        <f>IFERROR((IF(VLOOKUP(A776,'ECN-ECO_DATA'!B:J,8,FALSE)=0/1/1900,"",VLOOKUP(A776,'ECN-ECO_DATA'!B:J,8,FALSE))),"")</f>
        <v/>
      </c>
      <c r="H776" s="9" t="str">
        <f>IFERROR((IF(VLOOKUP(A776,'ECN-ECO_DATA'!B:J,9,FALSE)=0/1/1900,"",VLOOKUP(A776,'ECN-ECO_DATA'!B:J,9,FALSE))),"")</f>
        <v/>
      </c>
      <c r="I776" s="10" t="str">
        <f>IFERROR((IF(VLOOKUP(A776,'ECN-ECO_DATA'!B:Q,13,FALSE)="","",VLOOKUP(A776,'ECN-ECO_DATA'!B:Q,13,FALSE))),"")</f>
        <v/>
      </c>
      <c r="J776" s="10" t="str">
        <f>IFERROR((IF(VLOOKUP(A776,'ECN-ECO_DATA'!B:Q,14,FALSE)="","",VLOOKUP(A776,'ECN-ECO_DATA'!B:Q,14,FALSE))),"")</f>
        <v/>
      </c>
      <c r="K776" s="10" t="str">
        <f>IFERROR((IF(VLOOKUP(A776,'ECN-ECO_DATA'!B:Q,15,FALSE)="","",VLOOKUP(A776,'ECN-ECO_DATA'!B:Q,15,FALSE))),"")</f>
        <v/>
      </c>
      <c r="L776" s="10" t="str">
        <f>IFERROR((IF(VLOOKUP(A776,'ECN-ECO_DATA'!B:Q,16,FALSE)="","",VLOOKUP(A776,'ECN-ECO_DATA'!B:Q,16,FALSE))),"")</f>
        <v/>
      </c>
      <c r="M776" s="9" t="str">
        <f>IFERROR((IF(VLOOKUP(A776,'ECN-ECO_DATA'!B:V,18,FALSE)=0/1/1900,"",VLOOKUP(A776,'ECN-ECO_DATA'!B:V,18,FALSE))),"")</f>
        <v/>
      </c>
      <c r="N776" s="9" t="str">
        <f>IFERROR((IF(VLOOKUP(A776,'ECN-ECO_DATA'!B:V,19,FALSE)=0/1/1900,"",VLOOKUP(A776,'ECN-ECO_DATA'!B:V,19,FALSE))),"")</f>
        <v/>
      </c>
      <c r="O776" s="9" t="str">
        <f>IFERROR((IF(VLOOKUP(A776,'ECN-ECO_DATA'!B:V,20,FALSE)=0/1/1900,"",VLOOKUP(A776,'ECN-ECO_DATA'!B:V,20,FALSE))),"")</f>
        <v/>
      </c>
      <c r="P776" s="9" t="str">
        <f>IFERROR((IF(VLOOKUP(A776,'ECN-ECO_DATA'!B:V,21,FALSE)=0/1/1900,"",VLOOKUP(A776,'ECN-ECO_DATA'!B:V,21,FALSE))),"")</f>
        <v/>
      </c>
      <c r="Q776" s="10" t="str">
        <f t="shared" ca="1" si="60"/>
        <v/>
      </c>
      <c r="R776" s="4" t="str">
        <f t="shared" si="61"/>
        <v/>
      </c>
      <c r="S776" s="4" t="str">
        <f t="shared" si="62"/>
        <v/>
      </c>
      <c r="T776" s="4" t="str">
        <f t="shared" si="63"/>
        <v/>
      </c>
      <c r="U776" s="10" t="str">
        <f t="shared" si="64"/>
        <v/>
      </c>
      <c r="V776" s="4"/>
    </row>
    <row r="777" spans="2:22" x14ac:dyDescent="0.25">
      <c r="B777" s="4" t="str">
        <f>IFERROR(VLOOKUP(A777,'ECN-ECO_DATA'!B:G,4,FALSE),"")</f>
        <v/>
      </c>
      <c r="C777" s="9" t="str">
        <f>IFERROR(VLOOKUP(A777,'ECN-ECO_DATA'!B:G,5,FALSE),"")</f>
        <v/>
      </c>
      <c r="D777" s="9" t="str">
        <f ca="1">IFERROR((IF(VLOOKUP(A777,'ECN-ECO_DATA'!B:G,6,FALSE)=0/1/1900,TODAY(),VLOOKUP(A777,'ECN-ECO_DATA'!B:G,6,FALSE))),"")</f>
        <v/>
      </c>
      <c r="E777" s="9" t="str">
        <f>IFERROR((IF(VLOOKUP(A777,'ECN-ECO_DATA'!B:G,6,FALSE)=0/1/1900,"",VLOOKUP(A777,'ECN-ECO_DATA'!B:G,6,FALSE))),"")</f>
        <v/>
      </c>
      <c r="F777" s="9" t="str">
        <f>IFERROR((IF(VLOOKUP(A777,'ECN-ECO_DATA'!B:J,7,FALSE)=0/1/1900,"",VLOOKUP(A777,'ECN-ECO_DATA'!B:J,7,FALSE))),"")</f>
        <v/>
      </c>
      <c r="G777" s="9" t="str">
        <f>IFERROR((IF(VLOOKUP(A777,'ECN-ECO_DATA'!B:J,8,FALSE)=0/1/1900,"",VLOOKUP(A777,'ECN-ECO_DATA'!B:J,8,FALSE))),"")</f>
        <v/>
      </c>
      <c r="H777" s="9" t="str">
        <f>IFERROR((IF(VLOOKUP(A777,'ECN-ECO_DATA'!B:J,9,FALSE)=0/1/1900,"",VLOOKUP(A777,'ECN-ECO_DATA'!B:J,9,FALSE))),"")</f>
        <v/>
      </c>
      <c r="I777" s="10" t="str">
        <f>IFERROR((IF(VLOOKUP(A777,'ECN-ECO_DATA'!B:Q,13,FALSE)="","",VLOOKUP(A777,'ECN-ECO_DATA'!B:Q,13,FALSE))),"")</f>
        <v/>
      </c>
      <c r="J777" s="10" t="str">
        <f>IFERROR((IF(VLOOKUP(A777,'ECN-ECO_DATA'!B:Q,14,FALSE)="","",VLOOKUP(A777,'ECN-ECO_DATA'!B:Q,14,FALSE))),"")</f>
        <v/>
      </c>
      <c r="K777" s="10" t="str">
        <f>IFERROR((IF(VLOOKUP(A777,'ECN-ECO_DATA'!B:Q,15,FALSE)="","",VLOOKUP(A777,'ECN-ECO_DATA'!B:Q,15,FALSE))),"")</f>
        <v/>
      </c>
      <c r="L777" s="10" t="str">
        <f>IFERROR((IF(VLOOKUP(A777,'ECN-ECO_DATA'!B:Q,16,FALSE)="","",VLOOKUP(A777,'ECN-ECO_DATA'!B:Q,16,FALSE))),"")</f>
        <v/>
      </c>
      <c r="M777" s="9" t="str">
        <f>IFERROR((IF(VLOOKUP(A777,'ECN-ECO_DATA'!B:V,18,FALSE)=0/1/1900,"",VLOOKUP(A777,'ECN-ECO_DATA'!B:V,18,FALSE))),"")</f>
        <v/>
      </c>
      <c r="N777" s="9" t="str">
        <f>IFERROR((IF(VLOOKUP(A777,'ECN-ECO_DATA'!B:V,19,FALSE)=0/1/1900,"",VLOOKUP(A777,'ECN-ECO_DATA'!B:V,19,FALSE))),"")</f>
        <v/>
      </c>
      <c r="O777" s="9" t="str">
        <f>IFERROR((IF(VLOOKUP(A777,'ECN-ECO_DATA'!B:V,20,FALSE)=0/1/1900,"",VLOOKUP(A777,'ECN-ECO_DATA'!B:V,20,FALSE))),"")</f>
        <v/>
      </c>
      <c r="P777" s="9" t="str">
        <f>IFERROR((IF(VLOOKUP(A777,'ECN-ECO_DATA'!B:V,21,FALSE)=0/1/1900,"",VLOOKUP(A777,'ECN-ECO_DATA'!B:V,21,FALSE))),"")</f>
        <v/>
      </c>
      <c r="Q777" s="10" t="str">
        <f t="shared" ca="1" si="60"/>
        <v/>
      </c>
      <c r="R777" s="4" t="str">
        <f t="shared" si="61"/>
        <v/>
      </c>
      <c r="S777" s="4" t="str">
        <f t="shared" si="62"/>
        <v/>
      </c>
      <c r="T777" s="4" t="str">
        <f t="shared" si="63"/>
        <v/>
      </c>
      <c r="U777" s="10" t="str">
        <f t="shared" si="64"/>
        <v/>
      </c>
      <c r="V777" s="4"/>
    </row>
    <row r="778" spans="2:22" x14ac:dyDescent="0.25">
      <c r="B778" s="4" t="str">
        <f>IFERROR(VLOOKUP(A778,'ECN-ECO_DATA'!B:G,4,FALSE),"")</f>
        <v/>
      </c>
      <c r="C778" s="9" t="str">
        <f>IFERROR(VLOOKUP(A778,'ECN-ECO_DATA'!B:G,5,FALSE),"")</f>
        <v/>
      </c>
      <c r="D778" s="9" t="str">
        <f ca="1">IFERROR((IF(VLOOKUP(A778,'ECN-ECO_DATA'!B:G,6,FALSE)=0/1/1900,TODAY(),VLOOKUP(A778,'ECN-ECO_DATA'!B:G,6,FALSE))),"")</f>
        <v/>
      </c>
      <c r="E778" s="9" t="str">
        <f>IFERROR((IF(VLOOKUP(A778,'ECN-ECO_DATA'!B:G,6,FALSE)=0/1/1900,"",VLOOKUP(A778,'ECN-ECO_DATA'!B:G,6,FALSE))),"")</f>
        <v/>
      </c>
      <c r="F778" s="9" t="str">
        <f>IFERROR((IF(VLOOKUP(A778,'ECN-ECO_DATA'!B:J,7,FALSE)=0/1/1900,"",VLOOKUP(A778,'ECN-ECO_DATA'!B:J,7,FALSE))),"")</f>
        <v/>
      </c>
      <c r="G778" s="9" t="str">
        <f>IFERROR((IF(VLOOKUP(A778,'ECN-ECO_DATA'!B:J,8,FALSE)=0/1/1900,"",VLOOKUP(A778,'ECN-ECO_DATA'!B:J,8,FALSE))),"")</f>
        <v/>
      </c>
      <c r="H778" s="9" t="str">
        <f>IFERROR((IF(VLOOKUP(A778,'ECN-ECO_DATA'!B:J,9,FALSE)=0/1/1900,"",VLOOKUP(A778,'ECN-ECO_DATA'!B:J,9,FALSE))),"")</f>
        <v/>
      </c>
      <c r="I778" s="10" t="str">
        <f>IFERROR((IF(VLOOKUP(A778,'ECN-ECO_DATA'!B:Q,13,FALSE)="","",VLOOKUP(A778,'ECN-ECO_DATA'!B:Q,13,FALSE))),"")</f>
        <v/>
      </c>
      <c r="J778" s="10" t="str">
        <f>IFERROR((IF(VLOOKUP(A778,'ECN-ECO_DATA'!B:Q,14,FALSE)="","",VLOOKUP(A778,'ECN-ECO_DATA'!B:Q,14,FALSE))),"")</f>
        <v/>
      </c>
      <c r="K778" s="10" t="str">
        <f>IFERROR((IF(VLOOKUP(A778,'ECN-ECO_DATA'!B:Q,15,FALSE)="","",VLOOKUP(A778,'ECN-ECO_DATA'!B:Q,15,FALSE))),"")</f>
        <v/>
      </c>
      <c r="L778" s="10" t="str">
        <f>IFERROR((IF(VLOOKUP(A778,'ECN-ECO_DATA'!B:Q,16,FALSE)="","",VLOOKUP(A778,'ECN-ECO_DATA'!B:Q,16,FALSE))),"")</f>
        <v/>
      </c>
      <c r="M778" s="9" t="str">
        <f>IFERROR((IF(VLOOKUP(A778,'ECN-ECO_DATA'!B:V,18,FALSE)=0/1/1900,"",VLOOKUP(A778,'ECN-ECO_DATA'!B:V,18,FALSE))),"")</f>
        <v/>
      </c>
      <c r="N778" s="9" t="str">
        <f>IFERROR((IF(VLOOKUP(A778,'ECN-ECO_DATA'!B:V,19,FALSE)=0/1/1900,"",VLOOKUP(A778,'ECN-ECO_DATA'!B:V,19,FALSE))),"")</f>
        <v/>
      </c>
      <c r="O778" s="9" t="str">
        <f>IFERROR((IF(VLOOKUP(A778,'ECN-ECO_DATA'!B:V,20,FALSE)=0/1/1900,"",VLOOKUP(A778,'ECN-ECO_DATA'!B:V,20,FALSE))),"")</f>
        <v/>
      </c>
      <c r="P778" s="9" t="str">
        <f>IFERROR((IF(VLOOKUP(A778,'ECN-ECO_DATA'!B:V,21,FALSE)=0/1/1900,"",VLOOKUP(A778,'ECN-ECO_DATA'!B:V,21,FALSE))),"")</f>
        <v/>
      </c>
      <c r="Q778" s="10" t="str">
        <f t="shared" ca="1" si="60"/>
        <v/>
      </c>
      <c r="R778" s="4" t="str">
        <f t="shared" si="61"/>
        <v/>
      </c>
      <c r="S778" s="4" t="str">
        <f t="shared" si="62"/>
        <v/>
      </c>
      <c r="T778" s="4" t="str">
        <f t="shared" si="63"/>
        <v/>
      </c>
      <c r="U778" s="10" t="str">
        <f t="shared" si="64"/>
        <v/>
      </c>
      <c r="V778" s="4"/>
    </row>
    <row r="779" spans="2:22" x14ac:dyDescent="0.25">
      <c r="B779" s="4" t="str">
        <f>IFERROR(VLOOKUP(A779,'ECN-ECO_DATA'!B:G,4,FALSE),"")</f>
        <v/>
      </c>
      <c r="C779" s="9" t="str">
        <f>IFERROR(VLOOKUP(A779,'ECN-ECO_DATA'!B:G,5,FALSE),"")</f>
        <v/>
      </c>
      <c r="D779" s="9" t="str">
        <f ca="1">IFERROR((IF(VLOOKUP(A779,'ECN-ECO_DATA'!B:G,6,FALSE)=0/1/1900,TODAY(),VLOOKUP(A779,'ECN-ECO_DATA'!B:G,6,FALSE))),"")</f>
        <v/>
      </c>
      <c r="E779" s="9" t="str">
        <f>IFERROR((IF(VLOOKUP(A779,'ECN-ECO_DATA'!B:G,6,FALSE)=0/1/1900,"",VLOOKUP(A779,'ECN-ECO_DATA'!B:G,6,FALSE))),"")</f>
        <v/>
      </c>
      <c r="F779" s="9" t="str">
        <f>IFERROR((IF(VLOOKUP(A779,'ECN-ECO_DATA'!B:J,7,FALSE)=0/1/1900,"",VLOOKUP(A779,'ECN-ECO_DATA'!B:J,7,FALSE))),"")</f>
        <v/>
      </c>
      <c r="G779" s="9" t="str">
        <f>IFERROR((IF(VLOOKUP(A779,'ECN-ECO_DATA'!B:J,8,FALSE)=0/1/1900,"",VLOOKUP(A779,'ECN-ECO_DATA'!B:J,8,FALSE))),"")</f>
        <v/>
      </c>
      <c r="H779" s="9" t="str">
        <f>IFERROR((IF(VLOOKUP(A779,'ECN-ECO_DATA'!B:J,9,FALSE)=0/1/1900,"",VLOOKUP(A779,'ECN-ECO_DATA'!B:J,9,FALSE))),"")</f>
        <v/>
      </c>
      <c r="I779" s="10" t="str">
        <f>IFERROR((IF(VLOOKUP(A779,'ECN-ECO_DATA'!B:Q,13,FALSE)="","",VLOOKUP(A779,'ECN-ECO_DATA'!B:Q,13,FALSE))),"")</f>
        <v/>
      </c>
      <c r="J779" s="10" t="str">
        <f>IFERROR((IF(VLOOKUP(A779,'ECN-ECO_DATA'!B:Q,14,FALSE)="","",VLOOKUP(A779,'ECN-ECO_DATA'!B:Q,14,FALSE))),"")</f>
        <v/>
      </c>
      <c r="K779" s="10" t="str">
        <f>IFERROR((IF(VLOOKUP(A779,'ECN-ECO_DATA'!B:Q,15,FALSE)="","",VLOOKUP(A779,'ECN-ECO_DATA'!B:Q,15,FALSE))),"")</f>
        <v/>
      </c>
      <c r="L779" s="10" t="str">
        <f>IFERROR((IF(VLOOKUP(A779,'ECN-ECO_DATA'!B:Q,16,FALSE)="","",VLOOKUP(A779,'ECN-ECO_DATA'!B:Q,16,FALSE))),"")</f>
        <v/>
      </c>
      <c r="M779" s="9" t="str">
        <f>IFERROR((IF(VLOOKUP(A779,'ECN-ECO_DATA'!B:V,18,FALSE)=0/1/1900,"",VLOOKUP(A779,'ECN-ECO_DATA'!B:V,18,FALSE))),"")</f>
        <v/>
      </c>
      <c r="N779" s="9" t="str">
        <f>IFERROR((IF(VLOOKUP(A779,'ECN-ECO_DATA'!B:V,19,FALSE)=0/1/1900,"",VLOOKUP(A779,'ECN-ECO_DATA'!B:V,19,FALSE))),"")</f>
        <v/>
      </c>
      <c r="O779" s="9" t="str">
        <f>IFERROR((IF(VLOOKUP(A779,'ECN-ECO_DATA'!B:V,20,FALSE)=0/1/1900,"",VLOOKUP(A779,'ECN-ECO_DATA'!B:V,20,FALSE))),"")</f>
        <v/>
      </c>
      <c r="P779" s="9" t="str">
        <f>IFERROR((IF(VLOOKUP(A779,'ECN-ECO_DATA'!B:V,21,FALSE)=0/1/1900,"",VLOOKUP(A779,'ECN-ECO_DATA'!B:V,21,FALSE))),"")</f>
        <v/>
      </c>
      <c r="Q779" s="10" t="str">
        <f t="shared" ca="1" si="60"/>
        <v/>
      </c>
      <c r="R779" s="4" t="str">
        <f t="shared" si="61"/>
        <v/>
      </c>
      <c r="S779" s="4" t="str">
        <f t="shared" si="62"/>
        <v/>
      </c>
      <c r="T779" s="4" t="str">
        <f t="shared" si="63"/>
        <v/>
      </c>
      <c r="U779" s="10" t="str">
        <f t="shared" si="64"/>
        <v/>
      </c>
      <c r="V779" s="4"/>
    </row>
    <row r="780" spans="2:22" x14ac:dyDescent="0.25">
      <c r="B780" s="4" t="str">
        <f>IFERROR(VLOOKUP(A780,'ECN-ECO_DATA'!B:G,4,FALSE),"")</f>
        <v/>
      </c>
      <c r="C780" s="9" t="str">
        <f>IFERROR(VLOOKUP(A780,'ECN-ECO_DATA'!B:G,5,FALSE),"")</f>
        <v/>
      </c>
      <c r="D780" s="9" t="str">
        <f ca="1">IFERROR((IF(VLOOKUP(A780,'ECN-ECO_DATA'!B:G,6,FALSE)=0/1/1900,TODAY(),VLOOKUP(A780,'ECN-ECO_DATA'!B:G,6,FALSE))),"")</f>
        <v/>
      </c>
      <c r="E780" s="9" t="str">
        <f>IFERROR((IF(VLOOKUP(A780,'ECN-ECO_DATA'!B:G,6,FALSE)=0/1/1900,"",VLOOKUP(A780,'ECN-ECO_DATA'!B:G,6,FALSE))),"")</f>
        <v/>
      </c>
      <c r="F780" s="9" t="str">
        <f>IFERROR((IF(VLOOKUP(A780,'ECN-ECO_DATA'!B:J,7,FALSE)=0/1/1900,"",VLOOKUP(A780,'ECN-ECO_DATA'!B:J,7,FALSE))),"")</f>
        <v/>
      </c>
      <c r="G780" s="9" t="str">
        <f>IFERROR((IF(VLOOKUP(A780,'ECN-ECO_DATA'!B:J,8,FALSE)=0/1/1900,"",VLOOKUP(A780,'ECN-ECO_DATA'!B:J,8,FALSE))),"")</f>
        <v/>
      </c>
      <c r="H780" s="9" t="str">
        <f>IFERROR((IF(VLOOKUP(A780,'ECN-ECO_DATA'!B:J,9,FALSE)=0/1/1900,"",VLOOKUP(A780,'ECN-ECO_DATA'!B:J,9,FALSE))),"")</f>
        <v/>
      </c>
      <c r="I780" s="10" t="str">
        <f>IFERROR((IF(VLOOKUP(A780,'ECN-ECO_DATA'!B:Q,13,FALSE)="","",VLOOKUP(A780,'ECN-ECO_DATA'!B:Q,13,FALSE))),"")</f>
        <v/>
      </c>
      <c r="J780" s="10" t="str">
        <f>IFERROR((IF(VLOOKUP(A780,'ECN-ECO_DATA'!B:Q,14,FALSE)="","",VLOOKUP(A780,'ECN-ECO_DATA'!B:Q,14,FALSE))),"")</f>
        <v/>
      </c>
      <c r="K780" s="10" t="str">
        <f>IFERROR((IF(VLOOKUP(A780,'ECN-ECO_DATA'!B:Q,15,FALSE)="","",VLOOKUP(A780,'ECN-ECO_DATA'!B:Q,15,FALSE))),"")</f>
        <v/>
      </c>
      <c r="L780" s="10" t="str">
        <f>IFERROR((IF(VLOOKUP(A780,'ECN-ECO_DATA'!B:Q,16,FALSE)="","",VLOOKUP(A780,'ECN-ECO_DATA'!B:Q,16,FALSE))),"")</f>
        <v/>
      </c>
      <c r="M780" s="9" t="str">
        <f>IFERROR((IF(VLOOKUP(A780,'ECN-ECO_DATA'!B:V,18,FALSE)=0/1/1900,"",VLOOKUP(A780,'ECN-ECO_DATA'!B:V,18,FALSE))),"")</f>
        <v/>
      </c>
      <c r="N780" s="9" t="str">
        <f>IFERROR((IF(VLOOKUP(A780,'ECN-ECO_DATA'!B:V,19,FALSE)=0/1/1900,"",VLOOKUP(A780,'ECN-ECO_DATA'!B:V,19,FALSE))),"")</f>
        <v/>
      </c>
      <c r="O780" s="9" t="str">
        <f>IFERROR((IF(VLOOKUP(A780,'ECN-ECO_DATA'!B:V,20,FALSE)=0/1/1900,"",VLOOKUP(A780,'ECN-ECO_DATA'!B:V,20,FALSE))),"")</f>
        <v/>
      </c>
      <c r="P780" s="9" t="str">
        <f>IFERROR((IF(VLOOKUP(A780,'ECN-ECO_DATA'!B:V,21,FALSE)=0/1/1900,"",VLOOKUP(A780,'ECN-ECO_DATA'!B:V,21,FALSE))),"")</f>
        <v/>
      </c>
      <c r="Q780" s="10" t="str">
        <f t="shared" ca="1" si="60"/>
        <v/>
      </c>
      <c r="R780" s="4" t="str">
        <f t="shared" si="61"/>
        <v/>
      </c>
      <c r="S780" s="4" t="str">
        <f t="shared" si="62"/>
        <v/>
      </c>
      <c r="T780" s="4" t="str">
        <f t="shared" si="63"/>
        <v/>
      </c>
      <c r="U780" s="10" t="str">
        <f t="shared" si="64"/>
        <v/>
      </c>
      <c r="V780" s="4"/>
    </row>
    <row r="781" spans="2:22" x14ac:dyDescent="0.25">
      <c r="B781" s="4" t="str">
        <f>IFERROR(VLOOKUP(A781,'ECN-ECO_DATA'!B:G,4,FALSE),"")</f>
        <v/>
      </c>
      <c r="C781" s="9" t="str">
        <f>IFERROR(VLOOKUP(A781,'ECN-ECO_DATA'!B:G,5,FALSE),"")</f>
        <v/>
      </c>
      <c r="D781" s="9" t="str">
        <f ca="1">IFERROR((IF(VLOOKUP(A781,'ECN-ECO_DATA'!B:G,6,FALSE)=0/1/1900,TODAY(),VLOOKUP(A781,'ECN-ECO_DATA'!B:G,6,FALSE))),"")</f>
        <v/>
      </c>
      <c r="E781" s="9" t="str">
        <f>IFERROR((IF(VLOOKUP(A781,'ECN-ECO_DATA'!B:G,6,FALSE)=0/1/1900,"",VLOOKUP(A781,'ECN-ECO_DATA'!B:G,6,FALSE))),"")</f>
        <v/>
      </c>
      <c r="F781" s="9" t="str">
        <f>IFERROR((IF(VLOOKUP(A781,'ECN-ECO_DATA'!B:J,7,FALSE)=0/1/1900,"",VLOOKUP(A781,'ECN-ECO_DATA'!B:J,7,FALSE))),"")</f>
        <v/>
      </c>
      <c r="G781" s="9" t="str">
        <f>IFERROR((IF(VLOOKUP(A781,'ECN-ECO_DATA'!B:J,8,FALSE)=0/1/1900,"",VLOOKUP(A781,'ECN-ECO_DATA'!B:J,8,FALSE))),"")</f>
        <v/>
      </c>
      <c r="H781" s="9" t="str">
        <f>IFERROR((IF(VLOOKUP(A781,'ECN-ECO_DATA'!B:J,9,FALSE)=0/1/1900,"",VLOOKUP(A781,'ECN-ECO_DATA'!B:J,9,FALSE))),"")</f>
        <v/>
      </c>
      <c r="I781" s="10" t="str">
        <f>IFERROR((IF(VLOOKUP(A781,'ECN-ECO_DATA'!B:Q,13,FALSE)="","",VLOOKUP(A781,'ECN-ECO_DATA'!B:Q,13,FALSE))),"")</f>
        <v/>
      </c>
      <c r="J781" s="10" t="str">
        <f>IFERROR((IF(VLOOKUP(A781,'ECN-ECO_DATA'!B:Q,14,FALSE)="","",VLOOKUP(A781,'ECN-ECO_DATA'!B:Q,14,FALSE))),"")</f>
        <v/>
      </c>
      <c r="K781" s="10" t="str">
        <f>IFERROR((IF(VLOOKUP(A781,'ECN-ECO_DATA'!B:Q,15,FALSE)="","",VLOOKUP(A781,'ECN-ECO_DATA'!B:Q,15,FALSE))),"")</f>
        <v/>
      </c>
      <c r="L781" s="10" t="str">
        <f>IFERROR((IF(VLOOKUP(A781,'ECN-ECO_DATA'!B:Q,16,FALSE)="","",VLOOKUP(A781,'ECN-ECO_DATA'!B:Q,16,FALSE))),"")</f>
        <v/>
      </c>
      <c r="M781" s="9" t="str">
        <f>IFERROR((IF(VLOOKUP(A781,'ECN-ECO_DATA'!B:V,18,FALSE)=0/1/1900,"",VLOOKUP(A781,'ECN-ECO_DATA'!B:V,18,FALSE))),"")</f>
        <v/>
      </c>
      <c r="N781" s="9" t="str">
        <f>IFERROR((IF(VLOOKUP(A781,'ECN-ECO_DATA'!B:V,19,FALSE)=0/1/1900,"",VLOOKUP(A781,'ECN-ECO_DATA'!B:V,19,FALSE))),"")</f>
        <v/>
      </c>
      <c r="O781" s="9" t="str">
        <f>IFERROR((IF(VLOOKUP(A781,'ECN-ECO_DATA'!B:V,20,FALSE)=0/1/1900,"",VLOOKUP(A781,'ECN-ECO_DATA'!B:V,20,FALSE))),"")</f>
        <v/>
      </c>
      <c r="P781" s="9" t="str">
        <f>IFERROR((IF(VLOOKUP(A781,'ECN-ECO_DATA'!B:V,21,FALSE)=0/1/1900,"",VLOOKUP(A781,'ECN-ECO_DATA'!B:V,21,FALSE))),"")</f>
        <v/>
      </c>
      <c r="Q781" s="10" t="str">
        <f t="shared" ca="1" si="60"/>
        <v/>
      </c>
      <c r="R781" s="4" t="str">
        <f t="shared" si="61"/>
        <v/>
      </c>
      <c r="S781" s="4" t="str">
        <f t="shared" si="62"/>
        <v/>
      </c>
      <c r="T781" s="4" t="str">
        <f t="shared" si="63"/>
        <v/>
      </c>
      <c r="U781" s="10" t="str">
        <f t="shared" si="64"/>
        <v/>
      </c>
      <c r="V781" s="4"/>
    </row>
    <row r="782" spans="2:22" x14ac:dyDescent="0.25">
      <c r="B782" s="4" t="str">
        <f>IFERROR(VLOOKUP(A782,'ECN-ECO_DATA'!B:G,4,FALSE),"")</f>
        <v/>
      </c>
      <c r="C782" s="9" t="str">
        <f>IFERROR(VLOOKUP(A782,'ECN-ECO_DATA'!B:G,5,FALSE),"")</f>
        <v/>
      </c>
      <c r="D782" s="9" t="str">
        <f ca="1">IFERROR((IF(VLOOKUP(A782,'ECN-ECO_DATA'!B:G,6,FALSE)=0/1/1900,TODAY(),VLOOKUP(A782,'ECN-ECO_DATA'!B:G,6,FALSE))),"")</f>
        <v/>
      </c>
      <c r="E782" s="9" t="str">
        <f>IFERROR((IF(VLOOKUP(A782,'ECN-ECO_DATA'!B:G,6,FALSE)=0/1/1900,"",VLOOKUP(A782,'ECN-ECO_DATA'!B:G,6,FALSE))),"")</f>
        <v/>
      </c>
      <c r="F782" s="9" t="str">
        <f>IFERROR((IF(VLOOKUP(A782,'ECN-ECO_DATA'!B:J,7,FALSE)=0/1/1900,"",VLOOKUP(A782,'ECN-ECO_DATA'!B:J,7,FALSE))),"")</f>
        <v/>
      </c>
      <c r="G782" s="9" t="str">
        <f>IFERROR((IF(VLOOKUP(A782,'ECN-ECO_DATA'!B:J,8,FALSE)=0/1/1900,"",VLOOKUP(A782,'ECN-ECO_DATA'!B:J,8,FALSE))),"")</f>
        <v/>
      </c>
      <c r="H782" s="9" t="str">
        <f>IFERROR((IF(VLOOKUP(A782,'ECN-ECO_DATA'!B:J,9,FALSE)=0/1/1900,"",VLOOKUP(A782,'ECN-ECO_DATA'!B:J,9,FALSE))),"")</f>
        <v/>
      </c>
      <c r="I782" s="10" t="str">
        <f>IFERROR((IF(VLOOKUP(A782,'ECN-ECO_DATA'!B:Q,13,FALSE)="","",VLOOKUP(A782,'ECN-ECO_DATA'!B:Q,13,FALSE))),"")</f>
        <v/>
      </c>
      <c r="J782" s="10" t="str">
        <f>IFERROR((IF(VLOOKUP(A782,'ECN-ECO_DATA'!B:Q,14,FALSE)="","",VLOOKUP(A782,'ECN-ECO_DATA'!B:Q,14,FALSE))),"")</f>
        <v/>
      </c>
      <c r="K782" s="10" t="str">
        <f>IFERROR((IF(VLOOKUP(A782,'ECN-ECO_DATA'!B:Q,15,FALSE)="","",VLOOKUP(A782,'ECN-ECO_DATA'!B:Q,15,FALSE))),"")</f>
        <v/>
      </c>
      <c r="L782" s="10" t="str">
        <f>IFERROR((IF(VLOOKUP(A782,'ECN-ECO_DATA'!B:Q,16,FALSE)="","",VLOOKUP(A782,'ECN-ECO_DATA'!B:Q,16,FALSE))),"")</f>
        <v/>
      </c>
      <c r="M782" s="9" t="str">
        <f>IFERROR((IF(VLOOKUP(A782,'ECN-ECO_DATA'!B:V,18,FALSE)=0/1/1900,"",VLOOKUP(A782,'ECN-ECO_DATA'!B:V,18,FALSE))),"")</f>
        <v/>
      </c>
      <c r="N782" s="9" t="str">
        <f>IFERROR((IF(VLOOKUP(A782,'ECN-ECO_DATA'!B:V,19,FALSE)=0/1/1900,"",VLOOKUP(A782,'ECN-ECO_DATA'!B:V,19,FALSE))),"")</f>
        <v/>
      </c>
      <c r="O782" s="9" t="str">
        <f>IFERROR((IF(VLOOKUP(A782,'ECN-ECO_DATA'!B:V,20,FALSE)=0/1/1900,"",VLOOKUP(A782,'ECN-ECO_DATA'!B:V,20,FALSE))),"")</f>
        <v/>
      </c>
      <c r="P782" s="9" t="str">
        <f>IFERROR((IF(VLOOKUP(A782,'ECN-ECO_DATA'!B:V,21,FALSE)=0/1/1900,"",VLOOKUP(A782,'ECN-ECO_DATA'!B:V,21,FALSE))),"")</f>
        <v/>
      </c>
      <c r="Q782" s="10" t="str">
        <f t="shared" ca="1" si="60"/>
        <v/>
      </c>
      <c r="R782" s="4" t="str">
        <f t="shared" si="61"/>
        <v/>
      </c>
      <c r="S782" s="4" t="str">
        <f t="shared" si="62"/>
        <v/>
      </c>
      <c r="T782" s="4" t="str">
        <f t="shared" si="63"/>
        <v/>
      </c>
      <c r="U782" s="10" t="str">
        <f t="shared" si="64"/>
        <v/>
      </c>
      <c r="V782" s="4"/>
    </row>
    <row r="783" spans="2:22" x14ac:dyDescent="0.25">
      <c r="B783" s="4" t="str">
        <f>IFERROR(VLOOKUP(A783,'ECN-ECO_DATA'!B:G,4,FALSE),"")</f>
        <v/>
      </c>
      <c r="C783" s="9" t="str">
        <f>IFERROR(VLOOKUP(A783,'ECN-ECO_DATA'!B:G,5,FALSE),"")</f>
        <v/>
      </c>
      <c r="D783" s="9" t="str">
        <f ca="1">IFERROR((IF(VLOOKUP(A783,'ECN-ECO_DATA'!B:G,6,FALSE)=0/1/1900,TODAY(),VLOOKUP(A783,'ECN-ECO_DATA'!B:G,6,FALSE))),"")</f>
        <v/>
      </c>
      <c r="E783" s="9" t="str">
        <f>IFERROR((IF(VLOOKUP(A783,'ECN-ECO_DATA'!B:G,6,FALSE)=0/1/1900,"",VLOOKUP(A783,'ECN-ECO_DATA'!B:G,6,FALSE))),"")</f>
        <v/>
      </c>
      <c r="F783" s="9" t="str">
        <f>IFERROR((IF(VLOOKUP(A783,'ECN-ECO_DATA'!B:J,7,FALSE)=0/1/1900,"",VLOOKUP(A783,'ECN-ECO_DATA'!B:J,7,FALSE))),"")</f>
        <v/>
      </c>
      <c r="G783" s="9" t="str">
        <f>IFERROR((IF(VLOOKUP(A783,'ECN-ECO_DATA'!B:J,8,FALSE)=0/1/1900,"",VLOOKUP(A783,'ECN-ECO_DATA'!B:J,8,FALSE))),"")</f>
        <v/>
      </c>
      <c r="H783" s="9" t="str">
        <f>IFERROR((IF(VLOOKUP(A783,'ECN-ECO_DATA'!B:J,9,FALSE)=0/1/1900,"",VLOOKUP(A783,'ECN-ECO_DATA'!B:J,9,FALSE))),"")</f>
        <v/>
      </c>
      <c r="I783" s="10" t="str">
        <f>IFERROR((IF(VLOOKUP(A783,'ECN-ECO_DATA'!B:Q,13,FALSE)="","",VLOOKUP(A783,'ECN-ECO_DATA'!B:Q,13,FALSE))),"")</f>
        <v/>
      </c>
      <c r="J783" s="10" t="str">
        <f>IFERROR((IF(VLOOKUP(A783,'ECN-ECO_DATA'!B:Q,14,FALSE)="","",VLOOKUP(A783,'ECN-ECO_DATA'!B:Q,14,FALSE))),"")</f>
        <v/>
      </c>
      <c r="K783" s="10" t="str">
        <f>IFERROR((IF(VLOOKUP(A783,'ECN-ECO_DATA'!B:Q,15,FALSE)="","",VLOOKUP(A783,'ECN-ECO_DATA'!B:Q,15,FALSE))),"")</f>
        <v/>
      </c>
      <c r="L783" s="10" t="str">
        <f>IFERROR((IF(VLOOKUP(A783,'ECN-ECO_DATA'!B:Q,16,FALSE)="","",VLOOKUP(A783,'ECN-ECO_DATA'!B:Q,16,FALSE))),"")</f>
        <v/>
      </c>
      <c r="M783" s="9" t="str">
        <f>IFERROR((IF(VLOOKUP(A783,'ECN-ECO_DATA'!B:V,18,FALSE)=0/1/1900,"",VLOOKUP(A783,'ECN-ECO_DATA'!B:V,18,FALSE))),"")</f>
        <v/>
      </c>
      <c r="N783" s="9" t="str">
        <f>IFERROR((IF(VLOOKUP(A783,'ECN-ECO_DATA'!B:V,19,FALSE)=0/1/1900,"",VLOOKUP(A783,'ECN-ECO_DATA'!B:V,19,FALSE))),"")</f>
        <v/>
      </c>
      <c r="O783" s="9" t="str">
        <f>IFERROR((IF(VLOOKUP(A783,'ECN-ECO_DATA'!B:V,20,FALSE)=0/1/1900,"",VLOOKUP(A783,'ECN-ECO_DATA'!B:V,20,FALSE))),"")</f>
        <v/>
      </c>
      <c r="P783" s="9" t="str">
        <f>IFERROR((IF(VLOOKUP(A783,'ECN-ECO_DATA'!B:V,21,FALSE)=0/1/1900,"",VLOOKUP(A783,'ECN-ECO_DATA'!B:V,21,FALSE))),"")</f>
        <v/>
      </c>
      <c r="Q783" s="10" t="str">
        <f t="shared" ca="1" si="60"/>
        <v/>
      </c>
      <c r="R783" s="4" t="str">
        <f t="shared" si="61"/>
        <v/>
      </c>
      <c r="S783" s="4" t="str">
        <f t="shared" si="62"/>
        <v/>
      </c>
      <c r="T783" s="4" t="str">
        <f t="shared" si="63"/>
        <v/>
      </c>
      <c r="U783" s="10" t="str">
        <f t="shared" si="64"/>
        <v/>
      </c>
      <c r="V783" s="4"/>
    </row>
    <row r="784" spans="2:22" x14ac:dyDescent="0.25">
      <c r="B784" s="4" t="str">
        <f>IFERROR(VLOOKUP(A784,'ECN-ECO_DATA'!B:G,4,FALSE),"")</f>
        <v/>
      </c>
      <c r="C784" s="9" t="str">
        <f>IFERROR(VLOOKUP(A784,'ECN-ECO_DATA'!B:G,5,FALSE),"")</f>
        <v/>
      </c>
      <c r="D784" s="9" t="str">
        <f ca="1">IFERROR((IF(VLOOKUP(A784,'ECN-ECO_DATA'!B:G,6,FALSE)=0/1/1900,TODAY(),VLOOKUP(A784,'ECN-ECO_DATA'!B:G,6,FALSE))),"")</f>
        <v/>
      </c>
      <c r="E784" s="9" t="str">
        <f>IFERROR((IF(VLOOKUP(A784,'ECN-ECO_DATA'!B:G,6,FALSE)=0/1/1900,"",VLOOKUP(A784,'ECN-ECO_DATA'!B:G,6,FALSE))),"")</f>
        <v/>
      </c>
      <c r="F784" s="9" t="str">
        <f>IFERROR((IF(VLOOKUP(A784,'ECN-ECO_DATA'!B:J,7,FALSE)=0/1/1900,"",VLOOKUP(A784,'ECN-ECO_DATA'!B:J,7,FALSE))),"")</f>
        <v/>
      </c>
      <c r="G784" s="9" t="str">
        <f>IFERROR((IF(VLOOKUP(A784,'ECN-ECO_DATA'!B:J,8,FALSE)=0/1/1900,"",VLOOKUP(A784,'ECN-ECO_DATA'!B:J,8,FALSE))),"")</f>
        <v/>
      </c>
      <c r="H784" s="9" t="str">
        <f>IFERROR((IF(VLOOKUP(A784,'ECN-ECO_DATA'!B:J,9,FALSE)=0/1/1900,"",VLOOKUP(A784,'ECN-ECO_DATA'!B:J,9,FALSE))),"")</f>
        <v/>
      </c>
      <c r="I784" s="10" t="str">
        <f>IFERROR((IF(VLOOKUP(A784,'ECN-ECO_DATA'!B:Q,13,FALSE)="","",VLOOKUP(A784,'ECN-ECO_DATA'!B:Q,13,FALSE))),"")</f>
        <v/>
      </c>
      <c r="J784" s="10" t="str">
        <f>IFERROR((IF(VLOOKUP(A784,'ECN-ECO_DATA'!B:Q,14,FALSE)="","",VLOOKUP(A784,'ECN-ECO_DATA'!B:Q,14,FALSE))),"")</f>
        <v/>
      </c>
      <c r="K784" s="10" t="str">
        <f>IFERROR((IF(VLOOKUP(A784,'ECN-ECO_DATA'!B:Q,15,FALSE)="","",VLOOKUP(A784,'ECN-ECO_DATA'!B:Q,15,FALSE))),"")</f>
        <v/>
      </c>
      <c r="L784" s="10" t="str">
        <f>IFERROR((IF(VLOOKUP(A784,'ECN-ECO_DATA'!B:Q,16,FALSE)="","",VLOOKUP(A784,'ECN-ECO_DATA'!B:Q,16,FALSE))),"")</f>
        <v/>
      </c>
      <c r="M784" s="9" t="str">
        <f>IFERROR((IF(VLOOKUP(A784,'ECN-ECO_DATA'!B:V,18,FALSE)=0/1/1900,"",VLOOKUP(A784,'ECN-ECO_DATA'!B:V,18,FALSE))),"")</f>
        <v/>
      </c>
      <c r="N784" s="9" t="str">
        <f>IFERROR((IF(VLOOKUP(A784,'ECN-ECO_DATA'!B:V,19,FALSE)=0/1/1900,"",VLOOKUP(A784,'ECN-ECO_DATA'!B:V,19,FALSE))),"")</f>
        <v/>
      </c>
      <c r="O784" s="9" t="str">
        <f>IFERROR((IF(VLOOKUP(A784,'ECN-ECO_DATA'!B:V,20,FALSE)=0/1/1900,"",VLOOKUP(A784,'ECN-ECO_DATA'!B:V,20,FALSE))),"")</f>
        <v/>
      </c>
      <c r="P784" s="9" t="str">
        <f>IFERROR((IF(VLOOKUP(A784,'ECN-ECO_DATA'!B:V,21,FALSE)=0/1/1900,"",VLOOKUP(A784,'ECN-ECO_DATA'!B:V,21,FALSE))),"")</f>
        <v/>
      </c>
      <c r="Q784" s="10" t="str">
        <f t="shared" ca="1" si="60"/>
        <v/>
      </c>
      <c r="R784" s="4" t="str">
        <f t="shared" si="61"/>
        <v/>
      </c>
      <c r="S784" s="4" t="str">
        <f t="shared" si="62"/>
        <v/>
      </c>
      <c r="T784" s="4" t="str">
        <f t="shared" si="63"/>
        <v/>
      </c>
      <c r="U784" s="10" t="str">
        <f t="shared" si="64"/>
        <v/>
      </c>
      <c r="V784" s="4"/>
    </row>
    <row r="785" spans="2:22" x14ac:dyDescent="0.25">
      <c r="B785" s="4" t="str">
        <f>IFERROR(VLOOKUP(A785,'ECN-ECO_DATA'!B:G,4,FALSE),"")</f>
        <v/>
      </c>
      <c r="C785" s="9" t="str">
        <f>IFERROR(VLOOKUP(A785,'ECN-ECO_DATA'!B:G,5,FALSE),"")</f>
        <v/>
      </c>
      <c r="D785" s="9" t="str">
        <f ca="1">IFERROR((IF(VLOOKUP(A785,'ECN-ECO_DATA'!B:G,6,FALSE)=0/1/1900,TODAY(),VLOOKUP(A785,'ECN-ECO_DATA'!B:G,6,FALSE))),"")</f>
        <v/>
      </c>
      <c r="E785" s="9" t="str">
        <f>IFERROR((IF(VLOOKUP(A785,'ECN-ECO_DATA'!B:G,6,FALSE)=0/1/1900,"",VLOOKUP(A785,'ECN-ECO_DATA'!B:G,6,FALSE))),"")</f>
        <v/>
      </c>
      <c r="F785" s="9" t="str">
        <f>IFERROR((IF(VLOOKUP(A785,'ECN-ECO_DATA'!B:J,7,FALSE)=0/1/1900,"",VLOOKUP(A785,'ECN-ECO_DATA'!B:J,7,FALSE))),"")</f>
        <v/>
      </c>
      <c r="G785" s="9" t="str">
        <f>IFERROR((IF(VLOOKUP(A785,'ECN-ECO_DATA'!B:J,8,FALSE)=0/1/1900,"",VLOOKUP(A785,'ECN-ECO_DATA'!B:J,8,FALSE))),"")</f>
        <v/>
      </c>
      <c r="H785" s="9" t="str">
        <f>IFERROR((IF(VLOOKUP(A785,'ECN-ECO_DATA'!B:J,9,FALSE)=0/1/1900,"",VLOOKUP(A785,'ECN-ECO_DATA'!B:J,9,FALSE))),"")</f>
        <v/>
      </c>
      <c r="I785" s="10" t="str">
        <f>IFERROR((IF(VLOOKUP(A785,'ECN-ECO_DATA'!B:Q,13,FALSE)="","",VLOOKUP(A785,'ECN-ECO_DATA'!B:Q,13,FALSE))),"")</f>
        <v/>
      </c>
      <c r="J785" s="10" t="str">
        <f>IFERROR((IF(VLOOKUP(A785,'ECN-ECO_DATA'!B:Q,14,FALSE)="","",VLOOKUP(A785,'ECN-ECO_DATA'!B:Q,14,FALSE))),"")</f>
        <v/>
      </c>
      <c r="K785" s="10" t="str">
        <f>IFERROR((IF(VLOOKUP(A785,'ECN-ECO_DATA'!B:Q,15,FALSE)="","",VLOOKUP(A785,'ECN-ECO_DATA'!B:Q,15,FALSE))),"")</f>
        <v/>
      </c>
      <c r="L785" s="10" t="str">
        <f>IFERROR((IF(VLOOKUP(A785,'ECN-ECO_DATA'!B:Q,16,FALSE)="","",VLOOKUP(A785,'ECN-ECO_DATA'!B:Q,16,FALSE))),"")</f>
        <v/>
      </c>
      <c r="M785" s="9" t="str">
        <f>IFERROR((IF(VLOOKUP(A785,'ECN-ECO_DATA'!B:V,18,FALSE)=0/1/1900,"",VLOOKUP(A785,'ECN-ECO_DATA'!B:V,18,FALSE))),"")</f>
        <v/>
      </c>
      <c r="N785" s="9" t="str">
        <f>IFERROR((IF(VLOOKUP(A785,'ECN-ECO_DATA'!B:V,19,FALSE)=0/1/1900,"",VLOOKUP(A785,'ECN-ECO_DATA'!B:V,19,FALSE))),"")</f>
        <v/>
      </c>
      <c r="O785" s="9" t="str">
        <f>IFERROR((IF(VLOOKUP(A785,'ECN-ECO_DATA'!B:V,20,FALSE)=0/1/1900,"",VLOOKUP(A785,'ECN-ECO_DATA'!B:V,20,FALSE))),"")</f>
        <v/>
      </c>
      <c r="P785" s="9" t="str">
        <f>IFERROR((IF(VLOOKUP(A785,'ECN-ECO_DATA'!B:V,21,FALSE)=0/1/1900,"",VLOOKUP(A785,'ECN-ECO_DATA'!B:V,21,FALSE))),"")</f>
        <v/>
      </c>
      <c r="Q785" s="10" t="str">
        <f t="shared" ca="1" si="60"/>
        <v/>
      </c>
      <c r="R785" s="4" t="str">
        <f t="shared" si="61"/>
        <v/>
      </c>
      <c r="S785" s="4" t="str">
        <f t="shared" si="62"/>
        <v/>
      </c>
      <c r="T785" s="4" t="str">
        <f t="shared" si="63"/>
        <v/>
      </c>
      <c r="U785" s="10" t="str">
        <f t="shared" si="64"/>
        <v/>
      </c>
      <c r="V785" s="4"/>
    </row>
    <row r="786" spans="2:22" x14ac:dyDescent="0.25">
      <c r="B786" s="4" t="str">
        <f>IFERROR(VLOOKUP(A786,'ECN-ECO_DATA'!B:G,4,FALSE),"")</f>
        <v/>
      </c>
      <c r="C786" s="9" t="str">
        <f>IFERROR(VLOOKUP(A786,'ECN-ECO_DATA'!B:G,5,FALSE),"")</f>
        <v/>
      </c>
      <c r="D786" s="9" t="str">
        <f ca="1">IFERROR((IF(VLOOKUP(A786,'ECN-ECO_DATA'!B:G,6,FALSE)=0/1/1900,TODAY(),VLOOKUP(A786,'ECN-ECO_DATA'!B:G,6,FALSE))),"")</f>
        <v/>
      </c>
      <c r="E786" s="9" t="str">
        <f>IFERROR((IF(VLOOKUP(A786,'ECN-ECO_DATA'!B:G,6,FALSE)=0/1/1900,"",VLOOKUP(A786,'ECN-ECO_DATA'!B:G,6,FALSE))),"")</f>
        <v/>
      </c>
      <c r="F786" s="9" t="str">
        <f>IFERROR((IF(VLOOKUP(A786,'ECN-ECO_DATA'!B:J,7,FALSE)=0/1/1900,"",VLOOKUP(A786,'ECN-ECO_DATA'!B:J,7,FALSE))),"")</f>
        <v/>
      </c>
      <c r="G786" s="9" t="str">
        <f>IFERROR((IF(VLOOKUP(A786,'ECN-ECO_DATA'!B:J,8,FALSE)=0/1/1900,"",VLOOKUP(A786,'ECN-ECO_DATA'!B:J,8,FALSE))),"")</f>
        <v/>
      </c>
      <c r="H786" s="9" t="str">
        <f>IFERROR((IF(VLOOKUP(A786,'ECN-ECO_DATA'!B:J,9,FALSE)=0/1/1900,"",VLOOKUP(A786,'ECN-ECO_DATA'!B:J,9,FALSE))),"")</f>
        <v/>
      </c>
      <c r="I786" s="10" t="str">
        <f>IFERROR((IF(VLOOKUP(A786,'ECN-ECO_DATA'!B:Q,13,FALSE)="","",VLOOKUP(A786,'ECN-ECO_DATA'!B:Q,13,FALSE))),"")</f>
        <v/>
      </c>
      <c r="J786" s="10" t="str">
        <f>IFERROR((IF(VLOOKUP(A786,'ECN-ECO_DATA'!B:Q,14,FALSE)="","",VLOOKUP(A786,'ECN-ECO_DATA'!B:Q,14,FALSE))),"")</f>
        <v/>
      </c>
      <c r="K786" s="10" t="str">
        <f>IFERROR((IF(VLOOKUP(A786,'ECN-ECO_DATA'!B:Q,15,FALSE)="","",VLOOKUP(A786,'ECN-ECO_DATA'!B:Q,15,FALSE))),"")</f>
        <v/>
      </c>
      <c r="L786" s="10" t="str">
        <f>IFERROR((IF(VLOOKUP(A786,'ECN-ECO_DATA'!B:Q,16,FALSE)="","",VLOOKUP(A786,'ECN-ECO_DATA'!B:Q,16,FALSE))),"")</f>
        <v/>
      </c>
      <c r="M786" s="9" t="str">
        <f>IFERROR((IF(VLOOKUP(A786,'ECN-ECO_DATA'!B:V,18,FALSE)=0/1/1900,"",VLOOKUP(A786,'ECN-ECO_DATA'!B:V,18,FALSE))),"")</f>
        <v/>
      </c>
      <c r="N786" s="9" t="str">
        <f>IFERROR((IF(VLOOKUP(A786,'ECN-ECO_DATA'!B:V,19,FALSE)=0/1/1900,"",VLOOKUP(A786,'ECN-ECO_DATA'!B:V,19,FALSE))),"")</f>
        <v/>
      </c>
      <c r="O786" s="9" t="str">
        <f>IFERROR((IF(VLOOKUP(A786,'ECN-ECO_DATA'!B:V,20,FALSE)=0/1/1900,"",VLOOKUP(A786,'ECN-ECO_DATA'!B:V,20,FALSE))),"")</f>
        <v/>
      </c>
      <c r="P786" s="9" t="str">
        <f>IFERROR((IF(VLOOKUP(A786,'ECN-ECO_DATA'!B:V,21,FALSE)=0/1/1900,"",VLOOKUP(A786,'ECN-ECO_DATA'!B:V,21,FALSE))),"")</f>
        <v/>
      </c>
      <c r="Q786" s="10" t="str">
        <f t="shared" ca="1" si="60"/>
        <v/>
      </c>
      <c r="R786" s="4" t="str">
        <f t="shared" si="61"/>
        <v/>
      </c>
      <c r="S786" s="4" t="str">
        <f t="shared" si="62"/>
        <v/>
      </c>
      <c r="T786" s="4" t="str">
        <f t="shared" si="63"/>
        <v/>
      </c>
      <c r="U786" s="10" t="str">
        <f t="shared" si="64"/>
        <v/>
      </c>
      <c r="V786" s="4"/>
    </row>
    <row r="787" spans="2:22" x14ac:dyDescent="0.25">
      <c r="B787" s="4" t="str">
        <f>IFERROR(VLOOKUP(A787,'ECN-ECO_DATA'!B:G,4,FALSE),"")</f>
        <v/>
      </c>
      <c r="C787" s="9" t="str">
        <f>IFERROR(VLOOKUP(A787,'ECN-ECO_DATA'!B:G,5,FALSE),"")</f>
        <v/>
      </c>
      <c r="D787" s="9" t="str">
        <f ca="1">IFERROR((IF(VLOOKUP(A787,'ECN-ECO_DATA'!B:G,6,FALSE)=0/1/1900,TODAY(),VLOOKUP(A787,'ECN-ECO_DATA'!B:G,6,FALSE))),"")</f>
        <v/>
      </c>
      <c r="E787" s="9" t="str">
        <f>IFERROR((IF(VLOOKUP(A787,'ECN-ECO_DATA'!B:G,6,FALSE)=0/1/1900,"",VLOOKUP(A787,'ECN-ECO_DATA'!B:G,6,FALSE))),"")</f>
        <v/>
      </c>
      <c r="F787" s="9" t="str">
        <f>IFERROR((IF(VLOOKUP(A787,'ECN-ECO_DATA'!B:J,7,FALSE)=0/1/1900,"",VLOOKUP(A787,'ECN-ECO_DATA'!B:J,7,FALSE))),"")</f>
        <v/>
      </c>
      <c r="G787" s="9" t="str">
        <f>IFERROR((IF(VLOOKUP(A787,'ECN-ECO_DATA'!B:J,8,FALSE)=0/1/1900,"",VLOOKUP(A787,'ECN-ECO_DATA'!B:J,8,FALSE))),"")</f>
        <v/>
      </c>
      <c r="H787" s="9" t="str">
        <f>IFERROR((IF(VLOOKUP(A787,'ECN-ECO_DATA'!B:J,9,FALSE)=0/1/1900,"",VLOOKUP(A787,'ECN-ECO_DATA'!B:J,9,FALSE))),"")</f>
        <v/>
      </c>
      <c r="I787" s="10" t="str">
        <f>IFERROR((IF(VLOOKUP(A787,'ECN-ECO_DATA'!B:Q,13,FALSE)="","",VLOOKUP(A787,'ECN-ECO_DATA'!B:Q,13,FALSE))),"")</f>
        <v/>
      </c>
      <c r="J787" s="10" t="str">
        <f>IFERROR((IF(VLOOKUP(A787,'ECN-ECO_DATA'!B:Q,14,FALSE)="","",VLOOKUP(A787,'ECN-ECO_DATA'!B:Q,14,FALSE))),"")</f>
        <v/>
      </c>
      <c r="K787" s="10" t="str">
        <f>IFERROR((IF(VLOOKUP(A787,'ECN-ECO_DATA'!B:Q,15,FALSE)="","",VLOOKUP(A787,'ECN-ECO_DATA'!B:Q,15,FALSE))),"")</f>
        <v/>
      </c>
      <c r="L787" s="10" t="str">
        <f>IFERROR((IF(VLOOKUP(A787,'ECN-ECO_DATA'!B:Q,16,FALSE)="","",VLOOKUP(A787,'ECN-ECO_DATA'!B:Q,16,FALSE))),"")</f>
        <v/>
      </c>
      <c r="M787" s="9" t="str">
        <f>IFERROR((IF(VLOOKUP(A787,'ECN-ECO_DATA'!B:V,18,FALSE)=0/1/1900,"",VLOOKUP(A787,'ECN-ECO_DATA'!B:V,18,FALSE))),"")</f>
        <v/>
      </c>
      <c r="N787" s="9" t="str">
        <f>IFERROR((IF(VLOOKUP(A787,'ECN-ECO_DATA'!B:V,19,FALSE)=0/1/1900,"",VLOOKUP(A787,'ECN-ECO_DATA'!B:V,19,FALSE))),"")</f>
        <v/>
      </c>
      <c r="O787" s="9" t="str">
        <f>IFERROR((IF(VLOOKUP(A787,'ECN-ECO_DATA'!B:V,20,FALSE)=0/1/1900,"",VLOOKUP(A787,'ECN-ECO_DATA'!B:V,20,FALSE))),"")</f>
        <v/>
      </c>
      <c r="P787" s="9" t="str">
        <f>IFERROR((IF(VLOOKUP(A787,'ECN-ECO_DATA'!B:V,21,FALSE)=0/1/1900,"",VLOOKUP(A787,'ECN-ECO_DATA'!B:V,21,FALSE))),"")</f>
        <v/>
      </c>
      <c r="Q787" s="10" t="str">
        <f t="shared" ca="1" si="60"/>
        <v/>
      </c>
      <c r="R787" s="4" t="str">
        <f t="shared" si="61"/>
        <v/>
      </c>
      <c r="S787" s="4" t="str">
        <f t="shared" si="62"/>
        <v/>
      </c>
      <c r="T787" s="4" t="str">
        <f t="shared" si="63"/>
        <v/>
      </c>
      <c r="U787" s="10" t="str">
        <f t="shared" si="64"/>
        <v/>
      </c>
      <c r="V787" s="4"/>
    </row>
    <row r="788" spans="2:22" x14ac:dyDescent="0.25">
      <c r="B788" s="4" t="str">
        <f>IFERROR(VLOOKUP(A788,'ECN-ECO_DATA'!B:G,4,FALSE),"")</f>
        <v/>
      </c>
      <c r="C788" s="9" t="str">
        <f>IFERROR(VLOOKUP(A788,'ECN-ECO_DATA'!B:G,5,FALSE),"")</f>
        <v/>
      </c>
      <c r="D788" s="9" t="str">
        <f ca="1">IFERROR((IF(VLOOKUP(A788,'ECN-ECO_DATA'!B:G,6,FALSE)=0/1/1900,TODAY(),VLOOKUP(A788,'ECN-ECO_DATA'!B:G,6,FALSE))),"")</f>
        <v/>
      </c>
      <c r="E788" s="9" t="str">
        <f>IFERROR((IF(VLOOKUP(A788,'ECN-ECO_DATA'!B:G,6,FALSE)=0/1/1900,"",VLOOKUP(A788,'ECN-ECO_DATA'!B:G,6,FALSE))),"")</f>
        <v/>
      </c>
      <c r="F788" s="9" t="str">
        <f>IFERROR((IF(VLOOKUP(A788,'ECN-ECO_DATA'!B:J,7,FALSE)=0/1/1900,"",VLOOKUP(A788,'ECN-ECO_DATA'!B:J,7,FALSE))),"")</f>
        <v/>
      </c>
      <c r="G788" s="9" t="str">
        <f>IFERROR((IF(VLOOKUP(A788,'ECN-ECO_DATA'!B:J,8,FALSE)=0/1/1900,"",VLOOKUP(A788,'ECN-ECO_DATA'!B:J,8,FALSE))),"")</f>
        <v/>
      </c>
      <c r="H788" s="9" t="str">
        <f>IFERROR((IF(VLOOKUP(A788,'ECN-ECO_DATA'!B:J,9,FALSE)=0/1/1900,"",VLOOKUP(A788,'ECN-ECO_DATA'!B:J,9,FALSE))),"")</f>
        <v/>
      </c>
      <c r="I788" s="10" t="str">
        <f>IFERROR((IF(VLOOKUP(A788,'ECN-ECO_DATA'!B:Q,13,FALSE)="","",VLOOKUP(A788,'ECN-ECO_DATA'!B:Q,13,FALSE))),"")</f>
        <v/>
      </c>
      <c r="J788" s="10" t="str">
        <f>IFERROR((IF(VLOOKUP(A788,'ECN-ECO_DATA'!B:Q,14,FALSE)="","",VLOOKUP(A788,'ECN-ECO_DATA'!B:Q,14,FALSE))),"")</f>
        <v/>
      </c>
      <c r="K788" s="10" t="str">
        <f>IFERROR((IF(VLOOKUP(A788,'ECN-ECO_DATA'!B:Q,15,FALSE)="","",VLOOKUP(A788,'ECN-ECO_DATA'!B:Q,15,FALSE))),"")</f>
        <v/>
      </c>
      <c r="L788" s="10" t="str">
        <f>IFERROR((IF(VLOOKUP(A788,'ECN-ECO_DATA'!B:Q,16,FALSE)="","",VLOOKUP(A788,'ECN-ECO_DATA'!B:Q,16,FALSE))),"")</f>
        <v/>
      </c>
      <c r="M788" s="9" t="str">
        <f>IFERROR((IF(VLOOKUP(A788,'ECN-ECO_DATA'!B:V,18,FALSE)=0/1/1900,"",VLOOKUP(A788,'ECN-ECO_DATA'!B:V,18,FALSE))),"")</f>
        <v/>
      </c>
      <c r="N788" s="9" t="str">
        <f>IFERROR((IF(VLOOKUP(A788,'ECN-ECO_DATA'!B:V,19,FALSE)=0/1/1900,"",VLOOKUP(A788,'ECN-ECO_DATA'!B:V,19,FALSE))),"")</f>
        <v/>
      </c>
      <c r="O788" s="9" t="str">
        <f>IFERROR((IF(VLOOKUP(A788,'ECN-ECO_DATA'!B:V,20,FALSE)=0/1/1900,"",VLOOKUP(A788,'ECN-ECO_DATA'!B:V,20,FALSE))),"")</f>
        <v/>
      </c>
      <c r="P788" s="9" t="str">
        <f>IFERROR((IF(VLOOKUP(A788,'ECN-ECO_DATA'!B:V,21,FALSE)=0/1/1900,"",VLOOKUP(A788,'ECN-ECO_DATA'!B:V,21,FALSE))),"")</f>
        <v/>
      </c>
      <c r="Q788" s="10" t="str">
        <f t="shared" ca="1" si="60"/>
        <v/>
      </c>
      <c r="R788" s="4" t="str">
        <f t="shared" si="61"/>
        <v/>
      </c>
      <c r="S788" s="4" t="str">
        <f t="shared" si="62"/>
        <v/>
      </c>
      <c r="T788" s="4" t="str">
        <f t="shared" si="63"/>
        <v/>
      </c>
      <c r="U788" s="10" t="str">
        <f t="shared" si="64"/>
        <v/>
      </c>
      <c r="V788" s="4"/>
    </row>
    <row r="789" spans="2:22" x14ac:dyDescent="0.25">
      <c r="B789" s="4" t="str">
        <f>IFERROR(VLOOKUP(A789,'ECN-ECO_DATA'!B:G,4,FALSE),"")</f>
        <v/>
      </c>
      <c r="C789" s="9" t="str">
        <f>IFERROR(VLOOKUP(A789,'ECN-ECO_DATA'!B:G,5,FALSE),"")</f>
        <v/>
      </c>
      <c r="D789" s="9" t="str">
        <f ca="1">IFERROR((IF(VLOOKUP(A789,'ECN-ECO_DATA'!B:G,6,FALSE)=0/1/1900,TODAY(),VLOOKUP(A789,'ECN-ECO_DATA'!B:G,6,FALSE))),"")</f>
        <v/>
      </c>
      <c r="E789" s="9" t="str">
        <f>IFERROR((IF(VLOOKUP(A789,'ECN-ECO_DATA'!B:G,6,FALSE)=0/1/1900,"",VLOOKUP(A789,'ECN-ECO_DATA'!B:G,6,FALSE))),"")</f>
        <v/>
      </c>
      <c r="F789" s="9" t="str">
        <f>IFERROR((IF(VLOOKUP(A789,'ECN-ECO_DATA'!B:J,7,FALSE)=0/1/1900,"",VLOOKUP(A789,'ECN-ECO_DATA'!B:J,7,FALSE))),"")</f>
        <v/>
      </c>
      <c r="G789" s="9" t="str">
        <f>IFERROR((IF(VLOOKUP(A789,'ECN-ECO_DATA'!B:J,8,FALSE)=0/1/1900,"",VLOOKUP(A789,'ECN-ECO_DATA'!B:J,8,FALSE))),"")</f>
        <v/>
      </c>
      <c r="H789" s="9" t="str">
        <f>IFERROR((IF(VLOOKUP(A789,'ECN-ECO_DATA'!B:J,9,FALSE)=0/1/1900,"",VLOOKUP(A789,'ECN-ECO_DATA'!B:J,9,FALSE))),"")</f>
        <v/>
      </c>
      <c r="I789" s="10" t="str">
        <f>IFERROR((IF(VLOOKUP(A789,'ECN-ECO_DATA'!B:Q,13,FALSE)="","",VLOOKUP(A789,'ECN-ECO_DATA'!B:Q,13,FALSE))),"")</f>
        <v/>
      </c>
      <c r="J789" s="10" t="str">
        <f>IFERROR((IF(VLOOKUP(A789,'ECN-ECO_DATA'!B:Q,14,FALSE)="","",VLOOKUP(A789,'ECN-ECO_DATA'!B:Q,14,FALSE))),"")</f>
        <v/>
      </c>
      <c r="K789" s="10" t="str">
        <f>IFERROR((IF(VLOOKUP(A789,'ECN-ECO_DATA'!B:Q,15,FALSE)="","",VLOOKUP(A789,'ECN-ECO_DATA'!B:Q,15,FALSE))),"")</f>
        <v/>
      </c>
      <c r="L789" s="10" t="str">
        <f>IFERROR((IF(VLOOKUP(A789,'ECN-ECO_DATA'!B:Q,16,FALSE)="","",VLOOKUP(A789,'ECN-ECO_DATA'!B:Q,16,FALSE))),"")</f>
        <v/>
      </c>
      <c r="M789" s="9" t="str">
        <f>IFERROR((IF(VLOOKUP(A789,'ECN-ECO_DATA'!B:V,18,FALSE)=0/1/1900,"",VLOOKUP(A789,'ECN-ECO_DATA'!B:V,18,FALSE))),"")</f>
        <v/>
      </c>
      <c r="N789" s="9" t="str">
        <f>IFERROR((IF(VLOOKUP(A789,'ECN-ECO_DATA'!B:V,19,FALSE)=0/1/1900,"",VLOOKUP(A789,'ECN-ECO_DATA'!B:V,19,FALSE))),"")</f>
        <v/>
      </c>
      <c r="O789" s="9" t="str">
        <f>IFERROR((IF(VLOOKUP(A789,'ECN-ECO_DATA'!B:V,20,FALSE)=0/1/1900,"",VLOOKUP(A789,'ECN-ECO_DATA'!B:V,20,FALSE))),"")</f>
        <v/>
      </c>
      <c r="P789" s="9" t="str">
        <f>IFERROR((IF(VLOOKUP(A789,'ECN-ECO_DATA'!B:V,21,FALSE)=0/1/1900,"",VLOOKUP(A789,'ECN-ECO_DATA'!B:V,21,FALSE))),"")</f>
        <v/>
      </c>
      <c r="Q789" s="10" t="str">
        <f t="shared" ca="1" si="60"/>
        <v/>
      </c>
      <c r="R789" s="4" t="str">
        <f t="shared" si="61"/>
        <v/>
      </c>
      <c r="S789" s="4" t="str">
        <f t="shared" si="62"/>
        <v/>
      </c>
      <c r="T789" s="4" t="str">
        <f t="shared" si="63"/>
        <v/>
      </c>
      <c r="U789" s="10" t="str">
        <f t="shared" si="64"/>
        <v/>
      </c>
      <c r="V789" s="4"/>
    </row>
    <row r="790" spans="2:22" x14ac:dyDescent="0.25">
      <c r="B790" s="4" t="str">
        <f>IFERROR(VLOOKUP(A790,'ECN-ECO_DATA'!B:G,4,FALSE),"")</f>
        <v/>
      </c>
      <c r="C790" s="9" t="str">
        <f>IFERROR(VLOOKUP(A790,'ECN-ECO_DATA'!B:G,5,FALSE),"")</f>
        <v/>
      </c>
      <c r="D790" s="9" t="str">
        <f ca="1">IFERROR((IF(VLOOKUP(A790,'ECN-ECO_DATA'!B:G,6,FALSE)=0/1/1900,TODAY(),VLOOKUP(A790,'ECN-ECO_DATA'!B:G,6,FALSE))),"")</f>
        <v/>
      </c>
      <c r="E790" s="9" t="str">
        <f>IFERROR((IF(VLOOKUP(A790,'ECN-ECO_DATA'!B:G,6,FALSE)=0/1/1900,"",VLOOKUP(A790,'ECN-ECO_DATA'!B:G,6,FALSE))),"")</f>
        <v/>
      </c>
      <c r="F790" s="9" t="str">
        <f>IFERROR((IF(VLOOKUP(A790,'ECN-ECO_DATA'!B:J,7,FALSE)=0/1/1900,"",VLOOKUP(A790,'ECN-ECO_DATA'!B:J,7,FALSE))),"")</f>
        <v/>
      </c>
      <c r="G790" s="9" t="str">
        <f>IFERROR((IF(VLOOKUP(A790,'ECN-ECO_DATA'!B:J,8,FALSE)=0/1/1900,"",VLOOKUP(A790,'ECN-ECO_DATA'!B:J,8,FALSE))),"")</f>
        <v/>
      </c>
      <c r="H790" s="9" t="str">
        <f>IFERROR((IF(VLOOKUP(A790,'ECN-ECO_DATA'!B:J,9,FALSE)=0/1/1900,"",VLOOKUP(A790,'ECN-ECO_DATA'!B:J,9,FALSE))),"")</f>
        <v/>
      </c>
      <c r="I790" s="10" t="str">
        <f>IFERROR((IF(VLOOKUP(A790,'ECN-ECO_DATA'!B:Q,13,FALSE)="","",VLOOKUP(A790,'ECN-ECO_DATA'!B:Q,13,FALSE))),"")</f>
        <v/>
      </c>
      <c r="J790" s="10" t="str">
        <f>IFERROR((IF(VLOOKUP(A790,'ECN-ECO_DATA'!B:Q,14,FALSE)="","",VLOOKUP(A790,'ECN-ECO_DATA'!B:Q,14,FALSE))),"")</f>
        <v/>
      </c>
      <c r="K790" s="10" t="str">
        <f>IFERROR((IF(VLOOKUP(A790,'ECN-ECO_DATA'!B:Q,15,FALSE)="","",VLOOKUP(A790,'ECN-ECO_DATA'!B:Q,15,FALSE))),"")</f>
        <v/>
      </c>
      <c r="L790" s="10" t="str">
        <f>IFERROR((IF(VLOOKUP(A790,'ECN-ECO_DATA'!B:Q,16,FALSE)="","",VLOOKUP(A790,'ECN-ECO_DATA'!B:Q,16,FALSE))),"")</f>
        <v/>
      </c>
      <c r="M790" s="9" t="str">
        <f>IFERROR((IF(VLOOKUP(A790,'ECN-ECO_DATA'!B:V,18,FALSE)=0/1/1900,"",VLOOKUP(A790,'ECN-ECO_DATA'!B:V,18,FALSE))),"")</f>
        <v/>
      </c>
      <c r="N790" s="9" t="str">
        <f>IFERROR((IF(VLOOKUP(A790,'ECN-ECO_DATA'!B:V,19,FALSE)=0/1/1900,"",VLOOKUP(A790,'ECN-ECO_DATA'!B:V,19,FALSE))),"")</f>
        <v/>
      </c>
      <c r="O790" s="9" t="str">
        <f>IFERROR((IF(VLOOKUP(A790,'ECN-ECO_DATA'!B:V,20,FALSE)=0/1/1900,"",VLOOKUP(A790,'ECN-ECO_DATA'!B:V,20,FALSE))),"")</f>
        <v/>
      </c>
      <c r="P790" s="9" t="str">
        <f>IFERROR((IF(VLOOKUP(A790,'ECN-ECO_DATA'!B:V,21,FALSE)=0/1/1900,"",VLOOKUP(A790,'ECN-ECO_DATA'!B:V,21,FALSE))),"")</f>
        <v/>
      </c>
      <c r="Q790" s="10" t="str">
        <f t="shared" ca="1" si="60"/>
        <v/>
      </c>
      <c r="R790" s="4" t="str">
        <f t="shared" si="61"/>
        <v/>
      </c>
      <c r="S790" s="4" t="str">
        <f t="shared" si="62"/>
        <v/>
      </c>
      <c r="T790" s="4" t="str">
        <f t="shared" si="63"/>
        <v/>
      </c>
      <c r="U790" s="10" t="str">
        <f t="shared" si="64"/>
        <v/>
      </c>
      <c r="V790" s="4"/>
    </row>
    <row r="791" spans="2:22" x14ac:dyDescent="0.25">
      <c r="B791" s="4" t="str">
        <f>IFERROR(VLOOKUP(A791,'ECN-ECO_DATA'!B:G,4,FALSE),"")</f>
        <v/>
      </c>
      <c r="C791" s="9" t="str">
        <f>IFERROR(VLOOKUP(A791,'ECN-ECO_DATA'!B:G,5,FALSE),"")</f>
        <v/>
      </c>
      <c r="D791" s="9" t="str">
        <f ca="1">IFERROR((IF(VLOOKUP(A791,'ECN-ECO_DATA'!B:G,6,FALSE)=0/1/1900,TODAY(),VLOOKUP(A791,'ECN-ECO_DATA'!B:G,6,FALSE))),"")</f>
        <v/>
      </c>
      <c r="E791" s="9" t="str">
        <f>IFERROR((IF(VLOOKUP(A791,'ECN-ECO_DATA'!B:G,6,FALSE)=0/1/1900,"",VLOOKUP(A791,'ECN-ECO_DATA'!B:G,6,FALSE))),"")</f>
        <v/>
      </c>
      <c r="F791" s="9" t="str">
        <f>IFERROR((IF(VLOOKUP(A791,'ECN-ECO_DATA'!B:J,7,FALSE)=0/1/1900,"",VLOOKUP(A791,'ECN-ECO_DATA'!B:J,7,FALSE))),"")</f>
        <v/>
      </c>
      <c r="G791" s="9" t="str">
        <f>IFERROR((IF(VLOOKUP(A791,'ECN-ECO_DATA'!B:J,8,FALSE)=0/1/1900,"",VLOOKUP(A791,'ECN-ECO_DATA'!B:J,8,FALSE))),"")</f>
        <v/>
      </c>
      <c r="H791" s="9" t="str">
        <f>IFERROR((IF(VLOOKUP(A791,'ECN-ECO_DATA'!B:J,9,FALSE)=0/1/1900,"",VLOOKUP(A791,'ECN-ECO_DATA'!B:J,9,FALSE))),"")</f>
        <v/>
      </c>
      <c r="I791" s="10" t="str">
        <f>IFERROR((IF(VLOOKUP(A791,'ECN-ECO_DATA'!B:Q,13,FALSE)="","",VLOOKUP(A791,'ECN-ECO_DATA'!B:Q,13,FALSE))),"")</f>
        <v/>
      </c>
      <c r="J791" s="10" t="str">
        <f>IFERROR((IF(VLOOKUP(A791,'ECN-ECO_DATA'!B:Q,14,FALSE)="","",VLOOKUP(A791,'ECN-ECO_DATA'!B:Q,14,FALSE))),"")</f>
        <v/>
      </c>
      <c r="K791" s="10" t="str">
        <f>IFERROR((IF(VLOOKUP(A791,'ECN-ECO_DATA'!B:Q,15,FALSE)="","",VLOOKUP(A791,'ECN-ECO_DATA'!B:Q,15,FALSE))),"")</f>
        <v/>
      </c>
      <c r="L791" s="10" t="str">
        <f>IFERROR((IF(VLOOKUP(A791,'ECN-ECO_DATA'!B:Q,16,FALSE)="","",VLOOKUP(A791,'ECN-ECO_DATA'!B:Q,16,FALSE))),"")</f>
        <v/>
      </c>
      <c r="M791" s="9" t="str">
        <f>IFERROR((IF(VLOOKUP(A791,'ECN-ECO_DATA'!B:V,18,FALSE)=0/1/1900,"",VLOOKUP(A791,'ECN-ECO_DATA'!B:V,18,FALSE))),"")</f>
        <v/>
      </c>
      <c r="N791" s="9" t="str">
        <f>IFERROR((IF(VLOOKUP(A791,'ECN-ECO_DATA'!B:V,19,FALSE)=0/1/1900,"",VLOOKUP(A791,'ECN-ECO_DATA'!B:V,19,FALSE))),"")</f>
        <v/>
      </c>
      <c r="O791" s="9" t="str">
        <f>IFERROR((IF(VLOOKUP(A791,'ECN-ECO_DATA'!B:V,20,FALSE)=0/1/1900,"",VLOOKUP(A791,'ECN-ECO_DATA'!B:V,20,FALSE))),"")</f>
        <v/>
      </c>
      <c r="P791" s="9" t="str">
        <f>IFERROR((IF(VLOOKUP(A791,'ECN-ECO_DATA'!B:V,21,FALSE)=0/1/1900,"",VLOOKUP(A791,'ECN-ECO_DATA'!B:V,21,FALSE))),"")</f>
        <v/>
      </c>
      <c r="Q791" s="10" t="str">
        <f t="shared" ca="1" si="60"/>
        <v/>
      </c>
      <c r="R791" s="4" t="str">
        <f t="shared" si="61"/>
        <v/>
      </c>
      <c r="S791" s="4" t="str">
        <f t="shared" si="62"/>
        <v/>
      </c>
      <c r="T791" s="4" t="str">
        <f t="shared" si="63"/>
        <v/>
      </c>
      <c r="U791" s="10" t="str">
        <f t="shared" si="64"/>
        <v/>
      </c>
      <c r="V791" s="4"/>
    </row>
    <row r="792" spans="2:22" x14ac:dyDescent="0.25">
      <c r="B792" s="4" t="str">
        <f>IFERROR(VLOOKUP(A792,'ECN-ECO_DATA'!B:G,4,FALSE),"")</f>
        <v/>
      </c>
      <c r="C792" s="9" t="str">
        <f>IFERROR(VLOOKUP(A792,'ECN-ECO_DATA'!B:G,5,FALSE),"")</f>
        <v/>
      </c>
      <c r="D792" s="9" t="str">
        <f ca="1">IFERROR((IF(VLOOKUP(A792,'ECN-ECO_DATA'!B:G,6,FALSE)=0/1/1900,TODAY(),VLOOKUP(A792,'ECN-ECO_DATA'!B:G,6,FALSE))),"")</f>
        <v/>
      </c>
      <c r="E792" s="9" t="str">
        <f>IFERROR((IF(VLOOKUP(A792,'ECN-ECO_DATA'!B:G,6,FALSE)=0/1/1900,"",VLOOKUP(A792,'ECN-ECO_DATA'!B:G,6,FALSE))),"")</f>
        <v/>
      </c>
      <c r="F792" s="9" t="str">
        <f>IFERROR((IF(VLOOKUP(A792,'ECN-ECO_DATA'!B:J,7,FALSE)=0/1/1900,"",VLOOKUP(A792,'ECN-ECO_DATA'!B:J,7,FALSE))),"")</f>
        <v/>
      </c>
      <c r="G792" s="9" t="str">
        <f>IFERROR((IF(VLOOKUP(A792,'ECN-ECO_DATA'!B:J,8,FALSE)=0/1/1900,"",VLOOKUP(A792,'ECN-ECO_DATA'!B:J,8,FALSE))),"")</f>
        <v/>
      </c>
      <c r="H792" s="9" t="str">
        <f>IFERROR((IF(VLOOKUP(A792,'ECN-ECO_DATA'!B:J,9,FALSE)=0/1/1900,"",VLOOKUP(A792,'ECN-ECO_DATA'!B:J,9,FALSE))),"")</f>
        <v/>
      </c>
      <c r="I792" s="10" t="str">
        <f>IFERROR((IF(VLOOKUP(A792,'ECN-ECO_DATA'!B:Q,13,FALSE)="","",VLOOKUP(A792,'ECN-ECO_DATA'!B:Q,13,FALSE))),"")</f>
        <v/>
      </c>
      <c r="J792" s="10" t="str">
        <f>IFERROR((IF(VLOOKUP(A792,'ECN-ECO_DATA'!B:Q,14,FALSE)="","",VLOOKUP(A792,'ECN-ECO_DATA'!B:Q,14,FALSE))),"")</f>
        <v/>
      </c>
      <c r="K792" s="10" t="str">
        <f>IFERROR((IF(VLOOKUP(A792,'ECN-ECO_DATA'!B:Q,15,FALSE)="","",VLOOKUP(A792,'ECN-ECO_DATA'!B:Q,15,FALSE))),"")</f>
        <v/>
      </c>
      <c r="L792" s="10" t="str">
        <f>IFERROR((IF(VLOOKUP(A792,'ECN-ECO_DATA'!B:Q,16,FALSE)="","",VLOOKUP(A792,'ECN-ECO_DATA'!B:Q,16,FALSE))),"")</f>
        <v/>
      </c>
      <c r="M792" s="9" t="str">
        <f>IFERROR((IF(VLOOKUP(A792,'ECN-ECO_DATA'!B:V,18,FALSE)=0/1/1900,"",VLOOKUP(A792,'ECN-ECO_DATA'!B:V,18,FALSE))),"")</f>
        <v/>
      </c>
      <c r="N792" s="9" t="str">
        <f>IFERROR((IF(VLOOKUP(A792,'ECN-ECO_DATA'!B:V,19,FALSE)=0/1/1900,"",VLOOKUP(A792,'ECN-ECO_DATA'!B:V,19,FALSE))),"")</f>
        <v/>
      </c>
      <c r="O792" s="9" t="str">
        <f>IFERROR((IF(VLOOKUP(A792,'ECN-ECO_DATA'!B:V,20,FALSE)=0/1/1900,"",VLOOKUP(A792,'ECN-ECO_DATA'!B:V,20,FALSE))),"")</f>
        <v/>
      </c>
      <c r="P792" s="9" t="str">
        <f>IFERROR((IF(VLOOKUP(A792,'ECN-ECO_DATA'!B:V,21,FALSE)=0/1/1900,"",VLOOKUP(A792,'ECN-ECO_DATA'!B:V,21,FALSE))),"")</f>
        <v/>
      </c>
      <c r="Q792" s="10" t="str">
        <f t="shared" ca="1" si="60"/>
        <v/>
      </c>
      <c r="R792" s="4" t="str">
        <f t="shared" si="61"/>
        <v/>
      </c>
      <c r="S792" s="4" t="str">
        <f t="shared" si="62"/>
        <v/>
      </c>
      <c r="T792" s="4" t="str">
        <f t="shared" si="63"/>
        <v/>
      </c>
      <c r="U792" s="10" t="str">
        <f t="shared" si="64"/>
        <v/>
      </c>
      <c r="V792" s="4"/>
    </row>
    <row r="793" spans="2:22" x14ac:dyDescent="0.25">
      <c r="B793" s="4" t="str">
        <f>IFERROR(VLOOKUP(A793,'ECN-ECO_DATA'!B:G,4,FALSE),"")</f>
        <v/>
      </c>
      <c r="C793" s="9" t="str">
        <f>IFERROR(VLOOKUP(A793,'ECN-ECO_DATA'!B:G,5,FALSE),"")</f>
        <v/>
      </c>
      <c r="D793" s="9" t="str">
        <f ca="1">IFERROR((IF(VLOOKUP(A793,'ECN-ECO_DATA'!B:G,6,FALSE)=0/1/1900,TODAY(),VLOOKUP(A793,'ECN-ECO_DATA'!B:G,6,FALSE))),"")</f>
        <v/>
      </c>
      <c r="E793" s="9" t="str">
        <f>IFERROR((IF(VLOOKUP(A793,'ECN-ECO_DATA'!B:G,6,FALSE)=0/1/1900,"",VLOOKUP(A793,'ECN-ECO_DATA'!B:G,6,FALSE))),"")</f>
        <v/>
      </c>
      <c r="F793" s="9" t="str">
        <f>IFERROR((IF(VLOOKUP(A793,'ECN-ECO_DATA'!B:J,7,FALSE)=0/1/1900,"",VLOOKUP(A793,'ECN-ECO_DATA'!B:J,7,FALSE))),"")</f>
        <v/>
      </c>
      <c r="G793" s="9" t="str">
        <f>IFERROR((IF(VLOOKUP(A793,'ECN-ECO_DATA'!B:J,8,FALSE)=0/1/1900,"",VLOOKUP(A793,'ECN-ECO_DATA'!B:J,8,FALSE))),"")</f>
        <v/>
      </c>
      <c r="H793" s="9" t="str">
        <f>IFERROR((IF(VLOOKUP(A793,'ECN-ECO_DATA'!B:J,9,FALSE)=0/1/1900,"",VLOOKUP(A793,'ECN-ECO_DATA'!B:J,9,FALSE))),"")</f>
        <v/>
      </c>
      <c r="I793" s="10" t="str">
        <f>IFERROR((IF(VLOOKUP(A793,'ECN-ECO_DATA'!B:Q,13,FALSE)="","",VLOOKUP(A793,'ECN-ECO_DATA'!B:Q,13,FALSE))),"")</f>
        <v/>
      </c>
      <c r="J793" s="10" t="str">
        <f>IFERROR((IF(VLOOKUP(A793,'ECN-ECO_DATA'!B:Q,14,FALSE)="","",VLOOKUP(A793,'ECN-ECO_DATA'!B:Q,14,FALSE))),"")</f>
        <v/>
      </c>
      <c r="K793" s="10" t="str">
        <f>IFERROR((IF(VLOOKUP(A793,'ECN-ECO_DATA'!B:Q,15,FALSE)="","",VLOOKUP(A793,'ECN-ECO_DATA'!B:Q,15,FALSE))),"")</f>
        <v/>
      </c>
      <c r="L793" s="10" t="str">
        <f>IFERROR((IF(VLOOKUP(A793,'ECN-ECO_DATA'!B:Q,16,FALSE)="","",VLOOKUP(A793,'ECN-ECO_DATA'!B:Q,16,FALSE))),"")</f>
        <v/>
      </c>
      <c r="M793" s="9" t="str">
        <f>IFERROR((IF(VLOOKUP(A793,'ECN-ECO_DATA'!B:V,18,FALSE)=0/1/1900,"",VLOOKUP(A793,'ECN-ECO_DATA'!B:V,18,FALSE))),"")</f>
        <v/>
      </c>
      <c r="N793" s="9" t="str">
        <f>IFERROR((IF(VLOOKUP(A793,'ECN-ECO_DATA'!B:V,19,FALSE)=0/1/1900,"",VLOOKUP(A793,'ECN-ECO_DATA'!B:V,19,FALSE))),"")</f>
        <v/>
      </c>
      <c r="O793" s="9" t="str">
        <f>IFERROR((IF(VLOOKUP(A793,'ECN-ECO_DATA'!B:V,20,FALSE)=0/1/1900,"",VLOOKUP(A793,'ECN-ECO_DATA'!B:V,20,FALSE))),"")</f>
        <v/>
      </c>
      <c r="P793" s="9" t="str">
        <f>IFERROR((IF(VLOOKUP(A793,'ECN-ECO_DATA'!B:V,21,FALSE)=0/1/1900,"",VLOOKUP(A793,'ECN-ECO_DATA'!B:V,21,FALSE))),"")</f>
        <v/>
      </c>
      <c r="Q793" s="10" t="str">
        <f t="shared" ca="1" si="60"/>
        <v/>
      </c>
      <c r="R793" s="4" t="str">
        <f t="shared" si="61"/>
        <v/>
      </c>
      <c r="S793" s="4" t="str">
        <f t="shared" si="62"/>
        <v/>
      </c>
      <c r="T793" s="4" t="str">
        <f t="shared" si="63"/>
        <v/>
      </c>
      <c r="U793" s="10" t="str">
        <f t="shared" si="64"/>
        <v/>
      </c>
      <c r="V793" s="4"/>
    </row>
    <row r="794" spans="2:22" x14ac:dyDescent="0.25">
      <c r="B794" s="4" t="str">
        <f>IFERROR(VLOOKUP(A794,'ECN-ECO_DATA'!B:G,4,FALSE),"")</f>
        <v/>
      </c>
      <c r="C794" s="9" t="str">
        <f>IFERROR(VLOOKUP(A794,'ECN-ECO_DATA'!B:G,5,FALSE),"")</f>
        <v/>
      </c>
      <c r="D794" s="9" t="str">
        <f ca="1">IFERROR((IF(VLOOKUP(A794,'ECN-ECO_DATA'!B:G,6,FALSE)=0/1/1900,TODAY(),VLOOKUP(A794,'ECN-ECO_DATA'!B:G,6,FALSE))),"")</f>
        <v/>
      </c>
      <c r="E794" s="9" t="str">
        <f>IFERROR((IF(VLOOKUP(A794,'ECN-ECO_DATA'!B:G,6,FALSE)=0/1/1900,"",VLOOKUP(A794,'ECN-ECO_DATA'!B:G,6,FALSE))),"")</f>
        <v/>
      </c>
      <c r="F794" s="9" t="str">
        <f>IFERROR((IF(VLOOKUP(A794,'ECN-ECO_DATA'!B:J,7,FALSE)=0/1/1900,"",VLOOKUP(A794,'ECN-ECO_DATA'!B:J,7,FALSE))),"")</f>
        <v/>
      </c>
      <c r="G794" s="9" t="str">
        <f>IFERROR((IF(VLOOKUP(A794,'ECN-ECO_DATA'!B:J,8,FALSE)=0/1/1900,"",VLOOKUP(A794,'ECN-ECO_DATA'!B:J,8,FALSE))),"")</f>
        <v/>
      </c>
      <c r="H794" s="9" t="str">
        <f>IFERROR((IF(VLOOKUP(A794,'ECN-ECO_DATA'!B:J,9,FALSE)=0/1/1900,"",VLOOKUP(A794,'ECN-ECO_DATA'!B:J,9,FALSE))),"")</f>
        <v/>
      </c>
      <c r="I794" s="10" t="str">
        <f>IFERROR((IF(VLOOKUP(A794,'ECN-ECO_DATA'!B:Q,13,FALSE)="","",VLOOKUP(A794,'ECN-ECO_DATA'!B:Q,13,FALSE))),"")</f>
        <v/>
      </c>
      <c r="J794" s="10" t="str">
        <f>IFERROR((IF(VLOOKUP(A794,'ECN-ECO_DATA'!B:Q,14,FALSE)="","",VLOOKUP(A794,'ECN-ECO_DATA'!B:Q,14,FALSE))),"")</f>
        <v/>
      </c>
      <c r="K794" s="10" t="str">
        <f>IFERROR((IF(VLOOKUP(A794,'ECN-ECO_DATA'!B:Q,15,FALSE)="","",VLOOKUP(A794,'ECN-ECO_DATA'!B:Q,15,FALSE))),"")</f>
        <v/>
      </c>
      <c r="L794" s="10" t="str">
        <f>IFERROR((IF(VLOOKUP(A794,'ECN-ECO_DATA'!B:Q,16,FALSE)="","",VLOOKUP(A794,'ECN-ECO_DATA'!B:Q,16,FALSE))),"")</f>
        <v/>
      </c>
      <c r="M794" s="9" t="str">
        <f>IFERROR((IF(VLOOKUP(A794,'ECN-ECO_DATA'!B:V,18,FALSE)=0/1/1900,"",VLOOKUP(A794,'ECN-ECO_DATA'!B:V,18,FALSE))),"")</f>
        <v/>
      </c>
      <c r="N794" s="9" t="str">
        <f>IFERROR((IF(VLOOKUP(A794,'ECN-ECO_DATA'!B:V,19,FALSE)=0/1/1900,"",VLOOKUP(A794,'ECN-ECO_DATA'!B:V,19,FALSE))),"")</f>
        <v/>
      </c>
      <c r="O794" s="9" t="str">
        <f>IFERROR((IF(VLOOKUP(A794,'ECN-ECO_DATA'!B:V,20,FALSE)=0/1/1900,"",VLOOKUP(A794,'ECN-ECO_DATA'!B:V,20,FALSE))),"")</f>
        <v/>
      </c>
      <c r="P794" s="9" t="str">
        <f>IFERROR((IF(VLOOKUP(A794,'ECN-ECO_DATA'!B:V,21,FALSE)=0/1/1900,"",VLOOKUP(A794,'ECN-ECO_DATA'!B:V,21,FALSE))),"")</f>
        <v/>
      </c>
      <c r="Q794" s="10" t="str">
        <f t="shared" ca="1" si="60"/>
        <v/>
      </c>
      <c r="R794" s="4" t="str">
        <f t="shared" si="61"/>
        <v/>
      </c>
      <c r="S794" s="4" t="str">
        <f t="shared" si="62"/>
        <v/>
      </c>
      <c r="T794" s="4" t="str">
        <f t="shared" si="63"/>
        <v/>
      </c>
      <c r="U794" s="10" t="str">
        <f t="shared" si="64"/>
        <v/>
      </c>
      <c r="V794" s="4"/>
    </row>
    <row r="795" spans="2:22" x14ac:dyDescent="0.25">
      <c r="B795" s="4" t="str">
        <f>IFERROR(VLOOKUP(A795,'ECN-ECO_DATA'!B:G,4,FALSE),"")</f>
        <v/>
      </c>
      <c r="C795" s="9" t="str">
        <f>IFERROR(VLOOKUP(A795,'ECN-ECO_DATA'!B:G,5,FALSE),"")</f>
        <v/>
      </c>
      <c r="D795" s="9" t="str">
        <f ca="1">IFERROR((IF(VLOOKUP(A795,'ECN-ECO_DATA'!B:G,6,FALSE)=0/1/1900,TODAY(),VLOOKUP(A795,'ECN-ECO_DATA'!B:G,6,FALSE))),"")</f>
        <v/>
      </c>
      <c r="E795" s="9" t="str">
        <f>IFERROR((IF(VLOOKUP(A795,'ECN-ECO_DATA'!B:G,6,FALSE)=0/1/1900,"",VLOOKUP(A795,'ECN-ECO_DATA'!B:G,6,FALSE))),"")</f>
        <v/>
      </c>
      <c r="F795" s="9" t="str">
        <f>IFERROR((IF(VLOOKUP(A795,'ECN-ECO_DATA'!B:J,7,FALSE)=0/1/1900,"",VLOOKUP(A795,'ECN-ECO_DATA'!B:J,7,FALSE))),"")</f>
        <v/>
      </c>
      <c r="G795" s="9" t="str">
        <f>IFERROR((IF(VLOOKUP(A795,'ECN-ECO_DATA'!B:J,8,FALSE)=0/1/1900,"",VLOOKUP(A795,'ECN-ECO_DATA'!B:J,8,FALSE))),"")</f>
        <v/>
      </c>
      <c r="H795" s="9" t="str">
        <f>IFERROR((IF(VLOOKUP(A795,'ECN-ECO_DATA'!B:J,9,FALSE)=0/1/1900,"",VLOOKUP(A795,'ECN-ECO_DATA'!B:J,9,FALSE))),"")</f>
        <v/>
      </c>
      <c r="I795" s="10" t="str">
        <f>IFERROR((IF(VLOOKUP(A795,'ECN-ECO_DATA'!B:Q,13,FALSE)="","",VLOOKUP(A795,'ECN-ECO_DATA'!B:Q,13,FALSE))),"")</f>
        <v/>
      </c>
      <c r="J795" s="10" t="str">
        <f>IFERROR((IF(VLOOKUP(A795,'ECN-ECO_DATA'!B:Q,14,FALSE)="","",VLOOKUP(A795,'ECN-ECO_DATA'!B:Q,14,FALSE))),"")</f>
        <v/>
      </c>
      <c r="K795" s="10" t="str">
        <f>IFERROR((IF(VLOOKUP(A795,'ECN-ECO_DATA'!B:Q,15,FALSE)="","",VLOOKUP(A795,'ECN-ECO_DATA'!B:Q,15,FALSE))),"")</f>
        <v/>
      </c>
      <c r="L795" s="10" t="str">
        <f>IFERROR((IF(VLOOKUP(A795,'ECN-ECO_DATA'!B:Q,16,FALSE)="","",VLOOKUP(A795,'ECN-ECO_DATA'!B:Q,16,FALSE))),"")</f>
        <v/>
      </c>
      <c r="M795" s="9" t="str">
        <f>IFERROR((IF(VLOOKUP(A795,'ECN-ECO_DATA'!B:V,18,FALSE)=0/1/1900,"",VLOOKUP(A795,'ECN-ECO_DATA'!B:V,18,FALSE))),"")</f>
        <v/>
      </c>
      <c r="N795" s="9" t="str">
        <f>IFERROR((IF(VLOOKUP(A795,'ECN-ECO_DATA'!B:V,19,FALSE)=0/1/1900,"",VLOOKUP(A795,'ECN-ECO_DATA'!B:V,19,FALSE))),"")</f>
        <v/>
      </c>
      <c r="O795" s="9" t="str">
        <f>IFERROR((IF(VLOOKUP(A795,'ECN-ECO_DATA'!B:V,20,FALSE)=0/1/1900,"",VLOOKUP(A795,'ECN-ECO_DATA'!B:V,20,FALSE))),"")</f>
        <v/>
      </c>
      <c r="P795" s="9" t="str">
        <f>IFERROR((IF(VLOOKUP(A795,'ECN-ECO_DATA'!B:V,21,FALSE)=0/1/1900,"",VLOOKUP(A795,'ECN-ECO_DATA'!B:V,21,FALSE))),"")</f>
        <v/>
      </c>
      <c r="Q795" s="10" t="str">
        <f t="shared" ca="1" si="60"/>
        <v/>
      </c>
      <c r="R795" s="4" t="str">
        <f t="shared" si="61"/>
        <v/>
      </c>
      <c r="S795" s="4" t="str">
        <f t="shared" si="62"/>
        <v/>
      </c>
      <c r="T795" s="4" t="str">
        <f t="shared" si="63"/>
        <v/>
      </c>
      <c r="U795" s="10" t="str">
        <f t="shared" si="64"/>
        <v/>
      </c>
      <c r="V795" s="4"/>
    </row>
    <row r="796" spans="2:22" x14ac:dyDescent="0.25">
      <c r="B796" s="4" t="str">
        <f>IFERROR(VLOOKUP(A796,'ECN-ECO_DATA'!B:G,4,FALSE),"")</f>
        <v/>
      </c>
      <c r="C796" s="9" t="str">
        <f>IFERROR(VLOOKUP(A796,'ECN-ECO_DATA'!B:G,5,FALSE),"")</f>
        <v/>
      </c>
      <c r="D796" s="9" t="str">
        <f ca="1">IFERROR((IF(VLOOKUP(A796,'ECN-ECO_DATA'!B:G,6,FALSE)=0/1/1900,TODAY(),VLOOKUP(A796,'ECN-ECO_DATA'!B:G,6,FALSE))),"")</f>
        <v/>
      </c>
      <c r="E796" s="9" t="str">
        <f>IFERROR((IF(VLOOKUP(A796,'ECN-ECO_DATA'!B:G,6,FALSE)=0/1/1900,"",VLOOKUP(A796,'ECN-ECO_DATA'!B:G,6,FALSE))),"")</f>
        <v/>
      </c>
      <c r="F796" s="9" t="str">
        <f>IFERROR((IF(VLOOKUP(A796,'ECN-ECO_DATA'!B:J,7,FALSE)=0/1/1900,"",VLOOKUP(A796,'ECN-ECO_DATA'!B:J,7,FALSE))),"")</f>
        <v/>
      </c>
      <c r="G796" s="9" t="str">
        <f>IFERROR((IF(VLOOKUP(A796,'ECN-ECO_DATA'!B:J,8,FALSE)=0/1/1900,"",VLOOKUP(A796,'ECN-ECO_DATA'!B:J,8,FALSE))),"")</f>
        <v/>
      </c>
      <c r="H796" s="9" t="str">
        <f>IFERROR((IF(VLOOKUP(A796,'ECN-ECO_DATA'!B:J,9,FALSE)=0/1/1900,"",VLOOKUP(A796,'ECN-ECO_DATA'!B:J,9,FALSE))),"")</f>
        <v/>
      </c>
      <c r="I796" s="10" t="str">
        <f>IFERROR((IF(VLOOKUP(A796,'ECN-ECO_DATA'!B:Q,13,FALSE)="","",VLOOKUP(A796,'ECN-ECO_DATA'!B:Q,13,FALSE))),"")</f>
        <v/>
      </c>
      <c r="J796" s="10" t="str">
        <f>IFERROR((IF(VLOOKUP(A796,'ECN-ECO_DATA'!B:Q,14,FALSE)="","",VLOOKUP(A796,'ECN-ECO_DATA'!B:Q,14,FALSE))),"")</f>
        <v/>
      </c>
      <c r="K796" s="10" t="str">
        <f>IFERROR((IF(VLOOKUP(A796,'ECN-ECO_DATA'!B:Q,15,FALSE)="","",VLOOKUP(A796,'ECN-ECO_DATA'!B:Q,15,FALSE))),"")</f>
        <v/>
      </c>
      <c r="L796" s="10" t="str">
        <f>IFERROR((IF(VLOOKUP(A796,'ECN-ECO_DATA'!B:Q,16,FALSE)="","",VLOOKUP(A796,'ECN-ECO_DATA'!B:Q,16,FALSE))),"")</f>
        <v/>
      </c>
      <c r="M796" s="9" t="str">
        <f>IFERROR((IF(VLOOKUP(A796,'ECN-ECO_DATA'!B:V,18,FALSE)=0/1/1900,"",VLOOKUP(A796,'ECN-ECO_DATA'!B:V,18,FALSE))),"")</f>
        <v/>
      </c>
      <c r="N796" s="9" t="str">
        <f>IFERROR((IF(VLOOKUP(A796,'ECN-ECO_DATA'!B:V,19,FALSE)=0/1/1900,"",VLOOKUP(A796,'ECN-ECO_DATA'!B:V,19,FALSE))),"")</f>
        <v/>
      </c>
      <c r="O796" s="9" t="str">
        <f>IFERROR((IF(VLOOKUP(A796,'ECN-ECO_DATA'!B:V,20,FALSE)=0/1/1900,"",VLOOKUP(A796,'ECN-ECO_DATA'!B:V,20,FALSE))),"")</f>
        <v/>
      </c>
      <c r="P796" s="9" t="str">
        <f>IFERROR((IF(VLOOKUP(A796,'ECN-ECO_DATA'!B:V,21,FALSE)=0/1/1900,"",VLOOKUP(A796,'ECN-ECO_DATA'!B:V,21,FALSE))),"")</f>
        <v/>
      </c>
      <c r="Q796" s="10" t="str">
        <f t="shared" ca="1" si="60"/>
        <v/>
      </c>
      <c r="R796" s="4" t="str">
        <f t="shared" si="61"/>
        <v/>
      </c>
      <c r="S796" s="4" t="str">
        <f t="shared" si="62"/>
        <v/>
      </c>
      <c r="T796" s="4" t="str">
        <f t="shared" si="63"/>
        <v/>
      </c>
      <c r="U796" s="10" t="str">
        <f t="shared" si="64"/>
        <v/>
      </c>
      <c r="V796" s="4"/>
    </row>
    <row r="797" spans="2:22" x14ac:dyDescent="0.25">
      <c r="B797" s="4" t="str">
        <f>IFERROR(VLOOKUP(A797,'ECN-ECO_DATA'!B:G,4,FALSE),"")</f>
        <v/>
      </c>
      <c r="C797" s="9" t="str">
        <f>IFERROR(VLOOKUP(A797,'ECN-ECO_DATA'!B:G,5,FALSE),"")</f>
        <v/>
      </c>
      <c r="D797" s="9" t="str">
        <f ca="1">IFERROR((IF(VLOOKUP(A797,'ECN-ECO_DATA'!B:G,6,FALSE)=0/1/1900,TODAY(),VLOOKUP(A797,'ECN-ECO_DATA'!B:G,6,FALSE))),"")</f>
        <v/>
      </c>
      <c r="E797" s="9" t="str">
        <f>IFERROR((IF(VLOOKUP(A797,'ECN-ECO_DATA'!B:G,6,FALSE)=0/1/1900,"",VLOOKUP(A797,'ECN-ECO_DATA'!B:G,6,FALSE))),"")</f>
        <v/>
      </c>
      <c r="F797" s="9" t="str">
        <f>IFERROR((IF(VLOOKUP(A797,'ECN-ECO_DATA'!B:J,7,FALSE)=0/1/1900,"",VLOOKUP(A797,'ECN-ECO_DATA'!B:J,7,FALSE))),"")</f>
        <v/>
      </c>
      <c r="G797" s="9" t="str">
        <f>IFERROR((IF(VLOOKUP(A797,'ECN-ECO_DATA'!B:J,8,FALSE)=0/1/1900,"",VLOOKUP(A797,'ECN-ECO_DATA'!B:J,8,FALSE))),"")</f>
        <v/>
      </c>
      <c r="H797" s="9" t="str">
        <f>IFERROR((IF(VLOOKUP(A797,'ECN-ECO_DATA'!B:J,9,FALSE)=0/1/1900,"",VLOOKUP(A797,'ECN-ECO_DATA'!B:J,9,FALSE))),"")</f>
        <v/>
      </c>
      <c r="I797" s="10" t="str">
        <f>IFERROR((IF(VLOOKUP(A797,'ECN-ECO_DATA'!B:Q,13,FALSE)="","",VLOOKUP(A797,'ECN-ECO_DATA'!B:Q,13,FALSE))),"")</f>
        <v/>
      </c>
      <c r="J797" s="10" t="str">
        <f>IFERROR((IF(VLOOKUP(A797,'ECN-ECO_DATA'!B:Q,14,FALSE)="","",VLOOKUP(A797,'ECN-ECO_DATA'!B:Q,14,FALSE))),"")</f>
        <v/>
      </c>
      <c r="K797" s="10" t="str">
        <f>IFERROR((IF(VLOOKUP(A797,'ECN-ECO_DATA'!B:Q,15,FALSE)="","",VLOOKUP(A797,'ECN-ECO_DATA'!B:Q,15,FALSE))),"")</f>
        <v/>
      </c>
      <c r="L797" s="10" t="str">
        <f>IFERROR((IF(VLOOKUP(A797,'ECN-ECO_DATA'!B:Q,16,FALSE)="","",VLOOKUP(A797,'ECN-ECO_DATA'!B:Q,16,FALSE))),"")</f>
        <v/>
      </c>
      <c r="M797" s="9" t="str">
        <f>IFERROR((IF(VLOOKUP(A797,'ECN-ECO_DATA'!B:V,18,FALSE)=0/1/1900,"",VLOOKUP(A797,'ECN-ECO_DATA'!B:V,18,FALSE))),"")</f>
        <v/>
      </c>
      <c r="N797" s="9" t="str">
        <f>IFERROR((IF(VLOOKUP(A797,'ECN-ECO_DATA'!B:V,19,FALSE)=0/1/1900,"",VLOOKUP(A797,'ECN-ECO_DATA'!B:V,19,FALSE))),"")</f>
        <v/>
      </c>
      <c r="O797" s="9" t="str">
        <f>IFERROR((IF(VLOOKUP(A797,'ECN-ECO_DATA'!B:V,20,FALSE)=0/1/1900,"",VLOOKUP(A797,'ECN-ECO_DATA'!B:V,20,FALSE))),"")</f>
        <v/>
      </c>
      <c r="P797" s="9" t="str">
        <f>IFERROR((IF(VLOOKUP(A797,'ECN-ECO_DATA'!B:V,21,FALSE)=0/1/1900,"",VLOOKUP(A797,'ECN-ECO_DATA'!B:V,21,FALSE))),"")</f>
        <v/>
      </c>
      <c r="Q797" s="10" t="str">
        <f t="shared" ca="1" si="60"/>
        <v/>
      </c>
      <c r="R797" s="4" t="str">
        <f t="shared" si="61"/>
        <v/>
      </c>
      <c r="S797" s="4" t="str">
        <f t="shared" si="62"/>
        <v/>
      </c>
      <c r="T797" s="4" t="str">
        <f t="shared" si="63"/>
        <v/>
      </c>
      <c r="U797" s="10" t="str">
        <f t="shared" si="64"/>
        <v/>
      </c>
      <c r="V797" s="4"/>
    </row>
    <row r="798" spans="2:22" x14ac:dyDescent="0.25">
      <c r="B798" s="4" t="str">
        <f>IFERROR(VLOOKUP(A798,'ECN-ECO_DATA'!B:G,4,FALSE),"")</f>
        <v/>
      </c>
      <c r="C798" s="9" t="str">
        <f>IFERROR(VLOOKUP(A798,'ECN-ECO_DATA'!B:G,5,FALSE),"")</f>
        <v/>
      </c>
      <c r="D798" s="9" t="str">
        <f ca="1">IFERROR((IF(VLOOKUP(A798,'ECN-ECO_DATA'!B:G,6,FALSE)=0/1/1900,TODAY(),VLOOKUP(A798,'ECN-ECO_DATA'!B:G,6,FALSE))),"")</f>
        <v/>
      </c>
      <c r="E798" s="9" t="str">
        <f>IFERROR((IF(VLOOKUP(A798,'ECN-ECO_DATA'!B:G,6,FALSE)=0/1/1900,"",VLOOKUP(A798,'ECN-ECO_DATA'!B:G,6,FALSE))),"")</f>
        <v/>
      </c>
      <c r="F798" s="9" t="str">
        <f>IFERROR((IF(VLOOKUP(A798,'ECN-ECO_DATA'!B:J,7,FALSE)=0/1/1900,"",VLOOKUP(A798,'ECN-ECO_DATA'!B:J,7,FALSE))),"")</f>
        <v/>
      </c>
      <c r="G798" s="9" t="str">
        <f>IFERROR((IF(VLOOKUP(A798,'ECN-ECO_DATA'!B:J,8,FALSE)=0/1/1900,"",VLOOKUP(A798,'ECN-ECO_DATA'!B:J,8,FALSE))),"")</f>
        <v/>
      </c>
      <c r="H798" s="9" t="str">
        <f>IFERROR((IF(VLOOKUP(A798,'ECN-ECO_DATA'!B:J,9,FALSE)=0/1/1900,"",VLOOKUP(A798,'ECN-ECO_DATA'!B:J,9,FALSE))),"")</f>
        <v/>
      </c>
      <c r="I798" s="10" t="str">
        <f>IFERROR((IF(VLOOKUP(A798,'ECN-ECO_DATA'!B:Q,13,FALSE)="","",VLOOKUP(A798,'ECN-ECO_DATA'!B:Q,13,FALSE))),"")</f>
        <v/>
      </c>
      <c r="J798" s="10" t="str">
        <f>IFERROR((IF(VLOOKUP(A798,'ECN-ECO_DATA'!B:Q,14,FALSE)="","",VLOOKUP(A798,'ECN-ECO_DATA'!B:Q,14,FALSE))),"")</f>
        <v/>
      </c>
      <c r="K798" s="10" t="str">
        <f>IFERROR((IF(VLOOKUP(A798,'ECN-ECO_DATA'!B:Q,15,FALSE)="","",VLOOKUP(A798,'ECN-ECO_DATA'!B:Q,15,FALSE))),"")</f>
        <v/>
      </c>
      <c r="L798" s="10" t="str">
        <f>IFERROR((IF(VLOOKUP(A798,'ECN-ECO_DATA'!B:Q,16,FALSE)="","",VLOOKUP(A798,'ECN-ECO_DATA'!B:Q,16,FALSE))),"")</f>
        <v/>
      </c>
      <c r="M798" s="9" t="str">
        <f>IFERROR((IF(VLOOKUP(A798,'ECN-ECO_DATA'!B:V,18,FALSE)=0/1/1900,"",VLOOKUP(A798,'ECN-ECO_DATA'!B:V,18,FALSE))),"")</f>
        <v/>
      </c>
      <c r="N798" s="9" t="str">
        <f>IFERROR((IF(VLOOKUP(A798,'ECN-ECO_DATA'!B:V,19,FALSE)=0/1/1900,"",VLOOKUP(A798,'ECN-ECO_DATA'!B:V,19,FALSE))),"")</f>
        <v/>
      </c>
      <c r="O798" s="9" t="str">
        <f>IFERROR((IF(VLOOKUP(A798,'ECN-ECO_DATA'!B:V,20,FALSE)=0/1/1900,"",VLOOKUP(A798,'ECN-ECO_DATA'!B:V,20,FALSE))),"")</f>
        <v/>
      </c>
      <c r="P798" s="9" t="str">
        <f>IFERROR((IF(VLOOKUP(A798,'ECN-ECO_DATA'!B:V,21,FALSE)=0/1/1900,"",VLOOKUP(A798,'ECN-ECO_DATA'!B:V,21,FALSE))),"")</f>
        <v/>
      </c>
      <c r="Q798" s="10" t="str">
        <f t="shared" ca="1" si="60"/>
        <v/>
      </c>
      <c r="R798" s="4" t="str">
        <f t="shared" si="61"/>
        <v/>
      </c>
      <c r="S798" s="4" t="str">
        <f t="shared" si="62"/>
        <v/>
      </c>
      <c r="T798" s="4" t="str">
        <f t="shared" si="63"/>
        <v/>
      </c>
      <c r="U798" s="10" t="str">
        <f t="shared" si="64"/>
        <v/>
      </c>
      <c r="V798" s="4"/>
    </row>
    <row r="799" spans="2:22" x14ac:dyDescent="0.25">
      <c r="B799" s="4" t="str">
        <f>IFERROR(VLOOKUP(A799,'ECN-ECO_DATA'!B:G,4,FALSE),"")</f>
        <v/>
      </c>
      <c r="C799" s="9" t="str">
        <f>IFERROR(VLOOKUP(A799,'ECN-ECO_DATA'!B:G,5,FALSE),"")</f>
        <v/>
      </c>
      <c r="D799" s="9" t="str">
        <f ca="1">IFERROR((IF(VLOOKUP(A799,'ECN-ECO_DATA'!B:G,6,FALSE)=0/1/1900,TODAY(),VLOOKUP(A799,'ECN-ECO_DATA'!B:G,6,FALSE))),"")</f>
        <v/>
      </c>
      <c r="E799" s="9" t="str">
        <f>IFERROR((IF(VLOOKUP(A799,'ECN-ECO_DATA'!B:G,6,FALSE)=0/1/1900,"",VLOOKUP(A799,'ECN-ECO_DATA'!B:G,6,FALSE))),"")</f>
        <v/>
      </c>
      <c r="F799" s="9" t="str">
        <f>IFERROR((IF(VLOOKUP(A799,'ECN-ECO_DATA'!B:J,7,FALSE)=0/1/1900,"",VLOOKUP(A799,'ECN-ECO_DATA'!B:J,7,FALSE))),"")</f>
        <v/>
      </c>
      <c r="G799" s="9" t="str">
        <f>IFERROR((IF(VLOOKUP(A799,'ECN-ECO_DATA'!B:J,8,FALSE)=0/1/1900,"",VLOOKUP(A799,'ECN-ECO_DATA'!B:J,8,FALSE))),"")</f>
        <v/>
      </c>
      <c r="H799" s="9" t="str">
        <f>IFERROR((IF(VLOOKUP(A799,'ECN-ECO_DATA'!B:J,9,FALSE)=0/1/1900,"",VLOOKUP(A799,'ECN-ECO_DATA'!B:J,9,FALSE))),"")</f>
        <v/>
      </c>
      <c r="I799" s="10" t="str">
        <f>IFERROR((IF(VLOOKUP(A799,'ECN-ECO_DATA'!B:Q,13,FALSE)="","",VLOOKUP(A799,'ECN-ECO_DATA'!B:Q,13,FALSE))),"")</f>
        <v/>
      </c>
      <c r="J799" s="10" t="str">
        <f>IFERROR((IF(VLOOKUP(A799,'ECN-ECO_DATA'!B:Q,14,FALSE)="","",VLOOKUP(A799,'ECN-ECO_DATA'!B:Q,14,FALSE))),"")</f>
        <v/>
      </c>
      <c r="K799" s="10" t="str">
        <f>IFERROR((IF(VLOOKUP(A799,'ECN-ECO_DATA'!B:Q,15,FALSE)="","",VLOOKUP(A799,'ECN-ECO_DATA'!B:Q,15,FALSE))),"")</f>
        <v/>
      </c>
      <c r="L799" s="10" t="str">
        <f>IFERROR((IF(VLOOKUP(A799,'ECN-ECO_DATA'!B:Q,16,FALSE)="","",VLOOKUP(A799,'ECN-ECO_DATA'!B:Q,16,FALSE))),"")</f>
        <v/>
      </c>
      <c r="M799" s="9" t="str">
        <f>IFERROR((IF(VLOOKUP(A799,'ECN-ECO_DATA'!B:V,18,FALSE)=0/1/1900,"",VLOOKUP(A799,'ECN-ECO_DATA'!B:V,18,FALSE))),"")</f>
        <v/>
      </c>
      <c r="N799" s="9" t="str">
        <f>IFERROR((IF(VLOOKUP(A799,'ECN-ECO_DATA'!B:V,19,FALSE)=0/1/1900,"",VLOOKUP(A799,'ECN-ECO_DATA'!B:V,19,FALSE))),"")</f>
        <v/>
      </c>
      <c r="O799" s="9" t="str">
        <f>IFERROR((IF(VLOOKUP(A799,'ECN-ECO_DATA'!B:V,20,FALSE)=0/1/1900,"",VLOOKUP(A799,'ECN-ECO_DATA'!B:V,20,FALSE))),"")</f>
        <v/>
      </c>
      <c r="P799" s="9" t="str">
        <f>IFERROR((IF(VLOOKUP(A799,'ECN-ECO_DATA'!B:V,21,FALSE)=0/1/1900,"",VLOOKUP(A799,'ECN-ECO_DATA'!B:V,21,FALSE))),"")</f>
        <v/>
      </c>
      <c r="Q799" s="10" t="str">
        <f t="shared" ca="1" si="60"/>
        <v/>
      </c>
      <c r="R799" s="4" t="str">
        <f t="shared" si="61"/>
        <v/>
      </c>
      <c r="S799" s="4" t="str">
        <f t="shared" si="62"/>
        <v/>
      </c>
      <c r="T799" s="4" t="str">
        <f t="shared" si="63"/>
        <v/>
      </c>
      <c r="U799" s="10" t="str">
        <f t="shared" si="64"/>
        <v/>
      </c>
      <c r="V799" s="4"/>
    </row>
    <row r="800" spans="2:22" x14ac:dyDescent="0.25">
      <c r="B800" s="4" t="str">
        <f>IFERROR(VLOOKUP(A800,'ECN-ECO_DATA'!B:G,4,FALSE),"")</f>
        <v/>
      </c>
      <c r="C800" s="9" t="str">
        <f>IFERROR(VLOOKUP(A800,'ECN-ECO_DATA'!B:G,5,FALSE),"")</f>
        <v/>
      </c>
      <c r="D800" s="9" t="str">
        <f ca="1">IFERROR((IF(VLOOKUP(A800,'ECN-ECO_DATA'!B:G,6,FALSE)=0/1/1900,TODAY(),VLOOKUP(A800,'ECN-ECO_DATA'!B:G,6,FALSE))),"")</f>
        <v/>
      </c>
      <c r="E800" s="9" t="str">
        <f>IFERROR((IF(VLOOKUP(A800,'ECN-ECO_DATA'!B:G,6,FALSE)=0/1/1900,"",VLOOKUP(A800,'ECN-ECO_DATA'!B:G,6,FALSE))),"")</f>
        <v/>
      </c>
      <c r="F800" s="9" t="str">
        <f>IFERROR((IF(VLOOKUP(A800,'ECN-ECO_DATA'!B:J,7,FALSE)=0/1/1900,"",VLOOKUP(A800,'ECN-ECO_DATA'!B:J,7,FALSE))),"")</f>
        <v/>
      </c>
      <c r="G800" s="9" t="str">
        <f>IFERROR((IF(VLOOKUP(A800,'ECN-ECO_DATA'!B:J,8,FALSE)=0/1/1900,"",VLOOKUP(A800,'ECN-ECO_DATA'!B:J,8,FALSE))),"")</f>
        <v/>
      </c>
      <c r="H800" s="9" t="str">
        <f>IFERROR((IF(VLOOKUP(A800,'ECN-ECO_DATA'!B:J,9,FALSE)=0/1/1900,"",VLOOKUP(A800,'ECN-ECO_DATA'!B:J,9,FALSE))),"")</f>
        <v/>
      </c>
      <c r="I800" s="10" t="str">
        <f>IFERROR((IF(VLOOKUP(A800,'ECN-ECO_DATA'!B:Q,13,FALSE)="","",VLOOKUP(A800,'ECN-ECO_DATA'!B:Q,13,FALSE))),"")</f>
        <v/>
      </c>
      <c r="J800" s="10" t="str">
        <f>IFERROR((IF(VLOOKUP(A800,'ECN-ECO_DATA'!B:Q,14,FALSE)="","",VLOOKUP(A800,'ECN-ECO_DATA'!B:Q,14,FALSE))),"")</f>
        <v/>
      </c>
      <c r="K800" s="10" t="str">
        <f>IFERROR((IF(VLOOKUP(A800,'ECN-ECO_DATA'!B:Q,15,FALSE)="","",VLOOKUP(A800,'ECN-ECO_DATA'!B:Q,15,FALSE))),"")</f>
        <v/>
      </c>
      <c r="L800" s="10" t="str">
        <f>IFERROR((IF(VLOOKUP(A800,'ECN-ECO_DATA'!B:Q,16,FALSE)="","",VLOOKUP(A800,'ECN-ECO_DATA'!B:Q,16,FALSE))),"")</f>
        <v/>
      </c>
      <c r="M800" s="9" t="str">
        <f>IFERROR((IF(VLOOKUP(A800,'ECN-ECO_DATA'!B:V,18,FALSE)=0/1/1900,"",VLOOKUP(A800,'ECN-ECO_DATA'!B:V,18,FALSE))),"")</f>
        <v/>
      </c>
      <c r="N800" s="9" t="str">
        <f>IFERROR((IF(VLOOKUP(A800,'ECN-ECO_DATA'!B:V,19,FALSE)=0/1/1900,"",VLOOKUP(A800,'ECN-ECO_DATA'!B:V,19,FALSE))),"")</f>
        <v/>
      </c>
      <c r="O800" s="9" t="str">
        <f>IFERROR((IF(VLOOKUP(A800,'ECN-ECO_DATA'!B:V,20,FALSE)=0/1/1900,"",VLOOKUP(A800,'ECN-ECO_DATA'!B:V,20,FALSE))),"")</f>
        <v/>
      </c>
      <c r="P800" s="9" t="str">
        <f>IFERROR((IF(VLOOKUP(A800,'ECN-ECO_DATA'!B:V,21,FALSE)=0/1/1900,"",VLOOKUP(A800,'ECN-ECO_DATA'!B:V,21,FALSE))),"")</f>
        <v/>
      </c>
      <c r="Q800" s="10" t="str">
        <f t="shared" ca="1" si="60"/>
        <v/>
      </c>
      <c r="R800" s="4" t="str">
        <f t="shared" si="61"/>
        <v/>
      </c>
      <c r="S800" s="4" t="str">
        <f t="shared" si="62"/>
        <v/>
      </c>
      <c r="T800" s="4" t="str">
        <f t="shared" si="63"/>
        <v/>
      </c>
      <c r="U800" s="10" t="str">
        <f t="shared" si="64"/>
        <v/>
      </c>
      <c r="V800" s="4"/>
    </row>
    <row r="801" spans="2:22" x14ac:dyDescent="0.25">
      <c r="B801" s="4" t="str">
        <f>IFERROR(VLOOKUP(A801,'ECN-ECO_DATA'!B:G,4,FALSE),"")</f>
        <v/>
      </c>
      <c r="C801" s="9" t="str">
        <f>IFERROR(VLOOKUP(A801,'ECN-ECO_DATA'!B:G,5,FALSE),"")</f>
        <v/>
      </c>
      <c r="D801" s="9" t="str">
        <f ca="1">IFERROR((IF(VLOOKUP(A801,'ECN-ECO_DATA'!B:G,6,FALSE)=0/1/1900,TODAY(),VLOOKUP(A801,'ECN-ECO_DATA'!B:G,6,FALSE))),"")</f>
        <v/>
      </c>
      <c r="E801" s="9" t="str">
        <f>IFERROR((IF(VLOOKUP(A801,'ECN-ECO_DATA'!B:G,6,FALSE)=0/1/1900,"",VLOOKUP(A801,'ECN-ECO_DATA'!B:G,6,FALSE))),"")</f>
        <v/>
      </c>
      <c r="F801" s="9" t="str">
        <f>IFERROR((IF(VLOOKUP(A801,'ECN-ECO_DATA'!B:J,7,FALSE)=0/1/1900,"",VLOOKUP(A801,'ECN-ECO_DATA'!B:J,7,FALSE))),"")</f>
        <v/>
      </c>
      <c r="G801" s="9" t="str">
        <f>IFERROR((IF(VLOOKUP(A801,'ECN-ECO_DATA'!B:J,8,FALSE)=0/1/1900,"",VLOOKUP(A801,'ECN-ECO_DATA'!B:J,8,FALSE))),"")</f>
        <v/>
      </c>
      <c r="H801" s="9" t="str">
        <f>IFERROR((IF(VLOOKUP(A801,'ECN-ECO_DATA'!B:J,9,FALSE)=0/1/1900,"",VLOOKUP(A801,'ECN-ECO_DATA'!B:J,9,FALSE))),"")</f>
        <v/>
      </c>
      <c r="I801" s="10" t="str">
        <f>IFERROR((IF(VLOOKUP(A801,'ECN-ECO_DATA'!B:Q,13,FALSE)="","",VLOOKUP(A801,'ECN-ECO_DATA'!B:Q,13,FALSE))),"")</f>
        <v/>
      </c>
      <c r="J801" s="10" t="str">
        <f>IFERROR((IF(VLOOKUP(A801,'ECN-ECO_DATA'!B:Q,14,FALSE)="","",VLOOKUP(A801,'ECN-ECO_DATA'!B:Q,14,FALSE))),"")</f>
        <v/>
      </c>
      <c r="K801" s="10" t="str">
        <f>IFERROR((IF(VLOOKUP(A801,'ECN-ECO_DATA'!B:Q,15,FALSE)="","",VLOOKUP(A801,'ECN-ECO_DATA'!B:Q,15,FALSE))),"")</f>
        <v/>
      </c>
      <c r="L801" s="10" t="str">
        <f>IFERROR((IF(VLOOKUP(A801,'ECN-ECO_DATA'!B:Q,16,FALSE)="","",VLOOKUP(A801,'ECN-ECO_DATA'!B:Q,16,FALSE))),"")</f>
        <v/>
      </c>
      <c r="M801" s="9" t="str">
        <f>IFERROR((IF(VLOOKUP(A801,'ECN-ECO_DATA'!B:V,18,FALSE)=0/1/1900,"",VLOOKUP(A801,'ECN-ECO_DATA'!B:V,18,FALSE))),"")</f>
        <v/>
      </c>
      <c r="N801" s="9" t="str">
        <f>IFERROR((IF(VLOOKUP(A801,'ECN-ECO_DATA'!B:V,19,FALSE)=0/1/1900,"",VLOOKUP(A801,'ECN-ECO_DATA'!B:V,19,FALSE))),"")</f>
        <v/>
      </c>
      <c r="O801" s="9" t="str">
        <f>IFERROR((IF(VLOOKUP(A801,'ECN-ECO_DATA'!B:V,20,FALSE)=0/1/1900,"",VLOOKUP(A801,'ECN-ECO_DATA'!B:V,20,FALSE))),"")</f>
        <v/>
      </c>
      <c r="P801" s="9" t="str">
        <f>IFERROR((IF(VLOOKUP(A801,'ECN-ECO_DATA'!B:V,21,FALSE)=0/1/1900,"",VLOOKUP(A801,'ECN-ECO_DATA'!B:V,21,FALSE))),"")</f>
        <v/>
      </c>
      <c r="Q801" s="10" t="str">
        <f t="shared" ca="1" si="60"/>
        <v/>
      </c>
      <c r="R801" s="4" t="str">
        <f t="shared" si="61"/>
        <v/>
      </c>
      <c r="S801" s="4" t="str">
        <f t="shared" si="62"/>
        <v/>
      </c>
      <c r="T801" s="4" t="str">
        <f t="shared" si="63"/>
        <v/>
      </c>
      <c r="U801" s="10" t="str">
        <f t="shared" si="64"/>
        <v/>
      </c>
      <c r="V801" s="4"/>
    </row>
    <row r="802" spans="2:22" x14ac:dyDescent="0.25">
      <c r="B802" s="4" t="str">
        <f>IFERROR(VLOOKUP(A802,'ECN-ECO_DATA'!B:G,4,FALSE),"")</f>
        <v/>
      </c>
      <c r="C802" s="9" t="str">
        <f>IFERROR(VLOOKUP(A802,'ECN-ECO_DATA'!B:G,5,FALSE),"")</f>
        <v/>
      </c>
      <c r="D802" s="9" t="str">
        <f ca="1">IFERROR((IF(VLOOKUP(A802,'ECN-ECO_DATA'!B:G,6,FALSE)=0/1/1900,TODAY(),VLOOKUP(A802,'ECN-ECO_DATA'!B:G,6,FALSE))),"")</f>
        <v/>
      </c>
      <c r="E802" s="9" t="str">
        <f>IFERROR((IF(VLOOKUP(A802,'ECN-ECO_DATA'!B:G,6,FALSE)=0/1/1900,"",VLOOKUP(A802,'ECN-ECO_DATA'!B:G,6,FALSE))),"")</f>
        <v/>
      </c>
      <c r="F802" s="9" t="str">
        <f>IFERROR((IF(VLOOKUP(A802,'ECN-ECO_DATA'!B:J,7,FALSE)=0/1/1900,"",VLOOKUP(A802,'ECN-ECO_DATA'!B:J,7,FALSE))),"")</f>
        <v/>
      </c>
      <c r="G802" s="9" t="str">
        <f>IFERROR((IF(VLOOKUP(A802,'ECN-ECO_DATA'!B:J,8,FALSE)=0/1/1900,"",VLOOKUP(A802,'ECN-ECO_DATA'!B:J,8,FALSE))),"")</f>
        <v/>
      </c>
      <c r="H802" s="9" t="str">
        <f>IFERROR((IF(VLOOKUP(A802,'ECN-ECO_DATA'!B:J,9,FALSE)=0/1/1900,"",VLOOKUP(A802,'ECN-ECO_DATA'!B:J,9,FALSE))),"")</f>
        <v/>
      </c>
      <c r="I802" s="10" t="str">
        <f>IFERROR((IF(VLOOKUP(A802,'ECN-ECO_DATA'!B:Q,13,FALSE)="","",VLOOKUP(A802,'ECN-ECO_DATA'!B:Q,13,FALSE))),"")</f>
        <v/>
      </c>
      <c r="J802" s="10" t="str">
        <f>IFERROR((IF(VLOOKUP(A802,'ECN-ECO_DATA'!B:Q,14,FALSE)="","",VLOOKUP(A802,'ECN-ECO_DATA'!B:Q,14,FALSE))),"")</f>
        <v/>
      </c>
      <c r="K802" s="10" t="str">
        <f>IFERROR((IF(VLOOKUP(A802,'ECN-ECO_DATA'!B:Q,15,FALSE)="","",VLOOKUP(A802,'ECN-ECO_DATA'!B:Q,15,FALSE))),"")</f>
        <v/>
      </c>
      <c r="L802" s="10" t="str">
        <f>IFERROR((IF(VLOOKUP(A802,'ECN-ECO_DATA'!B:Q,16,FALSE)="","",VLOOKUP(A802,'ECN-ECO_DATA'!B:Q,16,FALSE))),"")</f>
        <v/>
      </c>
      <c r="M802" s="9" t="str">
        <f>IFERROR((IF(VLOOKUP(A802,'ECN-ECO_DATA'!B:V,18,FALSE)=0/1/1900,"",VLOOKUP(A802,'ECN-ECO_DATA'!B:V,18,FALSE))),"")</f>
        <v/>
      </c>
      <c r="N802" s="9" t="str">
        <f>IFERROR((IF(VLOOKUP(A802,'ECN-ECO_DATA'!B:V,19,FALSE)=0/1/1900,"",VLOOKUP(A802,'ECN-ECO_DATA'!B:V,19,FALSE))),"")</f>
        <v/>
      </c>
      <c r="O802" s="9" t="str">
        <f>IFERROR((IF(VLOOKUP(A802,'ECN-ECO_DATA'!B:V,20,FALSE)=0/1/1900,"",VLOOKUP(A802,'ECN-ECO_DATA'!B:V,20,FALSE))),"")</f>
        <v/>
      </c>
      <c r="P802" s="9" t="str">
        <f>IFERROR((IF(VLOOKUP(A802,'ECN-ECO_DATA'!B:V,21,FALSE)=0/1/1900,"",VLOOKUP(A802,'ECN-ECO_DATA'!B:V,21,FALSE))),"")</f>
        <v/>
      </c>
      <c r="Q802" s="10" t="str">
        <f t="shared" ca="1" si="60"/>
        <v/>
      </c>
      <c r="R802" s="4" t="str">
        <f t="shared" si="61"/>
        <v/>
      </c>
      <c r="S802" s="4" t="str">
        <f t="shared" si="62"/>
        <v/>
      </c>
      <c r="T802" s="4" t="str">
        <f t="shared" si="63"/>
        <v/>
      </c>
      <c r="U802" s="10" t="str">
        <f t="shared" si="64"/>
        <v/>
      </c>
      <c r="V802" s="4"/>
    </row>
    <row r="803" spans="2:22" x14ac:dyDescent="0.25">
      <c r="B803" s="4" t="str">
        <f>IFERROR(VLOOKUP(A803,'ECN-ECO_DATA'!B:G,4,FALSE),"")</f>
        <v/>
      </c>
      <c r="C803" s="9" t="str">
        <f>IFERROR(VLOOKUP(A803,'ECN-ECO_DATA'!B:G,5,FALSE),"")</f>
        <v/>
      </c>
      <c r="D803" s="9" t="str">
        <f ca="1">IFERROR((IF(VLOOKUP(A803,'ECN-ECO_DATA'!B:G,6,FALSE)=0/1/1900,TODAY(),VLOOKUP(A803,'ECN-ECO_DATA'!B:G,6,FALSE))),"")</f>
        <v/>
      </c>
      <c r="E803" s="9" t="str">
        <f>IFERROR((IF(VLOOKUP(A803,'ECN-ECO_DATA'!B:G,6,FALSE)=0/1/1900,"",VLOOKUP(A803,'ECN-ECO_DATA'!B:G,6,FALSE))),"")</f>
        <v/>
      </c>
      <c r="F803" s="9" t="str">
        <f>IFERROR((IF(VLOOKUP(A803,'ECN-ECO_DATA'!B:J,7,FALSE)=0/1/1900,"",VLOOKUP(A803,'ECN-ECO_DATA'!B:J,7,FALSE))),"")</f>
        <v/>
      </c>
      <c r="G803" s="9" t="str">
        <f>IFERROR((IF(VLOOKUP(A803,'ECN-ECO_DATA'!B:J,8,FALSE)=0/1/1900,"",VLOOKUP(A803,'ECN-ECO_DATA'!B:J,8,FALSE))),"")</f>
        <v/>
      </c>
      <c r="H803" s="9" t="str">
        <f>IFERROR((IF(VLOOKUP(A803,'ECN-ECO_DATA'!B:J,9,FALSE)=0/1/1900,"",VLOOKUP(A803,'ECN-ECO_DATA'!B:J,9,FALSE))),"")</f>
        <v/>
      </c>
      <c r="I803" s="10" t="str">
        <f>IFERROR((IF(VLOOKUP(A803,'ECN-ECO_DATA'!B:Q,13,FALSE)="","",VLOOKUP(A803,'ECN-ECO_DATA'!B:Q,13,FALSE))),"")</f>
        <v/>
      </c>
      <c r="J803" s="10" t="str">
        <f>IFERROR((IF(VLOOKUP(A803,'ECN-ECO_DATA'!B:Q,14,FALSE)="","",VLOOKUP(A803,'ECN-ECO_DATA'!B:Q,14,FALSE))),"")</f>
        <v/>
      </c>
      <c r="K803" s="10" t="str">
        <f>IFERROR((IF(VLOOKUP(A803,'ECN-ECO_DATA'!B:Q,15,FALSE)="","",VLOOKUP(A803,'ECN-ECO_DATA'!B:Q,15,FALSE))),"")</f>
        <v/>
      </c>
      <c r="L803" s="10" t="str">
        <f>IFERROR((IF(VLOOKUP(A803,'ECN-ECO_DATA'!B:Q,16,FALSE)="","",VLOOKUP(A803,'ECN-ECO_DATA'!B:Q,16,FALSE))),"")</f>
        <v/>
      </c>
      <c r="M803" s="9" t="str">
        <f>IFERROR((IF(VLOOKUP(A803,'ECN-ECO_DATA'!B:V,18,FALSE)=0/1/1900,"",VLOOKUP(A803,'ECN-ECO_DATA'!B:V,18,FALSE))),"")</f>
        <v/>
      </c>
      <c r="N803" s="9" t="str">
        <f>IFERROR((IF(VLOOKUP(A803,'ECN-ECO_DATA'!B:V,19,FALSE)=0/1/1900,"",VLOOKUP(A803,'ECN-ECO_DATA'!B:V,19,FALSE))),"")</f>
        <v/>
      </c>
      <c r="O803" s="9" t="str">
        <f>IFERROR((IF(VLOOKUP(A803,'ECN-ECO_DATA'!B:V,20,FALSE)=0/1/1900,"",VLOOKUP(A803,'ECN-ECO_DATA'!B:V,20,FALSE))),"")</f>
        <v/>
      </c>
      <c r="P803" s="9" t="str">
        <f>IFERROR((IF(VLOOKUP(A803,'ECN-ECO_DATA'!B:V,21,FALSE)=0/1/1900,"",VLOOKUP(A803,'ECN-ECO_DATA'!B:V,21,FALSE))),"")</f>
        <v/>
      </c>
      <c r="Q803" s="10" t="str">
        <f t="shared" ca="1" si="60"/>
        <v/>
      </c>
      <c r="R803" s="4" t="str">
        <f t="shared" si="61"/>
        <v/>
      </c>
      <c r="S803" s="4" t="str">
        <f t="shared" si="62"/>
        <v/>
      </c>
      <c r="T803" s="4" t="str">
        <f t="shared" si="63"/>
        <v/>
      </c>
      <c r="U803" s="10" t="str">
        <f t="shared" si="64"/>
        <v/>
      </c>
      <c r="V803" s="4"/>
    </row>
    <row r="804" spans="2:22" x14ac:dyDescent="0.25">
      <c r="B804" s="4" t="str">
        <f>IFERROR(VLOOKUP(A804,'ECN-ECO_DATA'!B:G,4,FALSE),"")</f>
        <v/>
      </c>
      <c r="C804" s="9" t="str">
        <f>IFERROR(VLOOKUP(A804,'ECN-ECO_DATA'!B:G,5,FALSE),"")</f>
        <v/>
      </c>
      <c r="D804" s="9" t="str">
        <f ca="1">IFERROR((IF(VLOOKUP(A804,'ECN-ECO_DATA'!B:G,6,FALSE)=0/1/1900,TODAY(),VLOOKUP(A804,'ECN-ECO_DATA'!B:G,6,FALSE))),"")</f>
        <v/>
      </c>
      <c r="E804" s="9" t="str">
        <f>IFERROR((IF(VLOOKUP(A804,'ECN-ECO_DATA'!B:G,6,FALSE)=0/1/1900,"",VLOOKUP(A804,'ECN-ECO_DATA'!B:G,6,FALSE))),"")</f>
        <v/>
      </c>
      <c r="F804" s="9" t="str">
        <f>IFERROR((IF(VLOOKUP(A804,'ECN-ECO_DATA'!B:J,7,FALSE)=0/1/1900,"",VLOOKUP(A804,'ECN-ECO_DATA'!B:J,7,FALSE))),"")</f>
        <v/>
      </c>
      <c r="G804" s="9" t="str">
        <f>IFERROR((IF(VLOOKUP(A804,'ECN-ECO_DATA'!B:J,8,FALSE)=0/1/1900,"",VLOOKUP(A804,'ECN-ECO_DATA'!B:J,8,FALSE))),"")</f>
        <v/>
      </c>
      <c r="H804" s="9" t="str">
        <f>IFERROR((IF(VLOOKUP(A804,'ECN-ECO_DATA'!B:J,9,FALSE)=0/1/1900,"",VLOOKUP(A804,'ECN-ECO_DATA'!B:J,9,FALSE))),"")</f>
        <v/>
      </c>
      <c r="I804" s="10" t="str">
        <f>IFERROR((IF(VLOOKUP(A804,'ECN-ECO_DATA'!B:Q,13,FALSE)="","",VLOOKUP(A804,'ECN-ECO_DATA'!B:Q,13,FALSE))),"")</f>
        <v/>
      </c>
      <c r="J804" s="10" t="str">
        <f>IFERROR((IF(VLOOKUP(A804,'ECN-ECO_DATA'!B:Q,14,FALSE)="","",VLOOKUP(A804,'ECN-ECO_DATA'!B:Q,14,FALSE))),"")</f>
        <v/>
      </c>
      <c r="K804" s="10" t="str">
        <f>IFERROR((IF(VLOOKUP(A804,'ECN-ECO_DATA'!B:Q,15,FALSE)="","",VLOOKUP(A804,'ECN-ECO_DATA'!B:Q,15,FALSE))),"")</f>
        <v/>
      </c>
      <c r="L804" s="10" t="str">
        <f>IFERROR((IF(VLOOKUP(A804,'ECN-ECO_DATA'!B:Q,16,FALSE)="","",VLOOKUP(A804,'ECN-ECO_DATA'!B:Q,16,FALSE))),"")</f>
        <v/>
      </c>
      <c r="M804" s="9" t="str">
        <f>IFERROR((IF(VLOOKUP(A804,'ECN-ECO_DATA'!B:V,18,FALSE)=0/1/1900,"",VLOOKUP(A804,'ECN-ECO_DATA'!B:V,18,FALSE))),"")</f>
        <v/>
      </c>
      <c r="N804" s="9" t="str">
        <f>IFERROR((IF(VLOOKUP(A804,'ECN-ECO_DATA'!B:V,19,FALSE)=0/1/1900,"",VLOOKUP(A804,'ECN-ECO_DATA'!B:V,19,FALSE))),"")</f>
        <v/>
      </c>
      <c r="O804" s="9" t="str">
        <f>IFERROR((IF(VLOOKUP(A804,'ECN-ECO_DATA'!B:V,20,FALSE)=0/1/1900,"",VLOOKUP(A804,'ECN-ECO_DATA'!B:V,20,FALSE))),"")</f>
        <v/>
      </c>
      <c r="P804" s="9" t="str">
        <f>IFERROR((IF(VLOOKUP(A804,'ECN-ECO_DATA'!B:V,21,FALSE)=0/1/1900,"",VLOOKUP(A804,'ECN-ECO_DATA'!B:V,21,FALSE))),"")</f>
        <v/>
      </c>
      <c r="Q804" s="10" t="str">
        <f t="shared" ca="1" si="60"/>
        <v/>
      </c>
      <c r="R804" s="4" t="str">
        <f t="shared" si="61"/>
        <v/>
      </c>
      <c r="S804" s="4" t="str">
        <f t="shared" si="62"/>
        <v/>
      </c>
      <c r="T804" s="4" t="str">
        <f t="shared" si="63"/>
        <v/>
      </c>
      <c r="U804" s="10" t="str">
        <f t="shared" si="64"/>
        <v/>
      </c>
      <c r="V804" s="4"/>
    </row>
    <row r="805" spans="2:22" x14ac:dyDescent="0.25">
      <c r="B805" s="4" t="str">
        <f>IFERROR(VLOOKUP(A805,'ECN-ECO_DATA'!B:G,4,FALSE),"")</f>
        <v/>
      </c>
      <c r="C805" s="9" t="str">
        <f>IFERROR(VLOOKUP(A805,'ECN-ECO_DATA'!B:G,5,FALSE),"")</f>
        <v/>
      </c>
      <c r="D805" s="9" t="str">
        <f ca="1">IFERROR((IF(VLOOKUP(A805,'ECN-ECO_DATA'!B:G,6,FALSE)=0/1/1900,TODAY(),VLOOKUP(A805,'ECN-ECO_DATA'!B:G,6,FALSE))),"")</f>
        <v/>
      </c>
      <c r="E805" s="9" t="str">
        <f>IFERROR((IF(VLOOKUP(A805,'ECN-ECO_DATA'!B:G,6,FALSE)=0/1/1900,"",VLOOKUP(A805,'ECN-ECO_DATA'!B:G,6,FALSE))),"")</f>
        <v/>
      </c>
      <c r="F805" s="9" t="str">
        <f>IFERROR((IF(VLOOKUP(A805,'ECN-ECO_DATA'!B:J,7,FALSE)=0/1/1900,"",VLOOKUP(A805,'ECN-ECO_DATA'!B:J,7,FALSE))),"")</f>
        <v/>
      </c>
      <c r="G805" s="9" t="str">
        <f>IFERROR((IF(VLOOKUP(A805,'ECN-ECO_DATA'!B:J,8,FALSE)=0/1/1900,"",VLOOKUP(A805,'ECN-ECO_DATA'!B:J,8,FALSE))),"")</f>
        <v/>
      </c>
      <c r="H805" s="9" t="str">
        <f>IFERROR((IF(VLOOKUP(A805,'ECN-ECO_DATA'!B:J,9,FALSE)=0/1/1900,"",VLOOKUP(A805,'ECN-ECO_DATA'!B:J,9,FALSE))),"")</f>
        <v/>
      </c>
      <c r="I805" s="10" t="str">
        <f>IFERROR((IF(VLOOKUP(A805,'ECN-ECO_DATA'!B:Q,13,FALSE)="","",VLOOKUP(A805,'ECN-ECO_DATA'!B:Q,13,FALSE))),"")</f>
        <v/>
      </c>
      <c r="J805" s="10" t="str">
        <f>IFERROR((IF(VLOOKUP(A805,'ECN-ECO_DATA'!B:Q,14,FALSE)="","",VLOOKUP(A805,'ECN-ECO_DATA'!B:Q,14,FALSE))),"")</f>
        <v/>
      </c>
      <c r="K805" s="10" t="str">
        <f>IFERROR((IF(VLOOKUP(A805,'ECN-ECO_DATA'!B:Q,15,FALSE)="","",VLOOKUP(A805,'ECN-ECO_DATA'!B:Q,15,FALSE))),"")</f>
        <v/>
      </c>
      <c r="L805" s="10" t="str">
        <f>IFERROR((IF(VLOOKUP(A805,'ECN-ECO_DATA'!B:Q,16,FALSE)="","",VLOOKUP(A805,'ECN-ECO_DATA'!B:Q,16,FALSE))),"")</f>
        <v/>
      </c>
      <c r="M805" s="9" t="str">
        <f>IFERROR((IF(VLOOKUP(A805,'ECN-ECO_DATA'!B:V,18,FALSE)=0/1/1900,"",VLOOKUP(A805,'ECN-ECO_DATA'!B:V,18,FALSE))),"")</f>
        <v/>
      </c>
      <c r="N805" s="9" t="str">
        <f>IFERROR((IF(VLOOKUP(A805,'ECN-ECO_DATA'!B:V,19,FALSE)=0/1/1900,"",VLOOKUP(A805,'ECN-ECO_DATA'!B:V,19,FALSE))),"")</f>
        <v/>
      </c>
      <c r="O805" s="9" t="str">
        <f>IFERROR((IF(VLOOKUP(A805,'ECN-ECO_DATA'!B:V,20,FALSE)=0/1/1900,"",VLOOKUP(A805,'ECN-ECO_DATA'!B:V,20,FALSE))),"")</f>
        <v/>
      </c>
      <c r="P805" s="9" t="str">
        <f>IFERROR((IF(VLOOKUP(A805,'ECN-ECO_DATA'!B:V,21,FALSE)=0/1/1900,"",VLOOKUP(A805,'ECN-ECO_DATA'!B:V,21,FALSE))),"")</f>
        <v/>
      </c>
      <c r="Q805" s="10" t="str">
        <f t="shared" ca="1" si="60"/>
        <v/>
      </c>
      <c r="R805" s="4" t="str">
        <f t="shared" si="61"/>
        <v/>
      </c>
      <c r="S805" s="4" t="str">
        <f t="shared" si="62"/>
        <v/>
      </c>
      <c r="T805" s="4" t="str">
        <f t="shared" si="63"/>
        <v/>
      </c>
      <c r="U805" s="10" t="str">
        <f t="shared" si="64"/>
        <v/>
      </c>
      <c r="V805" s="4"/>
    </row>
    <row r="806" spans="2:22" x14ac:dyDescent="0.25">
      <c r="B806" s="4" t="str">
        <f>IFERROR(VLOOKUP(A806,'ECN-ECO_DATA'!B:G,4,FALSE),"")</f>
        <v/>
      </c>
      <c r="C806" s="9" t="str">
        <f>IFERROR(VLOOKUP(A806,'ECN-ECO_DATA'!B:G,5,FALSE),"")</f>
        <v/>
      </c>
      <c r="D806" s="9" t="str">
        <f ca="1">IFERROR((IF(VLOOKUP(A806,'ECN-ECO_DATA'!B:G,6,FALSE)=0/1/1900,TODAY(),VLOOKUP(A806,'ECN-ECO_DATA'!B:G,6,FALSE))),"")</f>
        <v/>
      </c>
      <c r="E806" s="9" t="str">
        <f>IFERROR((IF(VLOOKUP(A806,'ECN-ECO_DATA'!B:G,6,FALSE)=0/1/1900,"",VLOOKUP(A806,'ECN-ECO_DATA'!B:G,6,FALSE))),"")</f>
        <v/>
      </c>
      <c r="F806" s="9" t="str">
        <f>IFERROR((IF(VLOOKUP(A806,'ECN-ECO_DATA'!B:J,7,FALSE)=0/1/1900,"",VLOOKUP(A806,'ECN-ECO_DATA'!B:J,7,FALSE))),"")</f>
        <v/>
      </c>
      <c r="G806" s="9" t="str">
        <f>IFERROR((IF(VLOOKUP(A806,'ECN-ECO_DATA'!B:J,8,FALSE)=0/1/1900,"",VLOOKUP(A806,'ECN-ECO_DATA'!B:J,8,FALSE))),"")</f>
        <v/>
      </c>
      <c r="H806" s="9" t="str">
        <f>IFERROR((IF(VLOOKUP(A806,'ECN-ECO_DATA'!B:J,9,FALSE)=0/1/1900,"",VLOOKUP(A806,'ECN-ECO_DATA'!B:J,9,FALSE))),"")</f>
        <v/>
      </c>
      <c r="I806" s="10" t="str">
        <f>IFERROR((IF(VLOOKUP(A806,'ECN-ECO_DATA'!B:Q,13,FALSE)="","",VLOOKUP(A806,'ECN-ECO_DATA'!B:Q,13,FALSE))),"")</f>
        <v/>
      </c>
      <c r="J806" s="10" t="str">
        <f>IFERROR((IF(VLOOKUP(A806,'ECN-ECO_DATA'!B:Q,14,FALSE)="","",VLOOKUP(A806,'ECN-ECO_DATA'!B:Q,14,FALSE))),"")</f>
        <v/>
      </c>
      <c r="K806" s="10" t="str">
        <f>IFERROR((IF(VLOOKUP(A806,'ECN-ECO_DATA'!B:Q,15,FALSE)="","",VLOOKUP(A806,'ECN-ECO_DATA'!B:Q,15,FALSE))),"")</f>
        <v/>
      </c>
      <c r="L806" s="10" t="str">
        <f>IFERROR((IF(VLOOKUP(A806,'ECN-ECO_DATA'!B:Q,16,FALSE)="","",VLOOKUP(A806,'ECN-ECO_DATA'!B:Q,16,FALSE))),"")</f>
        <v/>
      </c>
      <c r="M806" s="9" t="str">
        <f>IFERROR((IF(VLOOKUP(A806,'ECN-ECO_DATA'!B:V,18,FALSE)=0/1/1900,"",VLOOKUP(A806,'ECN-ECO_DATA'!B:V,18,FALSE))),"")</f>
        <v/>
      </c>
      <c r="N806" s="9" t="str">
        <f>IFERROR((IF(VLOOKUP(A806,'ECN-ECO_DATA'!B:V,19,FALSE)=0/1/1900,"",VLOOKUP(A806,'ECN-ECO_DATA'!B:V,19,FALSE))),"")</f>
        <v/>
      </c>
      <c r="O806" s="9" t="str">
        <f>IFERROR((IF(VLOOKUP(A806,'ECN-ECO_DATA'!B:V,20,FALSE)=0/1/1900,"",VLOOKUP(A806,'ECN-ECO_DATA'!B:V,20,FALSE))),"")</f>
        <v/>
      </c>
      <c r="P806" s="9" t="str">
        <f>IFERROR((IF(VLOOKUP(A806,'ECN-ECO_DATA'!B:V,21,FALSE)=0/1/1900,"",VLOOKUP(A806,'ECN-ECO_DATA'!B:V,21,FALSE))),"")</f>
        <v/>
      </c>
      <c r="Q806" s="10" t="str">
        <f t="shared" ca="1" si="60"/>
        <v/>
      </c>
      <c r="R806" s="4" t="str">
        <f t="shared" si="61"/>
        <v/>
      </c>
      <c r="S806" s="4" t="str">
        <f t="shared" si="62"/>
        <v/>
      </c>
      <c r="T806" s="4" t="str">
        <f t="shared" si="63"/>
        <v/>
      </c>
      <c r="U806" s="10" t="str">
        <f t="shared" si="64"/>
        <v/>
      </c>
      <c r="V806" s="4"/>
    </row>
    <row r="807" spans="2:22" x14ac:dyDescent="0.25">
      <c r="B807" s="4" t="str">
        <f>IFERROR(VLOOKUP(A807,'ECN-ECO_DATA'!B:G,4,FALSE),"")</f>
        <v/>
      </c>
      <c r="C807" s="9" t="str">
        <f>IFERROR(VLOOKUP(A807,'ECN-ECO_DATA'!B:G,5,FALSE),"")</f>
        <v/>
      </c>
      <c r="D807" s="9" t="str">
        <f ca="1">IFERROR((IF(VLOOKUP(A807,'ECN-ECO_DATA'!B:G,6,FALSE)=0/1/1900,TODAY(),VLOOKUP(A807,'ECN-ECO_DATA'!B:G,6,FALSE))),"")</f>
        <v/>
      </c>
      <c r="E807" s="9" t="str">
        <f>IFERROR((IF(VLOOKUP(A807,'ECN-ECO_DATA'!B:G,6,FALSE)=0/1/1900,"",VLOOKUP(A807,'ECN-ECO_DATA'!B:G,6,FALSE))),"")</f>
        <v/>
      </c>
      <c r="F807" s="9" t="str">
        <f>IFERROR((IF(VLOOKUP(A807,'ECN-ECO_DATA'!B:J,7,FALSE)=0/1/1900,"",VLOOKUP(A807,'ECN-ECO_DATA'!B:J,7,FALSE))),"")</f>
        <v/>
      </c>
      <c r="G807" s="9" t="str">
        <f>IFERROR((IF(VLOOKUP(A807,'ECN-ECO_DATA'!B:J,8,FALSE)=0/1/1900,"",VLOOKUP(A807,'ECN-ECO_DATA'!B:J,8,FALSE))),"")</f>
        <v/>
      </c>
      <c r="H807" s="9" t="str">
        <f>IFERROR((IF(VLOOKUP(A807,'ECN-ECO_DATA'!B:J,9,FALSE)=0/1/1900,"",VLOOKUP(A807,'ECN-ECO_DATA'!B:J,9,FALSE))),"")</f>
        <v/>
      </c>
      <c r="I807" s="10" t="str">
        <f>IFERROR((IF(VLOOKUP(A807,'ECN-ECO_DATA'!B:Q,13,FALSE)="","",VLOOKUP(A807,'ECN-ECO_DATA'!B:Q,13,FALSE))),"")</f>
        <v/>
      </c>
      <c r="J807" s="10" t="str">
        <f>IFERROR((IF(VLOOKUP(A807,'ECN-ECO_DATA'!B:Q,14,FALSE)="","",VLOOKUP(A807,'ECN-ECO_DATA'!B:Q,14,FALSE))),"")</f>
        <v/>
      </c>
      <c r="K807" s="10" t="str">
        <f>IFERROR((IF(VLOOKUP(A807,'ECN-ECO_DATA'!B:Q,15,FALSE)="","",VLOOKUP(A807,'ECN-ECO_DATA'!B:Q,15,FALSE))),"")</f>
        <v/>
      </c>
      <c r="L807" s="10" t="str">
        <f>IFERROR((IF(VLOOKUP(A807,'ECN-ECO_DATA'!B:Q,16,FALSE)="","",VLOOKUP(A807,'ECN-ECO_DATA'!B:Q,16,FALSE))),"")</f>
        <v/>
      </c>
      <c r="M807" s="9" t="str">
        <f>IFERROR((IF(VLOOKUP(A807,'ECN-ECO_DATA'!B:V,18,FALSE)=0/1/1900,"",VLOOKUP(A807,'ECN-ECO_DATA'!B:V,18,FALSE))),"")</f>
        <v/>
      </c>
      <c r="N807" s="9" t="str">
        <f>IFERROR((IF(VLOOKUP(A807,'ECN-ECO_DATA'!B:V,19,FALSE)=0/1/1900,"",VLOOKUP(A807,'ECN-ECO_DATA'!B:V,19,FALSE))),"")</f>
        <v/>
      </c>
      <c r="O807" s="9" t="str">
        <f>IFERROR((IF(VLOOKUP(A807,'ECN-ECO_DATA'!B:V,20,FALSE)=0/1/1900,"",VLOOKUP(A807,'ECN-ECO_DATA'!B:V,20,FALSE))),"")</f>
        <v/>
      </c>
      <c r="P807" s="9" t="str">
        <f>IFERROR((IF(VLOOKUP(A807,'ECN-ECO_DATA'!B:V,21,FALSE)=0/1/1900,"",VLOOKUP(A807,'ECN-ECO_DATA'!B:V,21,FALSE))),"")</f>
        <v/>
      </c>
      <c r="Q807" s="10" t="str">
        <f t="shared" ca="1" si="60"/>
        <v/>
      </c>
      <c r="R807" s="4" t="str">
        <f t="shared" si="61"/>
        <v/>
      </c>
      <c r="S807" s="4" t="str">
        <f t="shared" si="62"/>
        <v/>
      </c>
      <c r="T807" s="4" t="str">
        <f t="shared" si="63"/>
        <v/>
      </c>
      <c r="U807" s="10" t="str">
        <f t="shared" si="64"/>
        <v/>
      </c>
      <c r="V807" s="4"/>
    </row>
    <row r="808" spans="2:22" x14ac:dyDescent="0.25">
      <c r="B808" s="4" t="str">
        <f>IFERROR(VLOOKUP(A808,'ECN-ECO_DATA'!B:G,4,FALSE),"")</f>
        <v/>
      </c>
      <c r="C808" s="9" t="str">
        <f>IFERROR(VLOOKUP(A808,'ECN-ECO_DATA'!B:G,5,FALSE),"")</f>
        <v/>
      </c>
      <c r="D808" s="9" t="str">
        <f ca="1">IFERROR((IF(VLOOKUP(A808,'ECN-ECO_DATA'!B:G,6,FALSE)=0/1/1900,TODAY(),VLOOKUP(A808,'ECN-ECO_DATA'!B:G,6,FALSE))),"")</f>
        <v/>
      </c>
      <c r="E808" s="9" t="str">
        <f>IFERROR((IF(VLOOKUP(A808,'ECN-ECO_DATA'!B:G,6,FALSE)=0/1/1900,"",VLOOKUP(A808,'ECN-ECO_DATA'!B:G,6,FALSE))),"")</f>
        <v/>
      </c>
      <c r="F808" s="9" t="str">
        <f>IFERROR((IF(VLOOKUP(A808,'ECN-ECO_DATA'!B:J,7,FALSE)=0/1/1900,"",VLOOKUP(A808,'ECN-ECO_DATA'!B:J,7,FALSE))),"")</f>
        <v/>
      </c>
      <c r="G808" s="9" t="str">
        <f>IFERROR((IF(VLOOKUP(A808,'ECN-ECO_DATA'!B:J,8,FALSE)=0/1/1900,"",VLOOKUP(A808,'ECN-ECO_DATA'!B:J,8,FALSE))),"")</f>
        <v/>
      </c>
      <c r="H808" s="9" t="str">
        <f>IFERROR((IF(VLOOKUP(A808,'ECN-ECO_DATA'!B:J,9,FALSE)=0/1/1900,"",VLOOKUP(A808,'ECN-ECO_DATA'!B:J,9,FALSE))),"")</f>
        <v/>
      </c>
      <c r="I808" s="10" t="str">
        <f>IFERROR((IF(VLOOKUP(A808,'ECN-ECO_DATA'!B:Q,13,FALSE)="","",VLOOKUP(A808,'ECN-ECO_DATA'!B:Q,13,FALSE))),"")</f>
        <v/>
      </c>
      <c r="J808" s="10" t="str">
        <f>IFERROR((IF(VLOOKUP(A808,'ECN-ECO_DATA'!B:Q,14,FALSE)="","",VLOOKUP(A808,'ECN-ECO_DATA'!B:Q,14,FALSE))),"")</f>
        <v/>
      </c>
      <c r="K808" s="10" t="str">
        <f>IFERROR((IF(VLOOKUP(A808,'ECN-ECO_DATA'!B:Q,15,FALSE)="","",VLOOKUP(A808,'ECN-ECO_DATA'!B:Q,15,FALSE))),"")</f>
        <v/>
      </c>
      <c r="L808" s="10" t="str">
        <f>IFERROR((IF(VLOOKUP(A808,'ECN-ECO_DATA'!B:Q,16,FALSE)="","",VLOOKUP(A808,'ECN-ECO_DATA'!B:Q,16,FALSE))),"")</f>
        <v/>
      </c>
      <c r="M808" s="9" t="str">
        <f>IFERROR((IF(VLOOKUP(A808,'ECN-ECO_DATA'!B:V,18,FALSE)=0/1/1900,"",VLOOKUP(A808,'ECN-ECO_DATA'!B:V,18,FALSE))),"")</f>
        <v/>
      </c>
      <c r="N808" s="9" t="str">
        <f>IFERROR((IF(VLOOKUP(A808,'ECN-ECO_DATA'!B:V,19,FALSE)=0/1/1900,"",VLOOKUP(A808,'ECN-ECO_DATA'!B:V,19,FALSE))),"")</f>
        <v/>
      </c>
      <c r="O808" s="9" t="str">
        <f>IFERROR((IF(VLOOKUP(A808,'ECN-ECO_DATA'!B:V,20,FALSE)=0/1/1900,"",VLOOKUP(A808,'ECN-ECO_DATA'!B:V,20,FALSE))),"")</f>
        <v/>
      </c>
      <c r="P808" s="9" t="str">
        <f>IFERROR((IF(VLOOKUP(A808,'ECN-ECO_DATA'!B:V,21,FALSE)=0/1/1900,"",VLOOKUP(A808,'ECN-ECO_DATA'!B:V,21,FALSE))),"")</f>
        <v/>
      </c>
      <c r="Q808" s="10" t="str">
        <f t="shared" ca="1" si="60"/>
        <v/>
      </c>
      <c r="R808" s="4" t="str">
        <f t="shared" si="61"/>
        <v/>
      </c>
      <c r="S808" s="4" t="str">
        <f t="shared" si="62"/>
        <v/>
      </c>
      <c r="T808" s="4" t="str">
        <f t="shared" si="63"/>
        <v/>
      </c>
      <c r="U808" s="10" t="str">
        <f t="shared" si="64"/>
        <v/>
      </c>
      <c r="V808" s="4"/>
    </row>
    <row r="809" spans="2:22" x14ac:dyDescent="0.25">
      <c r="B809" s="4" t="str">
        <f>IFERROR(VLOOKUP(A809,'ECN-ECO_DATA'!B:G,4,FALSE),"")</f>
        <v/>
      </c>
      <c r="C809" s="9" t="str">
        <f>IFERROR(VLOOKUP(A809,'ECN-ECO_DATA'!B:G,5,FALSE),"")</f>
        <v/>
      </c>
      <c r="D809" s="9" t="str">
        <f ca="1">IFERROR((IF(VLOOKUP(A809,'ECN-ECO_DATA'!B:G,6,FALSE)=0/1/1900,TODAY(),VLOOKUP(A809,'ECN-ECO_DATA'!B:G,6,FALSE))),"")</f>
        <v/>
      </c>
      <c r="E809" s="9" t="str">
        <f>IFERROR((IF(VLOOKUP(A809,'ECN-ECO_DATA'!B:G,6,FALSE)=0/1/1900,"",VLOOKUP(A809,'ECN-ECO_DATA'!B:G,6,FALSE))),"")</f>
        <v/>
      </c>
      <c r="F809" s="9" t="str">
        <f>IFERROR((IF(VLOOKUP(A809,'ECN-ECO_DATA'!B:J,7,FALSE)=0/1/1900,"",VLOOKUP(A809,'ECN-ECO_DATA'!B:J,7,FALSE))),"")</f>
        <v/>
      </c>
      <c r="G809" s="9" t="str">
        <f>IFERROR((IF(VLOOKUP(A809,'ECN-ECO_DATA'!B:J,8,FALSE)=0/1/1900,"",VLOOKUP(A809,'ECN-ECO_DATA'!B:J,8,FALSE))),"")</f>
        <v/>
      </c>
      <c r="H809" s="9" t="str">
        <f>IFERROR((IF(VLOOKUP(A809,'ECN-ECO_DATA'!B:J,9,FALSE)=0/1/1900,"",VLOOKUP(A809,'ECN-ECO_DATA'!B:J,9,FALSE))),"")</f>
        <v/>
      </c>
      <c r="I809" s="10" t="str">
        <f>IFERROR((IF(VLOOKUP(A809,'ECN-ECO_DATA'!B:Q,13,FALSE)="","",VLOOKUP(A809,'ECN-ECO_DATA'!B:Q,13,FALSE))),"")</f>
        <v/>
      </c>
      <c r="J809" s="10" t="str">
        <f>IFERROR((IF(VLOOKUP(A809,'ECN-ECO_DATA'!B:Q,14,FALSE)="","",VLOOKUP(A809,'ECN-ECO_DATA'!B:Q,14,FALSE))),"")</f>
        <v/>
      </c>
      <c r="K809" s="10" t="str">
        <f>IFERROR((IF(VLOOKUP(A809,'ECN-ECO_DATA'!B:Q,15,FALSE)="","",VLOOKUP(A809,'ECN-ECO_DATA'!B:Q,15,FALSE))),"")</f>
        <v/>
      </c>
      <c r="L809" s="10" t="str">
        <f>IFERROR((IF(VLOOKUP(A809,'ECN-ECO_DATA'!B:Q,16,FALSE)="","",VLOOKUP(A809,'ECN-ECO_DATA'!B:Q,16,FALSE))),"")</f>
        <v/>
      </c>
      <c r="M809" s="9" t="str">
        <f>IFERROR((IF(VLOOKUP(A809,'ECN-ECO_DATA'!B:V,18,FALSE)=0/1/1900,"",VLOOKUP(A809,'ECN-ECO_DATA'!B:V,18,FALSE))),"")</f>
        <v/>
      </c>
      <c r="N809" s="9" t="str">
        <f>IFERROR((IF(VLOOKUP(A809,'ECN-ECO_DATA'!B:V,19,FALSE)=0/1/1900,"",VLOOKUP(A809,'ECN-ECO_DATA'!B:V,19,FALSE))),"")</f>
        <v/>
      </c>
      <c r="O809" s="9" t="str">
        <f>IFERROR((IF(VLOOKUP(A809,'ECN-ECO_DATA'!B:V,20,FALSE)=0/1/1900,"",VLOOKUP(A809,'ECN-ECO_DATA'!B:V,20,FALSE))),"")</f>
        <v/>
      </c>
      <c r="P809" s="9" t="str">
        <f>IFERROR((IF(VLOOKUP(A809,'ECN-ECO_DATA'!B:V,21,FALSE)=0/1/1900,"",VLOOKUP(A809,'ECN-ECO_DATA'!B:V,21,FALSE))),"")</f>
        <v/>
      </c>
      <c r="Q809" s="10" t="str">
        <f t="shared" ca="1" si="60"/>
        <v/>
      </c>
      <c r="R809" s="4" t="str">
        <f t="shared" si="61"/>
        <v/>
      </c>
      <c r="S809" s="4" t="str">
        <f t="shared" si="62"/>
        <v/>
      </c>
      <c r="T809" s="4" t="str">
        <f t="shared" si="63"/>
        <v/>
      </c>
      <c r="U809" s="10" t="str">
        <f t="shared" si="64"/>
        <v/>
      </c>
      <c r="V809" s="4"/>
    </row>
    <row r="810" spans="2:22" x14ac:dyDescent="0.25">
      <c r="B810" s="4" t="str">
        <f>IFERROR(VLOOKUP(A810,'ECN-ECO_DATA'!B:G,4,FALSE),"")</f>
        <v/>
      </c>
      <c r="C810" s="9" t="str">
        <f>IFERROR(VLOOKUP(A810,'ECN-ECO_DATA'!B:G,5,FALSE),"")</f>
        <v/>
      </c>
      <c r="D810" s="9" t="str">
        <f ca="1">IFERROR((IF(VLOOKUP(A810,'ECN-ECO_DATA'!B:G,6,FALSE)=0/1/1900,TODAY(),VLOOKUP(A810,'ECN-ECO_DATA'!B:G,6,FALSE))),"")</f>
        <v/>
      </c>
      <c r="E810" s="9" t="str">
        <f>IFERROR((IF(VLOOKUP(A810,'ECN-ECO_DATA'!B:G,6,FALSE)=0/1/1900,"",VLOOKUP(A810,'ECN-ECO_DATA'!B:G,6,FALSE))),"")</f>
        <v/>
      </c>
      <c r="F810" s="9" t="str">
        <f>IFERROR((IF(VLOOKUP(A810,'ECN-ECO_DATA'!B:J,7,FALSE)=0/1/1900,"",VLOOKUP(A810,'ECN-ECO_DATA'!B:J,7,FALSE))),"")</f>
        <v/>
      </c>
      <c r="G810" s="9" t="str">
        <f>IFERROR((IF(VLOOKUP(A810,'ECN-ECO_DATA'!B:J,8,FALSE)=0/1/1900,"",VLOOKUP(A810,'ECN-ECO_DATA'!B:J,8,FALSE))),"")</f>
        <v/>
      </c>
      <c r="H810" s="9" t="str">
        <f>IFERROR((IF(VLOOKUP(A810,'ECN-ECO_DATA'!B:J,9,FALSE)=0/1/1900,"",VLOOKUP(A810,'ECN-ECO_DATA'!B:J,9,FALSE))),"")</f>
        <v/>
      </c>
      <c r="I810" s="10" t="str">
        <f>IFERROR((IF(VLOOKUP(A810,'ECN-ECO_DATA'!B:Q,13,FALSE)="","",VLOOKUP(A810,'ECN-ECO_DATA'!B:Q,13,FALSE))),"")</f>
        <v/>
      </c>
      <c r="J810" s="10" t="str">
        <f>IFERROR((IF(VLOOKUP(A810,'ECN-ECO_DATA'!B:Q,14,FALSE)="","",VLOOKUP(A810,'ECN-ECO_DATA'!B:Q,14,FALSE))),"")</f>
        <v/>
      </c>
      <c r="K810" s="10" t="str">
        <f>IFERROR((IF(VLOOKUP(A810,'ECN-ECO_DATA'!B:Q,15,FALSE)="","",VLOOKUP(A810,'ECN-ECO_DATA'!B:Q,15,FALSE))),"")</f>
        <v/>
      </c>
      <c r="L810" s="10" t="str">
        <f>IFERROR((IF(VLOOKUP(A810,'ECN-ECO_DATA'!B:Q,16,FALSE)="","",VLOOKUP(A810,'ECN-ECO_DATA'!B:Q,16,FALSE))),"")</f>
        <v/>
      </c>
      <c r="M810" s="9" t="str">
        <f>IFERROR((IF(VLOOKUP(A810,'ECN-ECO_DATA'!B:V,18,FALSE)=0/1/1900,"",VLOOKUP(A810,'ECN-ECO_DATA'!B:V,18,FALSE))),"")</f>
        <v/>
      </c>
      <c r="N810" s="9" t="str">
        <f>IFERROR((IF(VLOOKUP(A810,'ECN-ECO_DATA'!B:V,19,FALSE)=0/1/1900,"",VLOOKUP(A810,'ECN-ECO_DATA'!B:V,19,FALSE))),"")</f>
        <v/>
      </c>
      <c r="O810" s="9" t="str">
        <f>IFERROR((IF(VLOOKUP(A810,'ECN-ECO_DATA'!B:V,20,FALSE)=0/1/1900,"",VLOOKUP(A810,'ECN-ECO_DATA'!B:V,20,FALSE))),"")</f>
        <v/>
      </c>
      <c r="P810" s="9" t="str">
        <f>IFERROR((IF(VLOOKUP(A810,'ECN-ECO_DATA'!B:V,21,FALSE)=0/1/1900,"",VLOOKUP(A810,'ECN-ECO_DATA'!B:V,21,FALSE))),"")</f>
        <v/>
      </c>
      <c r="Q810" s="10" t="str">
        <f t="shared" ca="1" si="60"/>
        <v/>
      </c>
      <c r="R810" s="4" t="str">
        <f t="shared" si="61"/>
        <v/>
      </c>
      <c r="S810" s="4" t="str">
        <f t="shared" si="62"/>
        <v/>
      </c>
      <c r="T810" s="4" t="str">
        <f t="shared" si="63"/>
        <v/>
      </c>
      <c r="U810" s="10" t="str">
        <f t="shared" si="64"/>
        <v/>
      </c>
      <c r="V810" s="4"/>
    </row>
    <row r="811" spans="2:22" x14ac:dyDescent="0.25">
      <c r="B811" s="4" t="str">
        <f>IFERROR(VLOOKUP(A811,'ECN-ECO_DATA'!B:G,4,FALSE),"")</f>
        <v/>
      </c>
      <c r="C811" s="9" t="str">
        <f>IFERROR(VLOOKUP(A811,'ECN-ECO_DATA'!B:G,5,FALSE),"")</f>
        <v/>
      </c>
      <c r="D811" s="9" t="str">
        <f ca="1">IFERROR((IF(VLOOKUP(A811,'ECN-ECO_DATA'!B:G,6,FALSE)=0/1/1900,TODAY(),VLOOKUP(A811,'ECN-ECO_DATA'!B:G,6,FALSE))),"")</f>
        <v/>
      </c>
      <c r="E811" s="9" t="str">
        <f>IFERROR((IF(VLOOKUP(A811,'ECN-ECO_DATA'!B:G,6,FALSE)=0/1/1900,"",VLOOKUP(A811,'ECN-ECO_DATA'!B:G,6,FALSE))),"")</f>
        <v/>
      </c>
      <c r="F811" s="9" t="str">
        <f>IFERROR((IF(VLOOKUP(A811,'ECN-ECO_DATA'!B:J,7,FALSE)=0/1/1900,"",VLOOKUP(A811,'ECN-ECO_DATA'!B:J,7,FALSE))),"")</f>
        <v/>
      </c>
      <c r="G811" s="9" t="str">
        <f>IFERROR((IF(VLOOKUP(A811,'ECN-ECO_DATA'!B:J,8,FALSE)=0/1/1900,"",VLOOKUP(A811,'ECN-ECO_DATA'!B:J,8,FALSE))),"")</f>
        <v/>
      </c>
      <c r="H811" s="9" t="str">
        <f>IFERROR((IF(VLOOKUP(A811,'ECN-ECO_DATA'!B:J,9,FALSE)=0/1/1900,"",VLOOKUP(A811,'ECN-ECO_DATA'!B:J,9,FALSE))),"")</f>
        <v/>
      </c>
      <c r="I811" s="10" t="str">
        <f>IFERROR((IF(VLOOKUP(A811,'ECN-ECO_DATA'!B:Q,13,FALSE)="","",VLOOKUP(A811,'ECN-ECO_DATA'!B:Q,13,FALSE))),"")</f>
        <v/>
      </c>
      <c r="J811" s="10" t="str">
        <f>IFERROR((IF(VLOOKUP(A811,'ECN-ECO_DATA'!B:Q,14,FALSE)="","",VLOOKUP(A811,'ECN-ECO_DATA'!B:Q,14,FALSE))),"")</f>
        <v/>
      </c>
      <c r="K811" s="10" t="str">
        <f>IFERROR((IF(VLOOKUP(A811,'ECN-ECO_DATA'!B:Q,15,FALSE)="","",VLOOKUP(A811,'ECN-ECO_DATA'!B:Q,15,FALSE))),"")</f>
        <v/>
      </c>
      <c r="L811" s="10" t="str">
        <f>IFERROR((IF(VLOOKUP(A811,'ECN-ECO_DATA'!B:Q,16,FALSE)="","",VLOOKUP(A811,'ECN-ECO_DATA'!B:Q,16,FALSE))),"")</f>
        <v/>
      </c>
      <c r="M811" s="9" t="str">
        <f>IFERROR((IF(VLOOKUP(A811,'ECN-ECO_DATA'!B:V,18,FALSE)=0/1/1900,"",VLOOKUP(A811,'ECN-ECO_DATA'!B:V,18,FALSE))),"")</f>
        <v/>
      </c>
      <c r="N811" s="9" t="str">
        <f>IFERROR((IF(VLOOKUP(A811,'ECN-ECO_DATA'!B:V,19,FALSE)=0/1/1900,"",VLOOKUP(A811,'ECN-ECO_DATA'!B:V,19,FALSE))),"")</f>
        <v/>
      </c>
      <c r="O811" s="9" t="str">
        <f>IFERROR((IF(VLOOKUP(A811,'ECN-ECO_DATA'!B:V,20,FALSE)=0/1/1900,"",VLOOKUP(A811,'ECN-ECO_DATA'!B:V,20,FALSE))),"")</f>
        <v/>
      </c>
      <c r="P811" s="9" t="str">
        <f>IFERROR((IF(VLOOKUP(A811,'ECN-ECO_DATA'!B:V,21,FALSE)=0/1/1900,"",VLOOKUP(A811,'ECN-ECO_DATA'!B:V,21,FALSE))),"")</f>
        <v/>
      </c>
      <c r="Q811" s="10" t="str">
        <f t="shared" ca="1" si="60"/>
        <v/>
      </c>
      <c r="R811" s="4" t="str">
        <f t="shared" si="61"/>
        <v/>
      </c>
      <c r="S811" s="4" t="str">
        <f t="shared" si="62"/>
        <v/>
      </c>
      <c r="T811" s="4" t="str">
        <f t="shared" si="63"/>
        <v/>
      </c>
      <c r="U811" s="10" t="str">
        <f t="shared" si="64"/>
        <v/>
      </c>
      <c r="V811" s="4"/>
    </row>
    <row r="812" spans="2:22" x14ac:dyDescent="0.25">
      <c r="B812" s="4" t="str">
        <f>IFERROR(VLOOKUP(A812,'ECN-ECO_DATA'!B:G,4,FALSE),"")</f>
        <v/>
      </c>
      <c r="C812" s="9" t="str">
        <f>IFERROR(VLOOKUP(A812,'ECN-ECO_DATA'!B:G,5,FALSE),"")</f>
        <v/>
      </c>
      <c r="D812" s="9" t="str">
        <f ca="1">IFERROR((IF(VLOOKUP(A812,'ECN-ECO_DATA'!B:G,6,FALSE)=0/1/1900,TODAY(),VLOOKUP(A812,'ECN-ECO_DATA'!B:G,6,FALSE))),"")</f>
        <v/>
      </c>
      <c r="E812" s="9" t="str">
        <f>IFERROR((IF(VLOOKUP(A812,'ECN-ECO_DATA'!B:G,6,FALSE)=0/1/1900,"",VLOOKUP(A812,'ECN-ECO_DATA'!B:G,6,FALSE))),"")</f>
        <v/>
      </c>
      <c r="F812" s="9" t="str">
        <f>IFERROR((IF(VLOOKUP(A812,'ECN-ECO_DATA'!B:J,7,FALSE)=0/1/1900,"",VLOOKUP(A812,'ECN-ECO_DATA'!B:J,7,FALSE))),"")</f>
        <v/>
      </c>
      <c r="G812" s="9" t="str">
        <f>IFERROR((IF(VLOOKUP(A812,'ECN-ECO_DATA'!B:J,8,FALSE)=0/1/1900,"",VLOOKUP(A812,'ECN-ECO_DATA'!B:J,8,FALSE))),"")</f>
        <v/>
      </c>
      <c r="H812" s="9" t="str">
        <f>IFERROR((IF(VLOOKUP(A812,'ECN-ECO_DATA'!B:J,9,FALSE)=0/1/1900,"",VLOOKUP(A812,'ECN-ECO_DATA'!B:J,9,FALSE))),"")</f>
        <v/>
      </c>
      <c r="I812" s="10" t="str">
        <f>IFERROR((IF(VLOOKUP(A812,'ECN-ECO_DATA'!B:Q,13,FALSE)="","",VLOOKUP(A812,'ECN-ECO_DATA'!B:Q,13,FALSE))),"")</f>
        <v/>
      </c>
      <c r="J812" s="10" t="str">
        <f>IFERROR((IF(VLOOKUP(A812,'ECN-ECO_DATA'!B:Q,14,FALSE)="","",VLOOKUP(A812,'ECN-ECO_DATA'!B:Q,14,FALSE))),"")</f>
        <v/>
      </c>
      <c r="K812" s="10" t="str">
        <f>IFERROR((IF(VLOOKUP(A812,'ECN-ECO_DATA'!B:Q,15,FALSE)="","",VLOOKUP(A812,'ECN-ECO_DATA'!B:Q,15,FALSE))),"")</f>
        <v/>
      </c>
      <c r="L812" s="10" t="str">
        <f>IFERROR((IF(VLOOKUP(A812,'ECN-ECO_DATA'!B:Q,16,FALSE)="","",VLOOKUP(A812,'ECN-ECO_DATA'!B:Q,16,FALSE))),"")</f>
        <v/>
      </c>
      <c r="M812" s="9" t="str">
        <f>IFERROR((IF(VLOOKUP(A812,'ECN-ECO_DATA'!B:V,18,FALSE)=0/1/1900,"",VLOOKUP(A812,'ECN-ECO_DATA'!B:V,18,FALSE))),"")</f>
        <v/>
      </c>
      <c r="N812" s="9" t="str">
        <f>IFERROR((IF(VLOOKUP(A812,'ECN-ECO_DATA'!B:V,19,FALSE)=0/1/1900,"",VLOOKUP(A812,'ECN-ECO_DATA'!B:V,19,FALSE))),"")</f>
        <v/>
      </c>
      <c r="O812" s="9" t="str">
        <f>IFERROR((IF(VLOOKUP(A812,'ECN-ECO_DATA'!B:V,20,FALSE)=0/1/1900,"",VLOOKUP(A812,'ECN-ECO_DATA'!B:V,20,FALSE))),"")</f>
        <v/>
      </c>
      <c r="P812" s="9" t="str">
        <f>IFERROR((IF(VLOOKUP(A812,'ECN-ECO_DATA'!B:V,21,FALSE)=0/1/1900,"",VLOOKUP(A812,'ECN-ECO_DATA'!B:V,21,FALSE))),"")</f>
        <v/>
      </c>
      <c r="Q812" s="10" t="str">
        <f t="shared" ca="1" si="60"/>
        <v/>
      </c>
      <c r="R812" s="4" t="str">
        <f t="shared" si="61"/>
        <v/>
      </c>
      <c r="S812" s="4" t="str">
        <f t="shared" si="62"/>
        <v/>
      </c>
      <c r="T812" s="4" t="str">
        <f t="shared" si="63"/>
        <v/>
      </c>
      <c r="U812" s="10" t="str">
        <f t="shared" si="64"/>
        <v/>
      </c>
      <c r="V812" s="4"/>
    </row>
    <row r="813" spans="2:22" x14ac:dyDescent="0.25">
      <c r="B813" s="4" t="str">
        <f>IFERROR(VLOOKUP(A813,'ECN-ECO_DATA'!B:G,4,FALSE),"")</f>
        <v/>
      </c>
      <c r="C813" s="9" t="str">
        <f>IFERROR(VLOOKUP(A813,'ECN-ECO_DATA'!B:G,5,FALSE),"")</f>
        <v/>
      </c>
      <c r="D813" s="9" t="str">
        <f ca="1">IFERROR((IF(VLOOKUP(A813,'ECN-ECO_DATA'!B:G,6,FALSE)=0/1/1900,TODAY(),VLOOKUP(A813,'ECN-ECO_DATA'!B:G,6,FALSE))),"")</f>
        <v/>
      </c>
      <c r="E813" s="9" t="str">
        <f>IFERROR((IF(VLOOKUP(A813,'ECN-ECO_DATA'!B:G,6,FALSE)=0/1/1900,"",VLOOKUP(A813,'ECN-ECO_DATA'!B:G,6,FALSE))),"")</f>
        <v/>
      </c>
      <c r="F813" s="9" t="str">
        <f>IFERROR((IF(VLOOKUP(A813,'ECN-ECO_DATA'!B:J,7,FALSE)=0/1/1900,"",VLOOKUP(A813,'ECN-ECO_DATA'!B:J,7,FALSE))),"")</f>
        <v/>
      </c>
      <c r="G813" s="9" t="str">
        <f>IFERROR((IF(VLOOKUP(A813,'ECN-ECO_DATA'!B:J,8,FALSE)=0/1/1900,"",VLOOKUP(A813,'ECN-ECO_DATA'!B:J,8,FALSE))),"")</f>
        <v/>
      </c>
      <c r="H813" s="9" t="str">
        <f>IFERROR((IF(VLOOKUP(A813,'ECN-ECO_DATA'!B:J,9,FALSE)=0/1/1900,"",VLOOKUP(A813,'ECN-ECO_DATA'!B:J,9,FALSE))),"")</f>
        <v/>
      </c>
      <c r="I813" s="10" t="str">
        <f>IFERROR((IF(VLOOKUP(A813,'ECN-ECO_DATA'!B:Q,13,FALSE)="","",VLOOKUP(A813,'ECN-ECO_DATA'!B:Q,13,FALSE))),"")</f>
        <v/>
      </c>
      <c r="J813" s="10" t="str">
        <f>IFERROR((IF(VLOOKUP(A813,'ECN-ECO_DATA'!B:Q,14,FALSE)="","",VLOOKUP(A813,'ECN-ECO_DATA'!B:Q,14,FALSE))),"")</f>
        <v/>
      </c>
      <c r="K813" s="10" t="str">
        <f>IFERROR((IF(VLOOKUP(A813,'ECN-ECO_DATA'!B:Q,15,FALSE)="","",VLOOKUP(A813,'ECN-ECO_DATA'!B:Q,15,FALSE))),"")</f>
        <v/>
      </c>
      <c r="L813" s="10" t="str">
        <f>IFERROR((IF(VLOOKUP(A813,'ECN-ECO_DATA'!B:Q,16,FALSE)="","",VLOOKUP(A813,'ECN-ECO_DATA'!B:Q,16,FALSE))),"")</f>
        <v/>
      </c>
      <c r="M813" s="9" t="str">
        <f>IFERROR((IF(VLOOKUP(A813,'ECN-ECO_DATA'!B:V,18,FALSE)=0/1/1900,"",VLOOKUP(A813,'ECN-ECO_DATA'!B:V,18,FALSE))),"")</f>
        <v/>
      </c>
      <c r="N813" s="9" t="str">
        <f>IFERROR((IF(VLOOKUP(A813,'ECN-ECO_DATA'!B:V,19,FALSE)=0/1/1900,"",VLOOKUP(A813,'ECN-ECO_DATA'!B:V,19,FALSE))),"")</f>
        <v/>
      </c>
      <c r="O813" s="9" t="str">
        <f>IFERROR((IF(VLOOKUP(A813,'ECN-ECO_DATA'!B:V,20,FALSE)=0/1/1900,"",VLOOKUP(A813,'ECN-ECO_DATA'!B:V,20,FALSE))),"")</f>
        <v/>
      </c>
      <c r="P813" s="9" t="str">
        <f>IFERROR((IF(VLOOKUP(A813,'ECN-ECO_DATA'!B:V,21,FALSE)=0/1/1900,"",VLOOKUP(A813,'ECN-ECO_DATA'!B:V,21,FALSE))),"")</f>
        <v/>
      </c>
      <c r="Q813" s="10" t="str">
        <f t="shared" ca="1" si="60"/>
        <v/>
      </c>
      <c r="R813" s="4" t="str">
        <f t="shared" si="61"/>
        <v/>
      </c>
      <c r="S813" s="4" t="str">
        <f t="shared" si="62"/>
        <v/>
      </c>
      <c r="T813" s="4" t="str">
        <f t="shared" si="63"/>
        <v/>
      </c>
      <c r="U813" s="10" t="str">
        <f t="shared" si="64"/>
        <v/>
      </c>
      <c r="V813" s="4"/>
    </row>
    <row r="814" spans="2:22" x14ac:dyDescent="0.25">
      <c r="B814" s="4" t="str">
        <f>IFERROR(VLOOKUP(A814,'ECN-ECO_DATA'!B:G,4,FALSE),"")</f>
        <v/>
      </c>
      <c r="C814" s="9" t="str">
        <f>IFERROR(VLOOKUP(A814,'ECN-ECO_DATA'!B:G,5,FALSE),"")</f>
        <v/>
      </c>
      <c r="D814" s="9" t="str">
        <f ca="1">IFERROR((IF(VLOOKUP(A814,'ECN-ECO_DATA'!B:G,6,FALSE)=0/1/1900,TODAY(),VLOOKUP(A814,'ECN-ECO_DATA'!B:G,6,FALSE))),"")</f>
        <v/>
      </c>
      <c r="E814" s="9" t="str">
        <f>IFERROR((IF(VLOOKUP(A814,'ECN-ECO_DATA'!B:G,6,FALSE)=0/1/1900,"",VLOOKUP(A814,'ECN-ECO_DATA'!B:G,6,FALSE))),"")</f>
        <v/>
      </c>
      <c r="F814" s="9" t="str">
        <f>IFERROR((IF(VLOOKUP(A814,'ECN-ECO_DATA'!B:J,7,FALSE)=0/1/1900,"",VLOOKUP(A814,'ECN-ECO_DATA'!B:J,7,FALSE))),"")</f>
        <v/>
      </c>
      <c r="G814" s="9" t="str">
        <f>IFERROR((IF(VLOOKUP(A814,'ECN-ECO_DATA'!B:J,8,FALSE)=0/1/1900,"",VLOOKUP(A814,'ECN-ECO_DATA'!B:J,8,FALSE))),"")</f>
        <v/>
      </c>
      <c r="H814" s="9" t="str">
        <f>IFERROR((IF(VLOOKUP(A814,'ECN-ECO_DATA'!B:J,9,FALSE)=0/1/1900,"",VLOOKUP(A814,'ECN-ECO_DATA'!B:J,9,FALSE))),"")</f>
        <v/>
      </c>
      <c r="I814" s="10" t="str">
        <f>IFERROR((IF(VLOOKUP(A814,'ECN-ECO_DATA'!B:Q,13,FALSE)="","",VLOOKUP(A814,'ECN-ECO_DATA'!B:Q,13,FALSE))),"")</f>
        <v/>
      </c>
      <c r="J814" s="10" t="str">
        <f>IFERROR((IF(VLOOKUP(A814,'ECN-ECO_DATA'!B:Q,14,FALSE)="","",VLOOKUP(A814,'ECN-ECO_DATA'!B:Q,14,FALSE))),"")</f>
        <v/>
      </c>
      <c r="K814" s="10" t="str">
        <f>IFERROR((IF(VLOOKUP(A814,'ECN-ECO_DATA'!B:Q,15,FALSE)="","",VLOOKUP(A814,'ECN-ECO_DATA'!B:Q,15,FALSE))),"")</f>
        <v/>
      </c>
      <c r="L814" s="10" t="str">
        <f>IFERROR((IF(VLOOKUP(A814,'ECN-ECO_DATA'!B:Q,16,FALSE)="","",VLOOKUP(A814,'ECN-ECO_DATA'!B:Q,16,FALSE))),"")</f>
        <v/>
      </c>
      <c r="M814" s="9" t="str">
        <f>IFERROR((IF(VLOOKUP(A814,'ECN-ECO_DATA'!B:V,18,FALSE)=0/1/1900,"",VLOOKUP(A814,'ECN-ECO_DATA'!B:V,18,FALSE))),"")</f>
        <v/>
      </c>
      <c r="N814" s="9" t="str">
        <f>IFERROR((IF(VLOOKUP(A814,'ECN-ECO_DATA'!B:V,19,FALSE)=0/1/1900,"",VLOOKUP(A814,'ECN-ECO_DATA'!B:V,19,FALSE))),"")</f>
        <v/>
      </c>
      <c r="O814" s="9" t="str">
        <f>IFERROR((IF(VLOOKUP(A814,'ECN-ECO_DATA'!B:V,20,FALSE)=0/1/1900,"",VLOOKUP(A814,'ECN-ECO_DATA'!B:V,20,FALSE))),"")</f>
        <v/>
      </c>
      <c r="P814" s="9" t="str">
        <f>IFERROR((IF(VLOOKUP(A814,'ECN-ECO_DATA'!B:V,21,FALSE)=0/1/1900,"",VLOOKUP(A814,'ECN-ECO_DATA'!B:V,21,FALSE))),"")</f>
        <v/>
      </c>
      <c r="Q814" s="10" t="str">
        <f t="shared" ca="1" si="60"/>
        <v/>
      </c>
      <c r="R814" s="4" t="str">
        <f t="shared" si="61"/>
        <v/>
      </c>
      <c r="S814" s="4" t="str">
        <f t="shared" si="62"/>
        <v/>
      </c>
      <c r="T814" s="4" t="str">
        <f t="shared" si="63"/>
        <v/>
      </c>
      <c r="U814" s="10" t="str">
        <f t="shared" si="64"/>
        <v/>
      </c>
      <c r="V814" s="4"/>
    </row>
    <row r="815" spans="2:22" x14ac:dyDescent="0.25">
      <c r="B815" s="4" t="str">
        <f>IFERROR(VLOOKUP(A815,'ECN-ECO_DATA'!B:G,4,FALSE),"")</f>
        <v/>
      </c>
      <c r="C815" s="9" t="str">
        <f>IFERROR(VLOOKUP(A815,'ECN-ECO_DATA'!B:G,5,FALSE),"")</f>
        <v/>
      </c>
      <c r="D815" s="9" t="str">
        <f ca="1">IFERROR((IF(VLOOKUP(A815,'ECN-ECO_DATA'!B:G,6,FALSE)=0/1/1900,TODAY(),VLOOKUP(A815,'ECN-ECO_DATA'!B:G,6,FALSE))),"")</f>
        <v/>
      </c>
      <c r="E815" s="9" t="str">
        <f>IFERROR((IF(VLOOKUP(A815,'ECN-ECO_DATA'!B:G,6,FALSE)=0/1/1900,"",VLOOKUP(A815,'ECN-ECO_DATA'!B:G,6,FALSE))),"")</f>
        <v/>
      </c>
      <c r="F815" s="9" t="str">
        <f>IFERROR((IF(VLOOKUP(A815,'ECN-ECO_DATA'!B:J,7,FALSE)=0/1/1900,"",VLOOKUP(A815,'ECN-ECO_DATA'!B:J,7,FALSE))),"")</f>
        <v/>
      </c>
      <c r="G815" s="9" t="str">
        <f>IFERROR((IF(VLOOKUP(A815,'ECN-ECO_DATA'!B:J,8,FALSE)=0/1/1900,"",VLOOKUP(A815,'ECN-ECO_DATA'!B:J,8,FALSE))),"")</f>
        <v/>
      </c>
      <c r="H815" s="9" t="str">
        <f>IFERROR((IF(VLOOKUP(A815,'ECN-ECO_DATA'!B:J,9,FALSE)=0/1/1900,"",VLOOKUP(A815,'ECN-ECO_DATA'!B:J,9,FALSE))),"")</f>
        <v/>
      </c>
      <c r="I815" s="10" t="str">
        <f>IFERROR((IF(VLOOKUP(A815,'ECN-ECO_DATA'!B:Q,13,FALSE)="","",VLOOKUP(A815,'ECN-ECO_DATA'!B:Q,13,FALSE))),"")</f>
        <v/>
      </c>
      <c r="J815" s="10" t="str">
        <f>IFERROR((IF(VLOOKUP(A815,'ECN-ECO_DATA'!B:Q,14,FALSE)="","",VLOOKUP(A815,'ECN-ECO_DATA'!B:Q,14,FALSE))),"")</f>
        <v/>
      </c>
      <c r="K815" s="10" t="str">
        <f>IFERROR((IF(VLOOKUP(A815,'ECN-ECO_DATA'!B:Q,15,FALSE)="","",VLOOKUP(A815,'ECN-ECO_DATA'!B:Q,15,FALSE))),"")</f>
        <v/>
      </c>
      <c r="L815" s="10" t="str">
        <f>IFERROR((IF(VLOOKUP(A815,'ECN-ECO_DATA'!B:Q,16,FALSE)="","",VLOOKUP(A815,'ECN-ECO_DATA'!B:Q,16,FALSE))),"")</f>
        <v/>
      </c>
      <c r="M815" s="9" t="str">
        <f>IFERROR((IF(VLOOKUP(A815,'ECN-ECO_DATA'!B:V,18,FALSE)=0/1/1900,"",VLOOKUP(A815,'ECN-ECO_DATA'!B:V,18,FALSE))),"")</f>
        <v/>
      </c>
      <c r="N815" s="9" t="str">
        <f>IFERROR((IF(VLOOKUP(A815,'ECN-ECO_DATA'!B:V,19,FALSE)=0/1/1900,"",VLOOKUP(A815,'ECN-ECO_DATA'!B:V,19,FALSE))),"")</f>
        <v/>
      </c>
      <c r="O815" s="9" t="str">
        <f>IFERROR((IF(VLOOKUP(A815,'ECN-ECO_DATA'!B:V,20,FALSE)=0/1/1900,"",VLOOKUP(A815,'ECN-ECO_DATA'!B:V,20,FALSE))),"")</f>
        <v/>
      </c>
      <c r="P815" s="9" t="str">
        <f>IFERROR((IF(VLOOKUP(A815,'ECN-ECO_DATA'!B:V,21,FALSE)=0/1/1900,"",VLOOKUP(A815,'ECN-ECO_DATA'!B:V,21,FALSE))),"")</f>
        <v/>
      </c>
      <c r="Q815" s="10" t="str">
        <f t="shared" ca="1" si="60"/>
        <v/>
      </c>
      <c r="R815" s="4" t="str">
        <f t="shared" si="61"/>
        <v/>
      </c>
      <c r="S815" s="4" t="str">
        <f t="shared" si="62"/>
        <v/>
      </c>
      <c r="T815" s="4" t="str">
        <f t="shared" si="63"/>
        <v/>
      </c>
      <c r="U815" s="10" t="str">
        <f t="shared" si="64"/>
        <v/>
      </c>
      <c r="V815" s="4"/>
    </row>
    <row r="816" spans="2:22" x14ac:dyDescent="0.25">
      <c r="B816" s="4" t="str">
        <f>IFERROR(VLOOKUP(A816,'ECN-ECO_DATA'!B:G,4,FALSE),"")</f>
        <v/>
      </c>
      <c r="C816" s="9" t="str">
        <f>IFERROR(VLOOKUP(A816,'ECN-ECO_DATA'!B:G,5,FALSE),"")</f>
        <v/>
      </c>
      <c r="D816" s="9" t="str">
        <f ca="1">IFERROR((IF(VLOOKUP(A816,'ECN-ECO_DATA'!B:G,6,FALSE)=0/1/1900,TODAY(),VLOOKUP(A816,'ECN-ECO_DATA'!B:G,6,FALSE))),"")</f>
        <v/>
      </c>
      <c r="E816" s="9" t="str">
        <f>IFERROR((IF(VLOOKUP(A816,'ECN-ECO_DATA'!B:G,6,FALSE)=0/1/1900,"",VLOOKUP(A816,'ECN-ECO_DATA'!B:G,6,FALSE))),"")</f>
        <v/>
      </c>
      <c r="F816" s="9" t="str">
        <f>IFERROR((IF(VLOOKUP(A816,'ECN-ECO_DATA'!B:J,7,FALSE)=0/1/1900,"",VLOOKUP(A816,'ECN-ECO_DATA'!B:J,7,FALSE))),"")</f>
        <v/>
      </c>
      <c r="G816" s="9" t="str">
        <f>IFERROR((IF(VLOOKUP(A816,'ECN-ECO_DATA'!B:J,8,FALSE)=0/1/1900,"",VLOOKUP(A816,'ECN-ECO_DATA'!B:J,8,FALSE))),"")</f>
        <v/>
      </c>
      <c r="H816" s="9" t="str">
        <f>IFERROR((IF(VLOOKUP(A816,'ECN-ECO_DATA'!B:J,9,FALSE)=0/1/1900,"",VLOOKUP(A816,'ECN-ECO_DATA'!B:J,9,FALSE))),"")</f>
        <v/>
      </c>
      <c r="I816" s="10" t="str">
        <f>IFERROR((IF(VLOOKUP(A816,'ECN-ECO_DATA'!B:Q,13,FALSE)="","",VLOOKUP(A816,'ECN-ECO_DATA'!B:Q,13,FALSE))),"")</f>
        <v/>
      </c>
      <c r="J816" s="10" t="str">
        <f>IFERROR((IF(VLOOKUP(A816,'ECN-ECO_DATA'!B:Q,14,FALSE)="","",VLOOKUP(A816,'ECN-ECO_DATA'!B:Q,14,FALSE))),"")</f>
        <v/>
      </c>
      <c r="K816" s="10" t="str">
        <f>IFERROR((IF(VLOOKUP(A816,'ECN-ECO_DATA'!B:Q,15,FALSE)="","",VLOOKUP(A816,'ECN-ECO_DATA'!B:Q,15,FALSE))),"")</f>
        <v/>
      </c>
      <c r="L816" s="10" t="str">
        <f>IFERROR((IF(VLOOKUP(A816,'ECN-ECO_DATA'!B:Q,16,FALSE)="","",VLOOKUP(A816,'ECN-ECO_DATA'!B:Q,16,FALSE))),"")</f>
        <v/>
      </c>
      <c r="M816" s="9" t="str">
        <f>IFERROR((IF(VLOOKUP(A816,'ECN-ECO_DATA'!B:V,18,FALSE)=0/1/1900,"",VLOOKUP(A816,'ECN-ECO_DATA'!B:V,18,FALSE))),"")</f>
        <v/>
      </c>
      <c r="N816" s="9" t="str">
        <f>IFERROR((IF(VLOOKUP(A816,'ECN-ECO_DATA'!B:V,19,FALSE)=0/1/1900,"",VLOOKUP(A816,'ECN-ECO_DATA'!B:V,19,FALSE))),"")</f>
        <v/>
      </c>
      <c r="O816" s="9" t="str">
        <f>IFERROR((IF(VLOOKUP(A816,'ECN-ECO_DATA'!B:V,20,FALSE)=0/1/1900,"",VLOOKUP(A816,'ECN-ECO_DATA'!B:V,20,FALSE))),"")</f>
        <v/>
      </c>
      <c r="P816" s="9" t="str">
        <f>IFERROR((IF(VLOOKUP(A816,'ECN-ECO_DATA'!B:V,21,FALSE)=0/1/1900,"",VLOOKUP(A816,'ECN-ECO_DATA'!B:V,21,FALSE))),"")</f>
        <v/>
      </c>
      <c r="Q816" s="10" t="str">
        <f t="shared" ca="1" si="60"/>
        <v/>
      </c>
      <c r="R816" s="4" t="str">
        <f t="shared" si="61"/>
        <v/>
      </c>
      <c r="S816" s="4" t="str">
        <f t="shared" si="62"/>
        <v/>
      </c>
      <c r="T816" s="4" t="str">
        <f t="shared" si="63"/>
        <v/>
      </c>
      <c r="U816" s="10" t="str">
        <f t="shared" si="64"/>
        <v/>
      </c>
      <c r="V816" s="4"/>
    </row>
    <row r="817" spans="2:22" x14ac:dyDescent="0.25">
      <c r="B817" s="4" t="str">
        <f>IFERROR(VLOOKUP(A817,'ECN-ECO_DATA'!B:G,4,FALSE),"")</f>
        <v/>
      </c>
      <c r="C817" s="9" t="str">
        <f>IFERROR(VLOOKUP(A817,'ECN-ECO_DATA'!B:G,5,FALSE),"")</f>
        <v/>
      </c>
      <c r="D817" s="9" t="str">
        <f ca="1">IFERROR((IF(VLOOKUP(A817,'ECN-ECO_DATA'!B:G,6,FALSE)=0/1/1900,TODAY(),VLOOKUP(A817,'ECN-ECO_DATA'!B:G,6,FALSE))),"")</f>
        <v/>
      </c>
      <c r="E817" s="9" t="str">
        <f>IFERROR((IF(VLOOKUP(A817,'ECN-ECO_DATA'!B:G,6,FALSE)=0/1/1900,"",VLOOKUP(A817,'ECN-ECO_DATA'!B:G,6,FALSE))),"")</f>
        <v/>
      </c>
      <c r="F817" s="9" t="str">
        <f>IFERROR((IF(VLOOKUP(A817,'ECN-ECO_DATA'!B:J,7,FALSE)=0/1/1900,"",VLOOKUP(A817,'ECN-ECO_DATA'!B:J,7,FALSE))),"")</f>
        <v/>
      </c>
      <c r="G817" s="9" t="str">
        <f>IFERROR((IF(VLOOKUP(A817,'ECN-ECO_DATA'!B:J,8,FALSE)=0/1/1900,"",VLOOKUP(A817,'ECN-ECO_DATA'!B:J,8,FALSE))),"")</f>
        <v/>
      </c>
      <c r="H817" s="9" t="str">
        <f>IFERROR((IF(VLOOKUP(A817,'ECN-ECO_DATA'!B:J,9,FALSE)=0/1/1900,"",VLOOKUP(A817,'ECN-ECO_DATA'!B:J,9,FALSE))),"")</f>
        <v/>
      </c>
      <c r="I817" s="10" t="str">
        <f>IFERROR((IF(VLOOKUP(A817,'ECN-ECO_DATA'!B:Q,13,FALSE)="","",VLOOKUP(A817,'ECN-ECO_DATA'!B:Q,13,FALSE))),"")</f>
        <v/>
      </c>
      <c r="J817" s="10" t="str">
        <f>IFERROR((IF(VLOOKUP(A817,'ECN-ECO_DATA'!B:Q,14,FALSE)="","",VLOOKUP(A817,'ECN-ECO_DATA'!B:Q,14,FALSE))),"")</f>
        <v/>
      </c>
      <c r="K817" s="10" t="str">
        <f>IFERROR((IF(VLOOKUP(A817,'ECN-ECO_DATA'!B:Q,15,FALSE)="","",VLOOKUP(A817,'ECN-ECO_DATA'!B:Q,15,FALSE))),"")</f>
        <v/>
      </c>
      <c r="L817" s="10" t="str">
        <f>IFERROR((IF(VLOOKUP(A817,'ECN-ECO_DATA'!B:Q,16,FALSE)="","",VLOOKUP(A817,'ECN-ECO_DATA'!B:Q,16,FALSE))),"")</f>
        <v/>
      </c>
      <c r="M817" s="9" t="str">
        <f>IFERROR((IF(VLOOKUP(A817,'ECN-ECO_DATA'!B:V,18,FALSE)=0/1/1900,"",VLOOKUP(A817,'ECN-ECO_DATA'!B:V,18,FALSE))),"")</f>
        <v/>
      </c>
      <c r="N817" s="9" t="str">
        <f>IFERROR((IF(VLOOKUP(A817,'ECN-ECO_DATA'!B:V,19,FALSE)=0/1/1900,"",VLOOKUP(A817,'ECN-ECO_DATA'!B:V,19,FALSE))),"")</f>
        <v/>
      </c>
      <c r="O817" s="9" t="str">
        <f>IFERROR((IF(VLOOKUP(A817,'ECN-ECO_DATA'!B:V,20,FALSE)=0/1/1900,"",VLOOKUP(A817,'ECN-ECO_DATA'!B:V,20,FALSE))),"")</f>
        <v/>
      </c>
      <c r="P817" s="9" t="str">
        <f>IFERROR((IF(VLOOKUP(A817,'ECN-ECO_DATA'!B:V,21,FALSE)=0/1/1900,"",VLOOKUP(A817,'ECN-ECO_DATA'!B:V,21,FALSE))),"")</f>
        <v/>
      </c>
      <c r="Q817" s="10" t="str">
        <f t="shared" ca="1" si="60"/>
        <v/>
      </c>
      <c r="R817" s="4" t="str">
        <f t="shared" si="61"/>
        <v/>
      </c>
      <c r="S817" s="4" t="str">
        <f t="shared" si="62"/>
        <v/>
      </c>
      <c r="T817" s="4" t="str">
        <f t="shared" si="63"/>
        <v/>
      </c>
      <c r="U817" s="10" t="str">
        <f t="shared" si="64"/>
        <v/>
      </c>
      <c r="V817" s="4"/>
    </row>
    <row r="818" spans="2:22" x14ac:dyDescent="0.25">
      <c r="B818" s="4" t="str">
        <f>IFERROR(VLOOKUP(A818,'ECN-ECO_DATA'!B:G,4,FALSE),"")</f>
        <v/>
      </c>
      <c r="C818" s="9" t="str">
        <f>IFERROR(VLOOKUP(A818,'ECN-ECO_DATA'!B:G,5,FALSE),"")</f>
        <v/>
      </c>
      <c r="D818" s="9" t="str">
        <f ca="1">IFERROR((IF(VLOOKUP(A818,'ECN-ECO_DATA'!B:G,6,FALSE)=0/1/1900,TODAY(),VLOOKUP(A818,'ECN-ECO_DATA'!B:G,6,FALSE))),"")</f>
        <v/>
      </c>
      <c r="E818" s="9" t="str">
        <f>IFERROR((IF(VLOOKUP(A818,'ECN-ECO_DATA'!B:G,6,FALSE)=0/1/1900,"",VLOOKUP(A818,'ECN-ECO_DATA'!B:G,6,FALSE))),"")</f>
        <v/>
      </c>
      <c r="F818" s="9" t="str">
        <f>IFERROR((IF(VLOOKUP(A818,'ECN-ECO_DATA'!B:J,7,FALSE)=0/1/1900,"",VLOOKUP(A818,'ECN-ECO_DATA'!B:J,7,FALSE))),"")</f>
        <v/>
      </c>
      <c r="G818" s="9" t="str">
        <f>IFERROR((IF(VLOOKUP(A818,'ECN-ECO_DATA'!B:J,8,FALSE)=0/1/1900,"",VLOOKUP(A818,'ECN-ECO_DATA'!B:J,8,FALSE))),"")</f>
        <v/>
      </c>
      <c r="H818" s="9" t="str">
        <f>IFERROR((IF(VLOOKUP(A818,'ECN-ECO_DATA'!B:J,9,FALSE)=0/1/1900,"",VLOOKUP(A818,'ECN-ECO_DATA'!B:J,9,FALSE))),"")</f>
        <v/>
      </c>
      <c r="I818" s="10" t="str">
        <f>IFERROR((IF(VLOOKUP(A818,'ECN-ECO_DATA'!B:Q,13,FALSE)="","",VLOOKUP(A818,'ECN-ECO_DATA'!B:Q,13,FALSE))),"")</f>
        <v/>
      </c>
      <c r="J818" s="10" t="str">
        <f>IFERROR((IF(VLOOKUP(A818,'ECN-ECO_DATA'!B:Q,14,FALSE)="","",VLOOKUP(A818,'ECN-ECO_DATA'!B:Q,14,FALSE))),"")</f>
        <v/>
      </c>
      <c r="K818" s="10" t="str">
        <f>IFERROR((IF(VLOOKUP(A818,'ECN-ECO_DATA'!B:Q,15,FALSE)="","",VLOOKUP(A818,'ECN-ECO_DATA'!B:Q,15,FALSE))),"")</f>
        <v/>
      </c>
      <c r="L818" s="10" t="str">
        <f>IFERROR((IF(VLOOKUP(A818,'ECN-ECO_DATA'!B:Q,16,FALSE)="","",VLOOKUP(A818,'ECN-ECO_DATA'!B:Q,16,FALSE))),"")</f>
        <v/>
      </c>
      <c r="M818" s="9" t="str">
        <f>IFERROR((IF(VLOOKUP(A818,'ECN-ECO_DATA'!B:V,18,FALSE)=0/1/1900,"",VLOOKUP(A818,'ECN-ECO_DATA'!B:V,18,FALSE))),"")</f>
        <v/>
      </c>
      <c r="N818" s="9" t="str">
        <f>IFERROR((IF(VLOOKUP(A818,'ECN-ECO_DATA'!B:V,19,FALSE)=0/1/1900,"",VLOOKUP(A818,'ECN-ECO_DATA'!B:V,19,FALSE))),"")</f>
        <v/>
      </c>
      <c r="O818" s="9" t="str">
        <f>IFERROR((IF(VLOOKUP(A818,'ECN-ECO_DATA'!B:V,20,FALSE)=0/1/1900,"",VLOOKUP(A818,'ECN-ECO_DATA'!B:V,20,FALSE))),"")</f>
        <v/>
      </c>
      <c r="P818" s="9" t="str">
        <f>IFERROR((IF(VLOOKUP(A818,'ECN-ECO_DATA'!B:V,21,FALSE)=0/1/1900,"",VLOOKUP(A818,'ECN-ECO_DATA'!B:V,21,FALSE))),"")</f>
        <v/>
      </c>
      <c r="Q818" s="10" t="str">
        <f t="shared" ca="1" si="60"/>
        <v/>
      </c>
      <c r="R818" s="4" t="str">
        <f t="shared" si="61"/>
        <v/>
      </c>
      <c r="S818" s="4" t="str">
        <f t="shared" si="62"/>
        <v/>
      </c>
      <c r="T818" s="4" t="str">
        <f t="shared" si="63"/>
        <v/>
      </c>
      <c r="U818" s="10" t="str">
        <f t="shared" si="64"/>
        <v/>
      </c>
      <c r="V818" s="4"/>
    </row>
    <row r="819" spans="2:22" x14ac:dyDescent="0.25">
      <c r="B819" s="4" t="str">
        <f>IFERROR(VLOOKUP(A819,'ECN-ECO_DATA'!B:G,4,FALSE),"")</f>
        <v/>
      </c>
      <c r="C819" s="9" t="str">
        <f>IFERROR(VLOOKUP(A819,'ECN-ECO_DATA'!B:G,5,FALSE),"")</f>
        <v/>
      </c>
      <c r="D819" s="9" t="str">
        <f ca="1">IFERROR((IF(VLOOKUP(A819,'ECN-ECO_DATA'!B:G,6,FALSE)=0/1/1900,TODAY(),VLOOKUP(A819,'ECN-ECO_DATA'!B:G,6,FALSE))),"")</f>
        <v/>
      </c>
      <c r="E819" s="9" t="str">
        <f>IFERROR((IF(VLOOKUP(A819,'ECN-ECO_DATA'!B:G,6,FALSE)=0/1/1900,"",VLOOKUP(A819,'ECN-ECO_DATA'!B:G,6,FALSE))),"")</f>
        <v/>
      </c>
      <c r="F819" s="9" t="str">
        <f>IFERROR((IF(VLOOKUP(A819,'ECN-ECO_DATA'!B:J,7,FALSE)=0/1/1900,"",VLOOKUP(A819,'ECN-ECO_DATA'!B:J,7,FALSE))),"")</f>
        <v/>
      </c>
      <c r="G819" s="9" t="str">
        <f>IFERROR((IF(VLOOKUP(A819,'ECN-ECO_DATA'!B:J,8,FALSE)=0/1/1900,"",VLOOKUP(A819,'ECN-ECO_DATA'!B:J,8,FALSE))),"")</f>
        <v/>
      </c>
      <c r="H819" s="9" t="str">
        <f>IFERROR((IF(VLOOKUP(A819,'ECN-ECO_DATA'!B:J,9,FALSE)=0/1/1900,"",VLOOKUP(A819,'ECN-ECO_DATA'!B:J,9,FALSE))),"")</f>
        <v/>
      </c>
      <c r="I819" s="10" t="str">
        <f>IFERROR((IF(VLOOKUP(A819,'ECN-ECO_DATA'!B:Q,13,FALSE)="","",VLOOKUP(A819,'ECN-ECO_DATA'!B:Q,13,FALSE))),"")</f>
        <v/>
      </c>
      <c r="J819" s="10" t="str">
        <f>IFERROR((IF(VLOOKUP(A819,'ECN-ECO_DATA'!B:Q,14,FALSE)="","",VLOOKUP(A819,'ECN-ECO_DATA'!B:Q,14,FALSE))),"")</f>
        <v/>
      </c>
      <c r="K819" s="10" t="str">
        <f>IFERROR((IF(VLOOKUP(A819,'ECN-ECO_DATA'!B:Q,15,FALSE)="","",VLOOKUP(A819,'ECN-ECO_DATA'!B:Q,15,FALSE))),"")</f>
        <v/>
      </c>
      <c r="L819" s="10" t="str">
        <f>IFERROR((IF(VLOOKUP(A819,'ECN-ECO_DATA'!B:Q,16,FALSE)="","",VLOOKUP(A819,'ECN-ECO_DATA'!B:Q,16,FALSE))),"")</f>
        <v/>
      </c>
      <c r="M819" s="9" t="str">
        <f>IFERROR((IF(VLOOKUP(A819,'ECN-ECO_DATA'!B:V,18,FALSE)=0/1/1900,"",VLOOKUP(A819,'ECN-ECO_DATA'!B:V,18,FALSE))),"")</f>
        <v/>
      </c>
      <c r="N819" s="9" t="str">
        <f>IFERROR((IF(VLOOKUP(A819,'ECN-ECO_DATA'!B:V,19,FALSE)=0/1/1900,"",VLOOKUP(A819,'ECN-ECO_DATA'!B:V,19,FALSE))),"")</f>
        <v/>
      </c>
      <c r="O819" s="9" t="str">
        <f>IFERROR((IF(VLOOKUP(A819,'ECN-ECO_DATA'!B:V,20,FALSE)=0/1/1900,"",VLOOKUP(A819,'ECN-ECO_DATA'!B:V,20,FALSE))),"")</f>
        <v/>
      </c>
      <c r="P819" s="9" t="str">
        <f>IFERROR((IF(VLOOKUP(A819,'ECN-ECO_DATA'!B:V,21,FALSE)=0/1/1900,"",VLOOKUP(A819,'ECN-ECO_DATA'!B:V,21,FALSE))),"")</f>
        <v/>
      </c>
      <c r="Q819" s="10" t="str">
        <f t="shared" ca="1" si="60"/>
        <v/>
      </c>
      <c r="R819" s="4" t="str">
        <f t="shared" si="61"/>
        <v/>
      </c>
      <c r="S819" s="4" t="str">
        <f t="shared" si="62"/>
        <v/>
      </c>
      <c r="T819" s="4" t="str">
        <f t="shared" si="63"/>
        <v/>
      </c>
      <c r="U819" s="10" t="str">
        <f t="shared" si="64"/>
        <v/>
      </c>
      <c r="V819" s="4"/>
    </row>
    <row r="820" spans="2:22" x14ac:dyDescent="0.25">
      <c r="B820" s="4" t="str">
        <f>IFERROR(VLOOKUP(A820,'ECN-ECO_DATA'!B:G,4,FALSE),"")</f>
        <v/>
      </c>
      <c r="C820" s="9" t="str">
        <f>IFERROR(VLOOKUP(A820,'ECN-ECO_DATA'!B:G,5,FALSE),"")</f>
        <v/>
      </c>
      <c r="D820" s="9" t="str">
        <f ca="1">IFERROR((IF(VLOOKUP(A820,'ECN-ECO_DATA'!B:G,6,FALSE)=0/1/1900,TODAY(),VLOOKUP(A820,'ECN-ECO_DATA'!B:G,6,FALSE))),"")</f>
        <v/>
      </c>
      <c r="E820" s="9" t="str">
        <f>IFERROR((IF(VLOOKUP(A820,'ECN-ECO_DATA'!B:G,6,FALSE)=0/1/1900,"",VLOOKUP(A820,'ECN-ECO_DATA'!B:G,6,FALSE))),"")</f>
        <v/>
      </c>
      <c r="F820" s="9" t="str">
        <f>IFERROR((IF(VLOOKUP(A820,'ECN-ECO_DATA'!B:J,7,FALSE)=0/1/1900,"",VLOOKUP(A820,'ECN-ECO_DATA'!B:J,7,FALSE))),"")</f>
        <v/>
      </c>
      <c r="G820" s="9" t="str">
        <f>IFERROR((IF(VLOOKUP(A820,'ECN-ECO_DATA'!B:J,8,FALSE)=0/1/1900,"",VLOOKUP(A820,'ECN-ECO_DATA'!B:J,8,FALSE))),"")</f>
        <v/>
      </c>
      <c r="H820" s="9" t="str">
        <f>IFERROR((IF(VLOOKUP(A820,'ECN-ECO_DATA'!B:J,9,FALSE)=0/1/1900,"",VLOOKUP(A820,'ECN-ECO_DATA'!B:J,9,FALSE))),"")</f>
        <v/>
      </c>
      <c r="I820" s="10" t="str">
        <f>IFERROR((IF(VLOOKUP(A820,'ECN-ECO_DATA'!B:Q,13,FALSE)="","",VLOOKUP(A820,'ECN-ECO_DATA'!B:Q,13,FALSE))),"")</f>
        <v/>
      </c>
      <c r="J820" s="10" t="str">
        <f>IFERROR((IF(VLOOKUP(A820,'ECN-ECO_DATA'!B:Q,14,FALSE)="","",VLOOKUP(A820,'ECN-ECO_DATA'!B:Q,14,FALSE))),"")</f>
        <v/>
      </c>
      <c r="K820" s="10" t="str">
        <f>IFERROR((IF(VLOOKUP(A820,'ECN-ECO_DATA'!B:Q,15,FALSE)="","",VLOOKUP(A820,'ECN-ECO_DATA'!B:Q,15,FALSE))),"")</f>
        <v/>
      </c>
      <c r="L820" s="10" t="str">
        <f>IFERROR((IF(VLOOKUP(A820,'ECN-ECO_DATA'!B:Q,16,FALSE)="","",VLOOKUP(A820,'ECN-ECO_DATA'!B:Q,16,FALSE))),"")</f>
        <v/>
      </c>
      <c r="M820" s="9" t="str">
        <f>IFERROR((IF(VLOOKUP(A820,'ECN-ECO_DATA'!B:V,18,FALSE)=0/1/1900,"",VLOOKUP(A820,'ECN-ECO_DATA'!B:V,18,FALSE))),"")</f>
        <v/>
      </c>
      <c r="N820" s="9" t="str">
        <f>IFERROR((IF(VLOOKUP(A820,'ECN-ECO_DATA'!B:V,19,FALSE)=0/1/1900,"",VLOOKUP(A820,'ECN-ECO_DATA'!B:V,19,FALSE))),"")</f>
        <v/>
      </c>
      <c r="O820" s="9" t="str">
        <f>IFERROR((IF(VLOOKUP(A820,'ECN-ECO_DATA'!B:V,20,FALSE)=0/1/1900,"",VLOOKUP(A820,'ECN-ECO_DATA'!B:V,20,FALSE))),"")</f>
        <v/>
      </c>
      <c r="P820" s="9" t="str">
        <f>IFERROR((IF(VLOOKUP(A820,'ECN-ECO_DATA'!B:V,21,FALSE)=0/1/1900,"",VLOOKUP(A820,'ECN-ECO_DATA'!B:V,21,FALSE))),"")</f>
        <v/>
      </c>
      <c r="Q820" s="10" t="str">
        <f t="shared" ca="1" si="60"/>
        <v/>
      </c>
      <c r="R820" s="4" t="str">
        <f t="shared" si="61"/>
        <v/>
      </c>
      <c r="S820" s="4" t="str">
        <f t="shared" si="62"/>
        <v/>
      </c>
      <c r="T820" s="4" t="str">
        <f t="shared" si="63"/>
        <v/>
      </c>
      <c r="U820" s="10" t="str">
        <f t="shared" si="64"/>
        <v/>
      </c>
      <c r="V820" s="4"/>
    </row>
    <row r="821" spans="2:22" x14ac:dyDescent="0.25">
      <c r="B821" s="4" t="str">
        <f>IFERROR(VLOOKUP(A821,'ECN-ECO_DATA'!B:G,4,FALSE),"")</f>
        <v/>
      </c>
      <c r="C821" s="9" t="str">
        <f>IFERROR(VLOOKUP(A821,'ECN-ECO_DATA'!B:G,5,FALSE),"")</f>
        <v/>
      </c>
      <c r="D821" s="9" t="str">
        <f ca="1">IFERROR((IF(VLOOKUP(A821,'ECN-ECO_DATA'!B:G,6,FALSE)=0/1/1900,TODAY(),VLOOKUP(A821,'ECN-ECO_DATA'!B:G,6,FALSE))),"")</f>
        <v/>
      </c>
      <c r="E821" s="9" t="str">
        <f>IFERROR((IF(VLOOKUP(A821,'ECN-ECO_DATA'!B:G,6,FALSE)=0/1/1900,"",VLOOKUP(A821,'ECN-ECO_DATA'!B:G,6,FALSE))),"")</f>
        <v/>
      </c>
      <c r="F821" s="9" t="str">
        <f>IFERROR((IF(VLOOKUP(A821,'ECN-ECO_DATA'!B:J,7,FALSE)=0/1/1900,"",VLOOKUP(A821,'ECN-ECO_DATA'!B:J,7,FALSE))),"")</f>
        <v/>
      </c>
      <c r="G821" s="9" t="str">
        <f>IFERROR((IF(VLOOKUP(A821,'ECN-ECO_DATA'!B:J,8,FALSE)=0/1/1900,"",VLOOKUP(A821,'ECN-ECO_DATA'!B:J,8,FALSE))),"")</f>
        <v/>
      </c>
      <c r="H821" s="9" t="str">
        <f>IFERROR((IF(VLOOKUP(A821,'ECN-ECO_DATA'!B:J,9,FALSE)=0/1/1900,"",VLOOKUP(A821,'ECN-ECO_DATA'!B:J,9,FALSE))),"")</f>
        <v/>
      </c>
      <c r="I821" s="10" t="str">
        <f>IFERROR((IF(VLOOKUP(A821,'ECN-ECO_DATA'!B:Q,13,FALSE)="","",VLOOKUP(A821,'ECN-ECO_DATA'!B:Q,13,FALSE))),"")</f>
        <v/>
      </c>
      <c r="J821" s="10" t="str">
        <f>IFERROR((IF(VLOOKUP(A821,'ECN-ECO_DATA'!B:Q,14,FALSE)="","",VLOOKUP(A821,'ECN-ECO_DATA'!B:Q,14,FALSE))),"")</f>
        <v/>
      </c>
      <c r="K821" s="10" t="str">
        <f>IFERROR((IF(VLOOKUP(A821,'ECN-ECO_DATA'!B:Q,15,FALSE)="","",VLOOKUP(A821,'ECN-ECO_DATA'!B:Q,15,FALSE))),"")</f>
        <v/>
      </c>
      <c r="L821" s="10" t="str">
        <f>IFERROR((IF(VLOOKUP(A821,'ECN-ECO_DATA'!B:Q,16,FALSE)="","",VLOOKUP(A821,'ECN-ECO_DATA'!B:Q,16,FALSE))),"")</f>
        <v/>
      </c>
      <c r="M821" s="9" t="str">
        <f>IFERROR((IF(VLOOKUP(A821,'ECN-ECO_DATA'!B:V,18,FALSE)=0/1/1900,"",VLOOKUP(A821,'ECN-ECO_DATA'!B:V,18,FALSE))),"")</f>
        <v/>
      </c>
      <c r="N821" s="9" t="str">
        <f>IFERROR((IF(VLOOKUP(A821,'ECN-ECO_DATA'!B:V,19,FALSE)=0/1/1900,"",VLOOKUP(A821,'ECN-ECO_DATA'!B:V,19,FALSE))),"")</f>
        <v/>
      </c>
      <c r="O821" s="9" t="str">
        <f>IFERROR((IF(VLOOKUP(A821,'ECN-ECO_DATA'!B:V,20,FALSE)=0/1/1900,"",VLOOKUP(A821,'ECN-ECO_DATA'!B:V,20,FALSE))),"")</f>
        <v/>
      </c>
      <c r="P821" s="9" t="str">
        <f>IFERROR((IF(VLOOKUP(A821,'ECN-ECO_DATA'!B:V,21,FALSE)=0/1/1900,"",VLOOKUP(A821,'ECN-ECO_DATA'!B:V,21,FALSE))),"")</f>
        <v/>
      </c>
      <c r="Q821" s="10" t="str">
        <f t="shared" ca="1" si="60"/>
        <v/>
      </c>
      <c r="R821" s="4" t="str">
        <f t="shared" si="61"/>
        <v/>
      </c>
      <c r="S821" s="4" t="str">
        <f t="shared" si="62"/>
        <v/>
      </c>
      <c r="T821" s="4" t="str">
        <f t="shared" si="63"/>
        <v/>
      </c>
      <c r="U821" s="10" t="str">
        <f t="shared" si="64"/>
        <v/>
      </c>
      <c r="V821" s="4"/>
    </row>
    <row r="822" spans="2:22" x14ac:dyDescent="0.25">
      <c r="B822" s="4" t="str">
        <f>IFERROR(VLOOKUP(A822,'ECN-ECO_DATA'!B:G,4,FALSE),"")</f>
        <v/>
      </c>
      <c r="C822" s="9" t="str">
        <f>IFERROR(VLOOKUP(A822,'ECN-ECO_DATA'!B:G,5,FALSE),"")</f>
        <v/>
      </c>
      <c r="D822" s="9" t="str">
        <f ca="1">IFERROR((IF(VLOOKUP(A822,'ECN-ECO_DATA'!B:G,6,FALSE)=0/1/1900,TODAY(),VLOOKUP(A822,'ECN-ECO_DATA'!B:G,6,FALSE))),"")</f>
        <v/>
      </c>
      <c r="E822" s="9" t="str">
        <f>IFERROR((IF(VLOOKUP(A822,'ECN-ECO_DATA'!B:G,6,FALSE)=0/1/1900,"",VLOOKUP(A822,'ECN-ECO_DATA'!B:G,6,FALSE))),"")</f>
        <v/>
      </c>
      <c r="F822" s="9" t="str">
        <f>IFERROR((IF(VLOOKUP(A822,'ECN-ECO_DATA'!B:J,7,FALSE)=0/1/1900,"",VLOOKUP(A822,'ECN-ECO_DATA'!B:J,7,FALSE))),"")</f>
        <v/>
      </c>
      <c r="G822" s="9" t="str">
        <f>IFERROR((IF(VLOOKUP(A822,'ECN-ECO_DATA'!B:J,8,FALSE)=0/1/1900,"",VLOOKUP(A822,'ECN-ECO_DATA'!B:J,8,FALSE))),"")</f>
        <v/>
      </c>
      <c r="H822" s="9" t="str">
        <f>IFERROR((IF(VLOOKUP(A822,'ECN-ECO_DATA'!B:J,9,FALSE)=0/1/1900,"",VLOOKUP(A822,'ECN-ECO_DATA'!B:J,9,FALSE))),"")</f>
        <v/>
      </c>
      <c r="I822" s="10" t="str">
        <f>IFERROR((IF(VLOOKUP(A822,'ECN-ECO_DATA'!B:Q,13,FALSE)="","",VLOOKUP(A822,'ECN-ECO_DATA'!B:Q,13,FALSE))),"")</f>
        <v/>
      </c>
      <c r="J822" s="10" t="str">
        <f>IFERROR((IF(VLOOKUP(A822,'ECN-ECO_DATA'!B:Q,14,FALSE)="","",VLOOKUP(A822,'ECN-ECO_DATA'!B:Q,14,FALSE))),"")</f>
        <v/>
      </c>
      <c r="K822" s="10" t="str">
        <f>IFERROR((IF(VLOOKUP(A822,'ECN-ECO_DATA'!B:Q,15,FALSE)="","",VLOOKUP(A822,'ECN-ECO_DATA'!B:Q,15,FALSE))),"")</f>
        <v/>
      </c>
      <c r="L822" s="10" t="str">
        <f>IFERROR((IF(VLOOKUP(A822,'ECN-ECO_DATA'!B:Q,16,FALSE)="","",VLOOKUP(A822,'ECN-ECO_DATA'!B:Q,16,FALSE))),"")</f>
        <v/>
      </c>
      <c r="M822" s="9" t="str">
        <f>IFERROR((IF(VLOOKUP(A822,'ECN-ECO_DATA'!B:V,18,FALSE)=0/1/1900,"",VLOOKUP(A822,'ECN-ECO_DATA'!B:V,18,FALSE))),"")</f>
        <v/>
      </c>
      <c r="N822" s="9" t="str">
        <f>IFERROR((IF(VLOOKUP(A822,'ECN-ECO_DATA'!B:V,19,FALSE)=0/1/1900,"",VLOOKUP(A822,'ECN-ECO_DATA'!B:V,19,FALSE))),"")</f>
        <v/>
      </c>
      <c r="O822" s="9" t="str">
        <f>IFERROR((IF(VLOOKUP(A822,'ECN-ECO_DATA'!B:V,20,FALSE)=0/1/1900,"",VLOOKUP(A822,'ECN-ECO_DATA'!B:V,20,FALSE))),"")</f>
        <v/>
      </c>
      <c r="P822" s="9" t="str">
        <f>IFERROR((IF(VLOOKUP(A822,'ECN-ECO_DATA'!B:V,21,FALSE)=0/1/1900,"",VLOOKUP(A822,'ECN-ECO_DATA'!B:V,21,FALSE))),"")</f>
        <v/>
      </c>
      <c r="Q822" s="10" t="str">
        <f t="shared" ca="1" si="60"/>
        <v/>
      </c>
      <c r="R822" s="4" t="str">
        <f t="shared" si="61"/>
        <v/>
      </c>
      <c r="S822" s="4" t="str">
        <f t="shared" si="62"/>
        <v/>
      </c>
      <c r="T822" s="4" t="str">
        <f t="shared" si="63"/>
        <v/>
      </c>
      <c r="U822" s="10" t="str">
        <f t="shared" si="64"/>
        <v/>
      </c>
      <c r="V822" s="4"/>
    </row>
    <row r="823" spans="2:22" x14ac:dyDescent="0.25">
      <c r="B823" s="4" t="str">
        <f>IFERROR(VLOOKUP(A823,'ECN-ECO_DATA'!B:G,4,FALSE),"")</f>
        <v/>
      </c>
      <c r="C823" s="9" t="str">
        <f>IFERROR(VLOOKUP(A823,'ECN-ECO_DATA'!B:G,5,FALSE),"")</f>
        <v/>
      </c>
      <c r="D823" s="9" t="str">
        <f ca="1">IFERROR((IF(VLOOKUP(A823,'ECN-ECO_DATA'!B:G,6,FALSE)=0/1/1900,TODAY(),VLOOKUP(A823,'ECN-ECO_DATA'!B:G,6,FALSE))),"")</f>
        <v/>
      </c>
      <c r="E823" s="9" t="str">
        <f>IFERROR((IF(VLOOKUP(A823,'ECN-ECO_DATA'!B:G,6,FALSE)=0/1/1900,"",VLOOKUP(A823,'ECN-ECO_DATA'!B:G,6,FALSE))),"")</f>
        <v/>
      </c>
      <c r="F823" s="9" t="str">
        <f>IFERROR((IF(VLOOKUP(A823,'ECN-ECO_DATA'!B:J,7,FALSE)=0/1/1900,"",VLOOKUP(A823,'ECN-ECO_DATA'!B:J,7,FALSE))),"")</f>
        <v/>
      </c>
      <c r="G823" s="9" t="str">
        <f>IFERROR((IF(VLOOKUP(A823,'ECN-ECO_DATA'!B:J,8,FALSE)=0/1/1900,"",VLOOKUP(A823,'ECN-ECO_DATA'!B:J,8,FALSE))),"")</f>
        <v/>
      </c>
      <c r="H823" s="9" t="str">
        <f>IFERROR((IF(VLOOKUP(A823,'ECN-ECO_DATA'!B:J,9,FALSE)=0/1/1900,"",VLOOKUP(A823,'ECN-ECO_DATA'!B:J,9,FALSE))),"")</f>
        <v/>
      </c>
      <c r="I823" s="10" t="str">
        <f>IFERROR((IF(VLOOKUP(A823,'ECN-ECO_DATA'!B:Q,13,FALSE)="","",VLOOKUP(A823,'ECN-ECO_DATA'!B:Q,13,FALSE))),"")</f>
        <v/>
      </c>
      <c r="J823" s="10" t="str">
        <f>IFERROR((IF(VLOOKUP(A823,'ECN-ECO_DATA'!B:Q,14,FALSE)="","",VLOOKUP(A823,'ECN-ECO_DATA'!B:Q,14,FALSE))),"")</f>
        <v/>
      </c>
      <c r="K823" s="10" t="str">
        <f>IFERROR((IF(VLOOKUP(A823,'ECN-ECO_DATA'!B:Q,15,FALSE)="","",VLOOKUP(A823,'ECN-ECO_DATA'!B:Q,15,FALSE))),"")</f>
        <v/>
      </c>
      <c r="L823" s="10" t="str">
        <f>IFERROR((IF(VLOOKUP(A823,'ECN-ECO_DATA'!B:Q,16,FALSE)="","",VLOOKUP(A823,'ECN-ECO_DATA'!B:Q,16,FALSE))),"")</f>
        <v/>
      </c>
      <c r="M823" s="9" t="str">
        <f>IFERROR((IF(VLOOKUP(A823,'ECN-ECO_DATA'!B:V,18,FALSE)=0/1/1900,"",VLOOKUP(A823,'ECN-ECO_DATA'!B:V,18,FALSE))),"")</f>
        <v/>
      </c>
      <c r="N823" s="9" t="str">
        <f>IFERROR((IF(VLOOKUP(A823,'ECN-ECO_DATA'!B:V,19,FALSE)=0/1/1900,"",VLOOKUP(A823,'ECN-ECO_DATA'!B:V,19,FALSE))),"")</f>
        <v/>
      </c>
      <c r="O823" s="9" t="str">
        <f>IFERROR((IF(VLOOKUP(A823,'ECN-ECO_DATA'!B:V,20,FALSE)=0/1/1900,"",VLOOKUP(A823,'ECN-ECO_DATA'!B:V,20,FALSE))),"")</f>
        <v/>
      </c>
      <c r="P823" s="9" t="str">
        <f>IFERROR((IF(VLOOKUP(A823,'ECN-ECO_DATA'!B:V,21,FALSE)=0/1/1900,"",VLOOKUP(A823,'ECN-ECO_DATA'!B:V,21,FALSE))),"")</f>
        <v/>
      </c>
      <c r="Q823" s="10" t="str">
        <f t="shared" ca="1" si="60"/>
        <v/>
      </c>
      <c r="R823" s="4" t="str">
        <f t="shared" si="61"/>
        <v/>
      </c>
      <c r="S823" s="4" t="str">
        <f t="shared" si="62"/>
        <v/>
      </c>
      <c r="T823" s="4" t="str">
        <f t="shared" si="63"/>
        <v/>
      </c>
      <c r="U823" s="10" t="str">
        <f t="shared" si="64"/>
        <v/>
      </c>
      <c r="V823" s="4"/>
    </row>
    <row r="824" spans="2:22" x14ac:dyDescent="0.25">
      <c r="B824" s="4" t="str">
        <f>IFERROR(VLOOKUP(A824,'ECN-ECO_DATA'!B:G,4,FALSE),"")</f>
        <v/>
      </c>
      <c r="C824" s="9" t="str">
        <f>IFERROR(VLOOKUP(A824,'ECN-ECO_DATA'!B:G,5,FALSE),"")</f>
        <v/>
      </c>
      <c r="D824" s="9" t="str">
        <f ca="1">IFERROR((IF(VLOOKUP(A824,'ECN-ECO_DATA'!B:G,6,FALSE)=0/1/1900,TODAY(),VLOOKUP(A824,'ECN-ECO_DATA'!B:G,6,FALSE))),"")</f>
        <v/>
      </c>
      <c r="E824" s="9" t="str">
        <f>IFERROR((IF(VLOOKUP(A824,'ECN-ECO_DATA'!B:G,6,FALSE)=0/1/1900,"",VLOOKUP(A824,'ECN-ECO_DATA'!B:G,6,FALSE))),"")</f>
        <v/>
      </c>
      <c r="F824" s="9" t="str">
        <f>IFERROR((IF(VLOOKUP(A824,'ECN-ECO_DATA'!B:J,7,FALSE)=0/1/1900,"",VLOOKUP(A824,'ECN-ECO_DATA'!B:J,7,FALSE))),"")</f>
        <v/>
      </c>
      <c r="G824" s="9" t="str">
        <f>IFERROR((IF(VLOOKUP(A824,'ECN-ECO_DATA'!B:J,8,FALSE)=0/1/1900,"",VLOOKUP(A824,'ECN-ECO_DATA'!B:J,8,FALSE))),"")</f>
        <v/>
      </c>
      <c r="H824" s="9" t="str">
        <f>IFERROR((IF(VLOOKUP(A824,'ECN-ECO_DATA'!B:J,9,FALSE)=0/1/1900,"",VLOOKUP(A824,'ECN-ECO_DATA'!B:J,9,FALSE))),"")</f>
        <v/>
      </c>
      <c r="I824" s="10" t="str">
        <f>IFERROR((IF(VLOOKUP(A824,'ECN-ECO_DATA'!B:Q,13,FALSE)="","",VLOOKUP(A824,'ECN-ECO_DATA'!B:Q,13,FALSE))),"")</f>
        <v/>
      </c>
      <c r="J824" s="10" t="str">
        <f>IFERROR((IF(VLOOKUP(A824,'ECN-ECO_DATA'!B:Q,14,FALSE)="","",VLOOKUP(A824,'ECN-ECO_DATA'!B:Q,14,FALSE))),"")</f>
        <v/>
      </c>
      <c r="K824" s="10" t="str">
        <f>IFERROR((IF(VLOOKUP(A824,'ECN-ECO_DATA'!B:Q,15,FALSE)="","",VLOOKUP(A824,'ECN-ECO_DATA'!B:Q,15,FALSE))),"")</f>
        <v/>
      </c>
      <c r="L824" s="10" t="str">
        <f>IFERROR((IF(VLOOKUP(A824,'ECN-ECO_DATA'!B:Q,16,FALSE)="","",VLOOKUP(A824,'ECN-ECO_DATA'!B:Q,16,FALSE))),"")</f>
        <v/>
      </c>
      <c r="M824" s="9" t="str">
        <f>IFERROR((IF(VLOOKUP(A824,'ECN-ECO_DATA'!B:V,18,FALSE)=0/1/1900,"",VLOOKUP(A824,'ECN-ECO_DATA'!B:V,18,FALSE))),"")</f>
        <v/>
      </c>
      <c r="N824" s="9" t="str">
        <f>IFERROR((IF(VLOOKUP(A824,'ECN-ECO_DATA'!B:V,19,FALSE)=0/1/1900,"",VLOOKUP(A824,'ECN-ECO_DATA'!B:V,19,FALSE))),"")</f>
        <v/>
      </c>
      <c r="O824" s="9" t="str">
        <f>IFERROR((IF(VLOOKUP(A824,'ECN-ECO_DATA'!B:V,20,FALSE)=0/1/1900,"",VLOOKUP(A824,'ECN-ECO_DATA'!B:V,20,FALSE))),"")</f>
        <v/>
      </c>
      <c r="P824" s="9" t="str">
        <f>IFERROR((IF(VLOOKUP(A824,'ECN-ECO_DATA'!B:V,21,FALSE)=0/1/1900,"",VLOOKUP(A824,'ECN-ECO_DATA'!B:V,21,FALSE))),"")</f>
        <v/>
      </c>
      <c r="Q824" s="10" t="str">
        <f t="shared" ca="1" si="60"/>
        <v/>
      </c>
      <c r="R824" s="4" t="str">
        <f t="shared" si="61"/>
        <v/>
      </c>
      <c r="S824" s="4" t="str">
        <f t="shared" si="62"/>
        <v/>
      </c>
      <c r="T824" s="4" t="str">
        <f t="shared" si="63"/>
        <v/>
      </c>
      <c r="U824" s="10" t="str">
        <f t="shared" si="64"/>
        <v/>
      </c>
      <c r="V824" s="4"/>
    </row>
    <row r="825" spans="2:22" x14ac:dyDescent="0.25">
      <c r="B825" s="4" t="str">
        <f>IFERROR(VLOOKUP(A825,'ECN-ECO_DATA'!B:G,4,FALSE),"")</f>
        <v/>
      </c>
      <c r="C825" s="9" t="str">
        <f>IFERROR(VLOOKUP(A825,'ECN-ECO_DATA'!B:G,5,FALSE),"")</f>
        <v/>
      </c>
      <c r="D825" s="9" t="str">
        <f ca="1">IFERROR((IF(VLOOKUP(A825,'ECN-ECO_DATA'!B:G,6,FALSE)=0/1/1900,TODAY(),VLOOKUP(A825,'ECN-ECO_DATA'!B:G,6,FALSE))),"")</f>
        <v/>
      </c>
      <c r="E825" s="9" t="str">
        <f>IFERROR((IF(VLOOKUP(A825,'ECN-ECO_DATA'!B:G,6,FALSE)=0/1/1900,"",VLOOKUP(A825,'ECN-ECO_DATA'!B:G,6,FALSE))),"")</f>
        <v/>
      </c>
      <c r="F825" s="9" t="str">
        <f>IFERROR((IF(VLOOKUP(A825,'ECN-ECO_DATA'!B:J,7,FALSE)=0/1/1900,"",VLOOKUP(A825,'ECN-ECO_DATA'!B:J,7,FALSE))),"")</f>
        <v/>
      </c>
      <c r="G825" s="9" t="str">
        <f>IFERROR((IF(VLOOKUP(A825,'ECN-ECO_DATA'!B:J,8,FALSE)=0/1/1900,"",VLOOKUP(A825,'ECN-ECO_DATA'!B:J,8,FALSE))),"")</f>
        <v/>
      </c>
      <c r="H825" s="9" t="str">
        <f>IFERROR((IF(VLOOKUP(A825,'ECN-ECO_DATA'!B:J,9,FALSE)=0/1/1900,"",VLOOKUP(A825,'ECN-ECO_DATA'!B:J,9,FALSE))),"")</f>
        <v/>
      </c>
      <c r="I825" s="10" t="str">
        <f>IFERROR((IF(VLOOKUP(A825,'ECN-ECO_DATA'!B:Q,13,FALSE)="","",VLOOKUP(A825,'ECN-ECO_DATA'!B:Q,13,FALSE))),"")</f>
        <v/>
      </c>
      <c r="J825" s="10" t="str">
        <f>IFERROR((IF(VLOOKUP(A825,'ECN-ECO_DATA'!B:Q,14,FALSE)="","",VLOOKUP(A825,'ECN-ECO_DATA'!B:Q,14,FALSE))),"")</f>
        <v/>
      </c>
      <c r="K825" s="10" t="str">
        <f>IFERROR((IF(VLOOKUP(A825,'ECN-ECO_DATA'!B:Q,15,FALSE)="","",VLOOKUP(A825,'ECN-ECO_DATA'!B:Q,15,FALSE))),"")</f>
        <v/>
      </c>
      <c r="L825" s="10" t="str">
        <f>IFERROR((IF(VLOOKUP(A825,'ECN-ECO_DATA'!B:Q,16,FALSE)="","",VLOOKUP(A825,'ECN-ECO_DATA'!B:Q,16,FALSE))),"")</f>
        <v/>
      </c>
      <c r="M825" s="9" t="str">
        <f>IFERROR((IF(VLOOKUP(A825,'ECN-ECO_DATA'!B:V,18,FALSE)=0/1/1900,"",VLOOKUP(A825,'ECN-ECO_DATA'!B:V,18,FALSE))),"")</f>
        <v/>
      </c>
      <c r="N825" s="9" t="str">
        <f>IFERROR((IF(VLOOKUP(A825,'ECN-ECO_DATA'!B:V,19,FALSE)=0/1/1900,"",VLOOKUP(A825,'ECN-ECO_DATA'!B:V,19,FALSE))),"")</f>
        <v/>
      </c>
      <c r="O825" s="9" t="str">
        <f>IFERROR((IF(VLOOKUP(A825,'ECN-ECO_DATA'!B:V,20,FALSE)=0/1/1900,"",VLOOKUP(A825,'ECN-ECO_DATA'!B:V,20,FALSE))),"")</f>
        <v/>
      </c>
      <c r="P825" s="9" t="str">
        <f>IFERROR((IF(VLOOKUP(A825,'ECN-ECO_DATA'!B:V,21,FALSE)=0/1/1900,"",VLOOKUP(A825,'ECN-ECO_DATA'!B:V,21,FALSE))),"")</f>
        <v/>
      </c>
      <c r="Q825" s="10" t="str">
        <f t="shared" ca="1" si="60"/>
        <v/>
      </c>
      <c r="R825" s="4" t="str">
        <f t="shared" si="61"/>
        <v/>
      </c>
      <c r="S825" s="4" t="str">
        <f t="shared" si="62"/>
        <v/>
      </c>
      <c r="T825" s="4" t="str">
        <f t="shared" si="63"/>
        <v/>
      </c>
      <c r="U825" s="10" t="str">
        <f t="shared" si="64"/>
        <v/>
      </c>
      <c r="V825" s="4"/>
    </row>
    <row r="826" spans="2:22" x14ac:dyDescent="0.25">
      <c r="B826" s="4" t="str">
        <f>IFERROR(VLOOKUP(A826,'ECN-ECO_DATA'!B:G,4,FALSE),"")</f>
        <v/>
      </c>
      <c r="C826" s="9" t="str">
        <f>IFERROR(VLOOKUP(A826,'ECN-ECO_DATA'!B:G,5,FALSE),"")</f>
        <v/>
      </c>
      <c r="D826" s="9" t="str">
        <f ca="1">IFERROR((IF(VLOOKUP(A826,'ECN-ECO_DATA'!B:G,6,FALSE)=0/1/1900,TODAY(),VLOOKUP(A826,'ECN-ECO_DATA'!B:G,6,FALSE))),"")</f>
        <v/>
      </c>
      <c r="E826" s="9" t="str">
        <f>IFERROR((IF(VLOOKUP(A826,'ECN-ECO_DATA'!B:G,6,FALSE)=0/1/1900,"",VLOOKUP(A826,'ECN-ECO_DATA'!B:G,6,FALSE))),"")</f>
        <v/>
      </c>
      <c r="F826" s="9" t="str">
        <f>IFERROR((IF(VLOOKUP(A826,'ECN-ECO_DATA'!B:J,7,FALSE)=0/1/1900,"",VLOOKUP(A826,'ECN-ECO_DATA'!B:J,7,FALSE))),"")</f>
        <v/>
      </c>
      <c r="G826" s="9" t="str">
        <f>IFERROR((IF(VLOOKUP(A826,'ECN-ECO_DATA'!B:J,8,FALSE)=0/1/1900,"",VLOOKUP(A826,'ECN-ECO_DATA'!B:J,8,FALSE))),"")</f>
        <v/>
      </c>
      <c r="H826" s="9" t="str">
        <f>IFERROR((IF(VLOOKUP(A826,'ECN-ECO_DATA'!B:J,9,FALSE)=0/1/1900,"",VLOOKUP(A826,'ECN-ECO_DATA'!B:J,9,FALSE))),"")</f>
        <v/>
      </c>
      <c r="I826" s="10" t="str">
        <f>IFERROR((IF(VLOOKUP(A826,'ECN-ECO_DATA'!B:Q,13,FALSE)="","",VLOOKUP(A826,'ECN-ECO_DATA'!B:Q,13,FALSE))),"")</f>
        <v/>
      </c>
      <c r="J826" s="10" t="str">
        <f>IFERROR((IF(VLOOKUP(A826,'ECN-ECO_DATA'!B:Q,14,FALSE)="","",VLOOKUP(A826,'ECN-ECO_DATA'!B:Q,14,FALSE))),"")</f>
        <v/>
      </c>
      <c r="K826" s="10" t="str">
        <f>IFERROR((IF(VLOOKUP(A826,'ECN-ECO_DATA'!B:Q,15,FALSE)="","",VLOOKUP(A826,'ECN-ECO_DATA'!B:Q,15,FALSE))),"")</f>
        <v/>
      </c>
      <c r="L826" s="10" t="str">
        <f>IFERROR((IF(VLOOKUP(A826,'ECN-ECO_DATA'!B:Q,16,FALSE)="","",VLOOKUP(A826,'ECN-ECO_DATA'!B:Q,16,FALSE))),"")</f>
        <v/>
      </c>
      <c r="M826" s="9" t="str">
        <f>IFERROR((IF(VLOOKUP(A826,'ECN-ECO_DATA'!B:V,18,FALSE)=0/1/1900,"",VLOOKUP(A826,'ECN-ECO_DATA'!B:V,18,FALSE))),"")</f>
        <v/>
      </c>
      <c r="N826" s="9" t="str">
        <f>IFERROR((IF(VLOOKUP(A826,'ECN-ECO_DATA'!B:V,19,FALSE)=0/1/1900,"",VLOOKUP(A826,'ECN-ECO_DATA'!B:V,19,FALSE))),"")</f>
        <v/>
      </c>
      <c r="O826" s="9" t="str">
        <f>IFERROR((IF(VLOOKUP(A826,'ECN-ECO_DATA'!B:V,20,FALSE)=0/1/1900,"",VLOOKUP(A826,'ECN-ECO_DATA'!B:V,20,FALSE))),"")</f>
        <v/>
      </c>
      <c r="P826" s="9" t="str">
        <f>IFERROR((IF(VLOOKUP(A826,'ECN-ECO_DATA'!B:V,21,FALSE)=0/1/1900,"",VLOOKUP(A826,'ECN-ECO_DATA'!B:V,21,FALSE))),"")</f>
        <v/>
      </c>
      <c r="Q826" s="10" t="str">
        <f t="shared" ca="1" si="60"/>
        <v/>
      </c>
      <c r="R826" s="4" t="str">
        <f t="shared" si="61"/>
        <v/>
      </c>
      <c r="S826" s="4" t="str">
        <f t="shared" si="62"/>
        <v/>
      </c>
      <c r="T826" s="4" t="str">
        <f t="shared" si="63"/>
        <v/>
      </c>
      <c r="U826" s="10" t="str">
        <f t="shared" si="64"/>
        <v/>
      </c>
      <c r="V826" s="4"/>
    </row>
    <row r="827" spans="2:22" x14ac:dyDescent="0.25">
      <c r="B827" s="4" t="str">
        <f>IFERROR(VLOOKUP(A827,'ECN-ECO_DATA'!B:G,4,FALSE),"")</f>
        <v/>
      </c>
      <c r="C827" s="9" t="str">
        <f>IFERROR(VLOOKUP(A827,'ECN-ECO_DATA'!B:G,5,FALSE),"")</f>
        <v/>
      </c>
      <c r="D827" s="9" t="str">
        <f ca="1">IFERROR((IF(VLOOKUP(A827,'ECN-ECO_DATA'!B:G,6,FALSE)=0/1/1900,TODAY(),VLOOKUP(A827,'ECN-ECO_DATA'!B:G,6,FALSE))),"")</f>
        <v/>
      </c>
      <c r="E827" s="9" t="str">
        <f>IFERROR((IF(VLOOKUP(A827,'ECN-ECO_DATA'!B:G,6,FALSE)=0/1/1900,"",VLOOKUP(A827,'ECN-ECO_DATA'!B:G,6,FALSE))),"")</f>
        <v/>
      </c>
      <c r="F827" s="9" t="str">
        <f>IFERROR((IF(VLOOKUP(A827,'ECN-ECO_DATA'!B:J,7,FALSE)=0/1/1900,"",VLOOKUP(A827,'ECN-ECO_DATA'!B:J,7,FALSE))),"")</f>
        <v/>
      </c>
      <c r="G827" s="9" t="str">
        <f>IFERROR((IF(VLOOKUP(A827,'ECN-ECO_DATA'!B:J,8,FALSE)=0/1/1900,"",VLOOKUP(A827,'ECN-ECO_DATA'!B:J,8,FALSE))),"")</f>
        <v/>
      </c>
      <c r="H827" s="9" t="str">
        <f>IFERROR((IF(VLOOKUP(A827,'ECN-ECO_DATA'!B:J,9,FALSE)=0/1/1900,"",VLOOKUP(A827,'ECN-ECO_DATA'!B:J,9,FALSE))),"")</f>
        <v/>
      </c>
      <c r="I827" s="10" t="str">
        <f>IFERROR((IF(VLOOKUP(A827,'ECN-ECO_DATA'!B:Q,13,FALSE)="","",VLOOKUP(A827,'ECN-ECO_DATA'!B:Q,13,FALSE))),"")</f>
        <v/>
      </c>
      <c r="J827" s="10" t="str">
        <f>IFERROR((IF(VLOOKUP(A827,'ECN-ECO_DATA'!B:Q,14,FALSE)="","",VLOOKUP(A827,'ECN-ECO_DATA'!B:Q,14,FALSE))),"")</f>
        <v/>
      </c>
      <c r="K827" s="10" t="str">
        <f>IFERROR((IF(VLOOKUP(A827,'ECN-ECO_DATA'!B:Q,15,FALSE)="","",VLOOKUP(A827,'ECN-ECO_DATA'!B:Q,15,FALSE))),"")</f>
        <v/>
      </c>
      <c r="L827" s="10" t="str">
        <f>IFERROR((IF(VLOOKUP(A827,'ECN-ECO_DATA'!B:Q,16,FALSE)="","",VLOOKUP(A827,'ECN-ECO_DATA'!B:Q,16,FALSE))),"")</f>
        <v/>
      </c>
      <c r="M827" s="9" t="str">
        <f>IFERROR((IF(VLOOKUP(A827,'ECN-ECO_DATA'!B:V,18,FALSE)=0/1/1900,"",VLOOKUP(A827,'ECN-ECO_DATA'!B:V,18,FALSE))),"")</f>
        <v/>
      </c>
      <c r="N827" s="9" t="str">
        <f>IFERROR((IF(VLOOKUP(A827,'ECN-ECO_DATA'!B:V,19,FALSE)=0/1/1900,"",VLOOKUP(A827,'ECN-ECO_DATA'!B:V,19,FALSE))),"")</f>
        <v/>
      </c>
      <c r="O827" s="9" t="str">
        <f>IFERROR((IF(VLOOKUP(A827,'ECN-ECO_DATA'!B:V,20,FALSE)=0/1/1900,"",VLOOKUP(A827,'ECN-ECO_DATA'!B:V,20,FALSE))),"")</f>
        <v/>
      </c>
      <c r="P827" s="9" t="str">
        <f>IFERROR((IF(VLOOKUP(A827,'ECN-ECO_DATA'!B:V,21,FALSE)=0/1/1900,"",VLOOKUP(A827,'ECN-ECO_DATA'!B:V,21,FALSE))),"")</f>
        <v/>
      </c>
      <c r="Q827" s="10" t="str">
        <f t="shared" ca="1" si="60"/>
        <v/>
      </c>
      <c r="R827" s="4" t="str">
        <f t="shared" si="61"/>
        <v/>
      </c>
      <c r="S827" s="4" t="str">
        <f t="shared" si="62"/>
        <v/>
      </c>
      <c r="T827" s="4" t="str">
        <f t="shared" si="63"/>
        <v/>
      </c>
      <c r="U827" s="10" t="str">
        <f t="shared" si="64"/>
        <v/>
      </c>
      <c r="V827" s="4"/>
    </row>
    <row r="828" spans="2:22" x14ac:dyDescent="0.25">
      <c r="B828" s="4" t="str">
        <f>IFERROR(VLOOKUP(A828,'ECN-ECO_DATA'!B:G,4,FALSE),"")</f>
        <v/>
      </c>
      <c r="C828" s="9" t="str">
        <f>IFERROR(VLOOKUP(A828,'ECN-ECO_DATA'!B:G,5,FALSE),"")</f>
        <v/>
      </c>
      <c r="D828" s="9" t="str">
        <f ca="1">IFERROR((IF(VLOOKUP(A828,'ECN-ECO_DATA'!B:G,6,FALSE)=0/1/1900,TODAY(),VLOOKUP(A828,'ECN-ECO_DATA'!B:G,6,FALSE))),"")</f>
        <v/>
      </c>
      <c r="E828" s="9" t="str">
        <f>IFERROR((IF(VLOOKUP(A828,'ECN-ECO_DATA'!B:G,6,FALSE)=0/1/1900,"",VLOOKUP(A828,'ECN-ECO_DATA'!B:G,6,FALSE))),"")</f>
        <v/>
      </c>
      <c r="F828" s="9" t="str">
        <f>IFERROR((IF(VLOOKUP(A828,'ECN-ECO_DATA'!B:J,7,FALSE)=0/1/1900,"",VLOOKUP(A828,'ECN-ECO_DATA'!B:J,7,FALSE))),"")</f>
        <v/>
      </c>
      <c r="G828" s="9" t="str">
        <f>IFERROR((IF(VLOOKUP(A828,'ECN-ECO_DATA'!B:J,8,FALSE)=0/1/1900,"",VLOOKUP(A828,'ECN-ECO_DATA'!B:J,8,FALSE))),"")</f>
        <v/>
      </c>
      <c r="H828" s="9" t="str">
        <f>IFERROR((IF(VLOOKUP(A828,'ECN-ECO_DATA'!B:J,9,FALSE)=0/1/1900,"",VLOOKUP(A828,'ECN-ECO_DATA'!B:J,9,FALSE))),"")</f>
        <v/>
      </c>
      <c r="I828" s="10" t="str">
        <f>IFERROR((IF(VLOOKUP(A828,'ECN-ECO_DATA'!B:Q,13,FALSE)="","",VLOOKUP(A828,'ECN-ECO_DATA'!B:Q,13,FALSE))),"")</f>
        <v/>
      </c>
      <c r="J828" s="10" t="str">
        <f>IFERROR((IF(VLOOKUP(A828,'ECN-ECO_DATA'!B:Q,14,FALSE)="","",VLOOKUP(A828,'ECN-ECO_DATA'!B:Q,14,FALSE))),"")</f>
        <v/>
      </c>
      <c r="K828" s="10" t="str">
        <f>IFERROR((IF(VLOOKUP(A828,'ECN-ECO_DATA'!B:Q,15,FALSE)="","",VLOOKUP(A828,'ECN-ECO_DATA'!B:Q,15,FALSE))),"")</f>
        <v/>
      </c>
      <c r="L828" s="10" t="str">
        <f>IFERROR((IF(VLOOKUP(A828,'ECN-ECO_DATA'!B:Q,16,FALSE)="","",VLOOKUP(A828,'ECN-ECO_DATA'!B:Q,16,FALSE))),"")</f>
        <v/>
      </c>
      <c r="M828" s="9" t="str">
        <f>IFERROR((IF(VLOOKUP(A828,'ECN-ECO_DATA'!B:V,18,FALSE)=0/1/1900,"",VLOOKUP(A828,'ECN-ECO_DATA'!B:V,18,FALSE))),"")</f>
        <v/>
      </c>
      <c r="N828" s="9" t="str">
        <f>IFERROR((IF(VLOOKUP(A828,'ECN-ECO_DATA'!B:V,19,FALSE)=0/1/1900,"",VLOOKUP(A828,'ECN-ECO_DATA'!B:V,19,FALSE))),"")</f>
        <v/>
      </c>
      <c r="O828" s="9" t="str">
        <f>IFERROR((IF(VLOOKUP(A828,'ECN-ECO_DATA'!B:V,20,FALSE)=0/1/1900,"",VLOOKUP(A828,'ECN-ECO_DATA'!B:V,20,FALSE))),"")</f>
        <v/>
      </c>
      <c r="P828" s="9" t="str">
        <f>IFERROR((IF(VLOOKUP(A828,'ECN-ECO_DATA'!B:V,21,FALSE)=0/1/1900,"",VLOOKUP(A828,'ECN-ECO_DATA'!B:V,21,FALSE))),"")</f>
        <v/>
      </c>
      <c r="Q828" s="10" t="str">
        <f t="shared" ca="1" si="60"/>
        <v/>
      </c>
      <c r="R828" s="4" t="str">
        <f t="shared" si="61"/>
        <v/>
      </c>
      <c r="S828" s="4" t="str">
        <f t="shared" si="62"/>
        <v/>
      </c>
      <c r="T828" s="4" t="str">
        <f t="shared" si="63"/>
        <v/>
      </c>
      <c r="U828" s="10" t="str">
        <f t="shared" si="64"/>
        <v/>
      </c>
      <c r="V828" s="4"/>
    </row>
    <row r="829" spans="2:22" x14ac:dyDescent="0.25">
      <c r="B829" s="4" t="str">
        <f>IFERROR(VLOOKUP(A829,'ECN-ECO_DATA'!B:G,4,FALSE),"")</f>
        <v/>
      </c>
      <c r="C829" s="9" t="str">
        <f>IFERROR(VLOOKUP(A829,'ECN-ECO_DATA'!B:G,5,FALSE),"")</f>
        <v/>
      </c>
      <c r="D829" s="9" t="str">
        <f ca="1">IFERROR((IF(VLOOKUP(A829,'ECN-ECO_DATA'!B:G,6,FALSE)=0/1/1900,TODAY(),VLOOKUP(A829,'ECN-ECO_DATA'!B:G,6,FALSE))),"")</f>
        <v/>
      </c>
      <c r="E829" s="9" t="str">
        <f>IFERROR((IF(VLOOKUP(A829,'ECN-ECO_DATA'!B:G,6,FALSE)=0/1/1900,"",VLOOKUP(A829,'ECN-ECO_DATA'!B:G,6,FALSE))),"")</f>
        <v/>
      </c>
      <c r="F829" s="9" t="str">
        <f>IFERROR((IF(VLOOKUP(A829,'ECN-ECO_DATA'!B:J,7,FALSE)=0/1/1900,"",VLOOKUP(A829,'ECN-ECO_DATA'!B:J,7,FALSE))),"")</f>
        <v/>
      </c>
      <c r="G829" s="9" t="str">
        <f>IFERROR((IF(VLOOKUP(A829,'ECN-ECO_DATA'!B:J,8,FALSE)=0/1/1900,"",VLOOKUP(A829,'ECN-ECO_DATA'!B:J,8,FALSE))),"")</f>
        <v/>
      </c>
      <c r="H829" s="9" t="str">
        <f>IFERROR((IF(VLOOKUP(A829,'ECN-ECO_DATA'!B:J,9,FALSE)=0/1/1900,"",VLOOKUP(A829,'ECN-ECO_DATA'!B:J,9,FALSE))),"")</f>
        <v/>
      </c>
      <c r="I829" s="10" t="str">
        <f>IFERROR((IF(VLOOKUP(A829,'ECN-ECO_DATA'!B:Q,13,FALSE)="","",VLOOKUP(A829,'ECN-ECO_DATA'!B:Q,13,FALSE))),"")</f>
        <v/>
      </c>
      <c r="J829" s="10" t="str">
        <f>IFERROR((IF(VLOOKUP(A829,'ECN-ECO_DATA'!B:Q,14,FALSE)="","",VLOOKUP(A829,'ECN-ECO_DATA'!B:Q,14,FALSE))),"")</f>
        <v/>
      </c>
      <c r="K829" s="10" t="str">
        <f>IFERROR((IF(VLOOKUP(A829,'ECN-ECO_DATA'!B:Q,15,FALSE)="","",VLOOKUP(A829,'ECN-ECO_DATA'!B:Q,15,FALSE))),"")</f>
        <v/>
      </c>
      <c r="L829" s="10" t="str">
        <f>IFERROR((IF(VLOOKUP(A829,'ECN-ECO_DATA'!B:Q,16,FALSE)="","",VLOOKUP(A829,'ECN-ECO_DATA'!B:Q,16,FALSE))),"")</f>
        <v/>
      </c>
      <c r="M829" s="9" t="str">
        <f>IFERROR((IF(VLOOKUP(A829,'ECN-ECO_DATA'!B:V,18,FALSE)=0/1/1900,"",VLOOKUP(A829,'ECN-ECO_DATA'!B:V,18,FALSE))),"")</f>
        <v/>
      </c>
      <c r="N829" s="9" t="str">
        <f>IFERROR((IF(VLOOKUP(A829,'ECN-ECO_DATA'!B:V,19,FALSE)=0/1/1900,"",VLOOKUP(A829,'ECN-ECO_DATA'!B:V,19,FALSE))),"")</f>
        <v/>
      </c>
      <c r="O829" s="9" t="str">
        <f>IFERROR((IF(VLOOKUP(A829,'ECN-ECO_DATA'!B:V,20,FALSE)=0/1/1900,"",VLOOKUP(A829,'ECN-ECO_DATA'!B:V,20,FALSE))),"")</f>
        <v/>
      </c>
      <c r="P829" s="9" t="str">
        <f>IFERROR((IF(VLOOKUP(A829,'ECN-ECO_DATA'!B:V,21,FALSE)=0/1/1900,"",VLOOKUP(A829,'ECN-ECO_DATA'!B:V,21,FALSE))),"")</f>
        <v/>
      </c>
      <c r="Q829" s="10" t="str">
        <f t="shared" ca="1" si="60"/>
        <v/>
      </c>
      <c r="R829" s="4" t="str">
        <f t="shared" si="61"/>
        <v/>
      </c>
      <c r="S829" s="4" t="str">
        <f t="shared" si="62"/>
        <v/>
      </c>
      <c r="T829" s="4" t="str">
        <f t="shared" si="63"/>
        <v/>
      </c>
      <c r="U829" s="10" t="str">
        <f t="shared" si="64"/>
        <v/>
      </c>
      <c r="V829" s="4"/>
    </row>
    <row r="830" spans="2:22" x14ac:dyDescent="0.25">
      <c r="B830" s="4" t="str">
        <f>IFERROR(VLOOKUP(A830,'ECN-ECO_DATA'!B:G,4,FALSE),"")</f>
        <v/>
      </c>
      <c r="C830" s="9" t="str">
        <f>IFERROR(VLOOKUP(A830,'ECN-ECO_DATA'!B:G,5,FALSE),"")</f>
        <v/>
      </c>
      <c r="D830" s="9" t="str">
        <f ca="1">IFERROR((IF(VLOOKUP(A830,'ECN-ECO_DATA'!B:G,6,FALSE)=0/1/1900,TODAY(),VLOOKUP(A830,'ECN-ECO_DATA'!B:G,6,FALSE))),"")</f>
        <v/>
      </c>
      <c r="E830" s="9" t="str">
        <f>IFERROR((IF(VLOOKUP(A830,'ECN-ECO_DATA'!B:G,6,FALSE)=0/1/1900,"",VLOOKUP(A830,'ECN-ECO_DATA'!B:G,6,FALSE))),"")</f>
        <v/>
      </c>
      <c r="F830" s="9" t="str">
        <f>IFERROR((IF(VLOOKUP(A830,'ECN-ECO_DATA'!B:J,7,FALSE)=0/1/1900,"",VLOOKUP(A830,'ECN-ECO_DATA'!B:J,7,FALSE))),"")</f>
        <v/>
      </c>
      <c r="G830" s="9" t="str">
        <f>IFERROR((IF(VLOOKUP(A830,'ECN-ECO_DATA'!B:J,8,FALSE)=0/1/1900,"",VLOOKUP(A830,'ECN-ECO_DATA'!B:J,8,FALSE))),"")</f>
        <v/>
      </c>
      <c r="H830" s="9" t="str">
        <f>IFERROR((IF(VLOOKUP(A830,'ECN-ECO_DATA'!B:J,9,FALSE)=0/1/1900,"",VLOOKUP(A830,'ECN-ECO_DATA'!B:J,9,FALSE))),"")</f>
        <v/>
      </c>
      <c r="I830" s="10" t="str">
        <f>IFERROR((IF(VLOOKUP(A830,'ECN-ECO_DATA'!B:Q,13,FALSE)="","",VLOOKUP(A830,'ECN-ECO_DATA'!B:Q,13,FALSE))),"")</f>
        <v/>
      </c>
      <c r="J830" s="10" t="str">
        <f>IFERROR((IF(VLOOKUP(A830,'ECN-ECO_DATA'!B:Q,14,FALSE)="","",VLOOKUP(A830,'ECN-ECO_DATA'!B:Q,14,FALSE))),"")</f>
        <v/>
      </c>
      <c r="K830" s="10" t="str">
        <f>IFERROR((IF(VLOOKUP(A830,'ECN-ECO_DATA'!B:Q,15,FALSE)="","",VLOOKUP(A830,'ECN-ECO_DATA'!B:Q,15,FALSE))),"")</f>
        <v/>
      </c>
      <c r="L830" s="10" t="str">
        <f>IFERROR((IF(VLOOKUP(A830,'ECN-ECO_DATA'!B:Q,16,FALSE)="","",VLOOKUP(A830,'ECN-ECO_DATA'!B:Q,16,FALSE))),"")</f>
        <v/>
      </c>
      <c r="M830" s="9" t="str">
        <f>IFERROR((IF(VLOOKUP(A830,'ECN-ECO_DATA'!B:V,18,FALSE)=0/1/1900,"",VLOOKUP(A830,'ECN-ECO_DATA'!B:V,18,FALSE))),"")</f>
        <v/>
      </c>
      <c r="N830" s="9" t="str">
        <f>IFERROR((IF(VLOOKUP(A830,'ECN-ECO_DATA'!B:V,19,FALSE)=0/1/1900,"",VLOOKUP(A830,'ECN-ECO_DATA'!B:V,19,FALSE))),"")</f>
        <v/>
      </c>
      <c r="O830" s="9" t="str">
        <f>IFERROR((IF(VLOOKUP(A830,'ECN-ECO_DATA'!B:V,20,FALSE)=0/1/1900,"",VLOOKUP(A830,'ECN-ECO_DATA'!B:V,20,FALSE))),"")</f>
        <v/>
      </c>
      <c r="P830" s="9" t="str">
        <f>IFERROR((IF(VLOOKUP(A830,'ECN-ECO_DATA'!B:V,21,FALSE)=0/1/1900,"",VLOOKUP(A830,'ECN-ECO_DATA'!B:V,21,FALSE))),"")</f>
        <v/>
      </c>
      <c r="Q830" s="10" t="str">
        <f t="shared" ca="1" si="60"/>
        <v/>
      </c>
      <c r="R830" s="4" t="str">
        <f t="shared" si="61"/>
        <v/>
      </c>
      <c r="S830" s="4" t="str">
        <f t="shared" si="62"/>
        <v/>
      </c>
      <c r="T830" s="4" t="str">
        <f t="shared" si="63"/>
        <v/>
      </c>
      <c r="U830" s="10" t="str">
        <f t="shared" si="64"/>
        <v/>
      </c>
      <c r="V830" s="4"/>
    </row>
    <row r="831" spans="2:22" x14ac:dyDescent="0.25">
      <c r="B831" s="4" t="str">
        <f>IFERROR(VLOOKUP(A831,'ECN-ECO_DATA'!B:G,4,FALSE),"")</f>
        <v/>
      </c>
      <c r="C831" s="9" t="str">
        <f>IFERROR(VLOOKUP(A831,'ECN-ECO_DATA'!B:G,5,FALSE),"")</f>
        <v/>
      </c>
      <c r="D831" s="9" t="str">
        <f ca="1">IFERROR((IF(VLOOKUP(A831,'ECN-ECO_DATA'!B:G,6,FALSE)=0/1/1900,TODAY(),VLOOKUP(A831,'ECN-ECO_DATA'!B:G,6,FALSE))),"")</f>
        <v/>
      </c>
      <c r="E831" s="9" t="str">
        <f>IFERROR((IF(VLOOKUP(A831,'ECN-ECO_DATA'!B:G,6,FALSE)=0/1/1900,"",VLOOKUP(A831,'ECN-ECO_DATA'!B:G,6,FALSE))),"")</f>
        <v/>
      </c>
      <c r="F831" s="9" t="str">
        <f>IFERROR((IF(VLOOKUP(A831,'ECN-ECO_DATA'!B:J,7,FALSE)=0/1/1900,"",VLOOKUP(A831,'ECN-ECO_DATA'!B:J,7,FALSE))),"")</f>
        <v/>
      </c>
      <c r="G831" s="9" t="str">
        <f>IFERROR((IF(VLOOKUP(A831,'ECN-ECO_DATA'!B:J,8,FALSE)=0/1/1900,"",VLOOKUP(A831,'ECN-ECO_DATA'!B:J,8,FALSE))),"")</f>
        <v/>
      </c>
      <c r="H831" s="9" t="str">
        <f>IFERROR((IF(VLOOKUP(A831,'ECN-ECO_DATA'!B:J,9,FALSE)=0/1/1900,"",VLOOKUP(A831,'ECN-ECO_DATA'!B:J,9,FALSE))),"")</f>
        <v/>
      </c>
      <c r="I831" s="10" t="str">
        <f>IFERROR((IF(VLOOKUP(A831,'ECN-ECO_DATA'!B:Q,13,FALSE)="","",VLOOKUP(A831,'ECN-ECO_DATA'!B:Q,13,FALSE))),"")</f>
        <v/>
      </c>
      <c r="J831" s="10" t="str">
        <f>IFERROR((IF(VLOOKUP(A831,'ECN-ECO_DATA'!B:Q,14,FALSE)="","",VLOOKUP(A831,'ECN-ECO_DATA'!B:Q,14,FALSE))),"")</f>
        <v/>
      </c>
      <c r="K831" s="10" t="str">
        <f>IFERROR((IF(VLOOKUP(A831,'ECN-ECO_DATA'!B:Q,15,FALSE)="","",VLOOKUP(A831,'ECN-ECO_DATA'!B:Q,15,FALSE))),"")</f>
        <v/>
      </c>
      <c r="L831" s="10" t="str">
        <f>IFERROR((IF(VLOOKUP(A831,'ECN-ECO_DATA'!B:Q,16,FALSE)="","",VLOOKUP(A831,'ECN-ECO_DATA'!B:Q,16,FALSE))),"")</f>
        <v/>
      </c>
      <c r="M831" s="9" t="str">
        <f>IFERROR((IF(VLOOKUP(A831,'ECN-ECO_DATA'!B:V,18,FALSE)=0/1/1900,"",VLOOKUP(A831,'ECN-ECO_DATA'!B:V,18,FALSE))),"")</f>
        <v/>
      </c>
      <c r="N831" s="9" t="str">
        <f>IFERROR((IF(VLOOKUP(A831,'ECN-ECO_DATA'!B:V,19,FALSE)=0/1/1900,"",VLOOKUP(A831,'ECN-ECO_DATA'!B:V,19,FALSE))),"")</f>
        <v/>
      </c>
      <c r="O831" s="9" t="str">
        <f>IFERROR((IF(VLOOKUP(A831,'ECN-ECO_DATA'!B:V,20,FALSE)=0/1/1900,"",VLOOKUP(A831,'ECN-ECO_DATA'!B:V,20,FALSE))),"")</f>
        <v/>
      </c>
      <c r="P831" s="9" t="str">
        <f>IFERROR((IF(VLOOKUP(A831,'ECN-ECO_DATA'!B:V,21,FALSE)=0/1/1900,"",VLOOKUP(A831,'ECN-ECO_DATA'!B:V,21,FALSE))),"")</f>
        <v/>
      </c>
      <c r="Q831" s="10" t="str">
        <f t="shared" ca="1" si="60"/>
        <v/>
      </c>
      <c r="R831" s="4" t="str">
        <f t="shared" si="61"/>
        <v/>
      </c>
      <c r="S831" s="4" t="str">
        <f t="shared" si="62"/>
        <v/>
      </c>
      <c r="T831" s="4" t="str">
        <f t="shared" si="63"/>
        <v/>
      </c>
      <c r="U831" s="10" t="str">
        <f t="shared" si="64"/>
        <v/>
      </c>
      <c r="V831" s="4"/>
    </row>
    <row r="832" spans="2:22" x14ac:dyDescent="0.25">
      <c r="B832" s="4" t="str">
        <f>IFERROR(VLOOKUP(A832,'ECN-ECO_DATA'!B:G,4,FALSE),"")</f>
        <v/>
      </c>
      <c r="C832" s="9" t="str">
        <f>IFERROR(VLOOKUP(A832,'ECN-ECO_DATA'!B:G,5,FALSE),"")</f>
        <v/>
      </c>
      <c r="D832" s="9" t="str">
        <f ca="1">IFERROR((IF(VLOOKUP(A832,'ECN-ECO_DATA'!B:G,6,FALSE)=0/1/1900,TODAY(),VLOOKUP(A832,'ECN-ECO_DATA'!B:G,6,FALSE))),"")</f>
        <v/>
      </c>
      <c r="E832" s="9" t="str">
        <f>IFERROR((IF(VLOOKUP(A832,'ECN-ECO_DATA'!B:G,6,FALSE)=0/1/1900,"",VLOOKUP(A832,'ECN-ECO_DATA'!B:G,6,FALSE))),"")</f>
        <v/>
      </c>
      <c r="F832" s="9" t="str">
        <f>IFERROR((IF(VLOOKUP(A832,'ECN-ECO_DATA'!B:J,7,FALSE)=0/1/1900,"",VLOOKUP(A832,'ECN-ECO_DATA'!B:J,7,FALSE))),"")</f>
        <v/>
      </c>
      <c r="G832" s="9" t="str">
        <f>IFERROR((IF(VLOOKUP(A832,'ECN-ECO_DATA'!B:J,8,FALSE)=0/1/1900,"",VLOOKUP(A832,'ECN-ECO_DATA'!B:J,8,FALSE))),"")</f>
        <v/>
      </c>
      <c r="H832" s="9" t="str">
        <f>IFERROR((IF(VLOOKUP(A832,'ECN-ECO_DATA'!B:J,9,FALSE)=0/1/1900,"",VLOOKUP(A832,'ECN-ECO_DATA'!B:J,9,FALSE))),"")</f>
        <v/>
      </c>
      <c r="I832" s="10" t="str">
        <f>IFERROR((IF(VLOOKUP(A832,'ECN-ECO_DATA'!B:Q,13,FALSE)="","",VLOOKUP(A832,'ECN-ECO_DATA'!B:Q,13,FALSE))),"")</f>
        <v/>
      </c>
      <c r="J832" s="10" t="str">
        <f>IFERROR((IF(VLOOKUP(A832,'ECN-ECO_DATA'!B:Q,14,FALSE)="","",VLOOKUP(A832,'ECN-ECO_DATA'!B:Q,14,FALSE))),"")</f>
        <v/>
      </c>
      <c r="K832" s="10" t="str">
        <f>IFERROR((IF(VLOOKUP(A832,'ECN-ECO_DATA'!B:Q,15,FALSE)="","",VLOOKUP(A832,'ECN-ECO_DATA'!B:Q,15,FALSE))),"")</f>
        <v/>
      </c>
      <c r="L832" s="10" t="str">
        <f>IFERROR((IF(VLOOKUP(A832,'ECN-ECO_DATA'!B:Q,16,FALSE)="","",VLOOKUP(A832,'ECN-ECO_DATA'!B:Q,16,FALSE))),"")</f>
        <v/>
      </c>
      <c r="M832" s="9" t="str">
        <f>IFERROR((IF(VLOOKUP(A832,'ECN-ECO_DATA'!B:V,18,FALSE)=0/1/1900,"",VLOOKUP(A832,'ECN-ECO_DATA'!B:V,18,FALSE))),"")</f>
        <v/>
      </c>
      <c r="N832" s="9" t="str">
        <f>IFERROR((IF(VLOOKUP(A832,'ECN-ECO_DATA'!B:V,19,FALSE)=0/1/1900,"",VLOOKUP(A832,'ECN-ECO_DATA'!B:V,19,FALSE))),"")</f>
        <v/>
      </c>
      <c r="O832" s="9" t="str">
        <f>IFERROR((IF(VLOOKUP(A832,'ECN-ECO_DATA'!B:V,20,FALSE)=0/1/1900,"",VLOOKUP(A832,'ECN-ECO_DATA'!B:V,20,FALSE))),"")</f>
        <v/>
      </c>
      <c r="P832" s="9" t="str">
        <f>IFERROR((IF(VLOOKUP(A832,'ECN-ECO_DATA'!B:V,21,FALSE)=0/1/1900,"",VLOOKUP(A832,'ECN-ECO_DATA'!B:V,21,FALSE))),"")</f>
        <v/>
      </c>
      <c r="Q832" s="10" t="str">
        <f t="shared" ca="1" si="60"/>
        <v/>
      </c>
      <c r="R832" s="4" t="str">
        <f t="shared" si="61"/>
        <v/>
      </c>
      <c r="S832" s="4" t="str">
        <f t="shared" si="62"/>
        <v/>
      </c>
      <c r="T832" s="4" t="str">
        <f t="shared" si="63"/>
        <v/>
      </c>
      <c r="U832" s="10" t="str">
        <f t="shared" si="64"/>
        <v/>
      </c>
      <c r="V832" s="4"/>
    </row>
    <row r="833" spans="2:22" x14ac:dyDescent="0.25">
      <c r="B833" s="4" t="str">
        <f>IFERROR(VLOOKUP(A833,'ECN-ECO_DATA'!B:G,4,FALSE),"")</f>
        <v/>
      </c>
      <c r="C833" s="9" t="str">
        <f>IFERROR(VLOOKUP(A833,'ECN-ECO_DATA'!B:G,5,FALSE),"")</f>
        <v/>
      </c>
      <c r="D833" s="9" t="str">
        <f ca="1">IFERROR((IF(VLOOKUP(A833,'ECN-ECO_DATA'!B:G,6,FALSE)=0/1/1900,TODAY(),VLOOKUP(A833,'ECN-ECO_DATA'!B:G,6,FALSE))),"")</f>
        <v/>
      </c>
      <c r="E833" s="9" t="str">
        <f>IFERROR((IF(VLOOKUP(A833,'ECN-ECO_DATA'!B:G,6,FALSE)=0/1/1900,"",VLOOKUP(A833,'ECN-ECO_DATA'!B:G,6,FALSE))),"")</f>
        <v/>
      </c>
      <c r="F833" s="9" t="str">
        <f>IFERROR((IF(VLOOKUP(A833,'ECN-ECO_DATA'!B:J,7,FALSE)=0/1/1900,"",VLOOKUP(A833,'ECN-ECO_DATA'!B:J,7,FALSE))),"")</f>
        <v/>
      </c>
      <c r="G833" s="9" t="str">
        <f>IFERROR((IF(VLOOKUP(A833,'ECN-ECO_DATA'!B:J,8,FALSE)=0/1/1900,"",VLOOKUP(A833,'ECN-ECO_DATA'!B:J,8,FALSE))),"")</f>
        <v/>
      </c>
      <c r="H833" s="9" t="str">
        <f>IFERROR((IF(VLOOKUP(A833,'ECN-ECO_DATA'!B:J,9,FALSE)=0/1/1900,"",VLOOKUP(A833,'ECN-ECO_DATA'!B:J,9,FALSE))),"")</f>
        <v/>
      </c>
      <c r="I833" s="10" t="str">
        <f>IFERROR((IF(VLOOKUP(A833,'ECN-ECO_DATA'!B:Q,13,FALSE)="","",VLOOKUP(A833,'ECN-ECO_DATA'!B:Q,13,FALSE))),"")</f>
        <v/>
      </c>
      <c r="J833" s="10" t="str">
        <f>IFERROR((IF(VLOOKUP(A833,'ECN-ECO_DATA'!B:Q,14,FALSE)="","",VLOOKUP(A833,'ECN-ECO_DATA'!B:Q,14,FALSE))),"")</f>
        <v/>
      </c>
      <c r="K833" s="10" t="str">
        <f>IFERROR((IF(VLOOKUP(A833,'ECN-ECO_DATA'!B:Q,15,FALSE)="","",VLOOKUP(A833,'ECN-ECO_DATA'!B:Q,15,FALSE))),"")</f>
        <v/>
      </c>
      <c r="L833" s="10" t="str">
        <f>IFERROR((IF(VLOOKUP(A833,'ECN-ECO_DATA'!B:Q,16,FALSE)="","",VLOOKUP(A833,'ECN-ECO_DATA'!B:Q,16,FALSE))),"")</f>
        <v/>
      </c>
      <c r="M833" s="9" t="str">
        <f>IFERROR((IF(VLOOKUP(A833,'ECN-ECO_DATA'!B:V,18,FALSE)=0/1/1900,"",VLOOKUP(A833,'ECN-ECO_DATA'!B:V,18,FALSE))),"")</f>
        <v/>
      </c>
      <c r="N833" s="9" t="str">
        <f>IFERROR((IF(VLOOKUP(A833,'ECN-ECO_DATA'!B:V,19,FALSE)=0/1/1900,"",VLOOKUP(A833,'ECN-ECO_DATA'!B:V,19,FALSE))),"")</f>
        <v/>
      </c>
      <c r="O833" s="9" t="str">
        <f>IFERROR((IF(VLOOKUP(A833,'ECN-ECO_DATA'!B:V,20,FALSE)=0/1/1900,"",VLOOKUP(A833,'ECN-ECO_DATA'!B:V,20,FALSE))),"")</f>
        <v/>
      </c>
      <c r="P833" s="9" t="str">
        <f>IFERROR((IF(VLOOKUP(A833,'ECN-ECO_DATA'!B:V,21,FALSE)=0/1/1900,"",VLOOKUP(A833,'ECN-ECO_DATA'!B:V,21,FALSE))),"")</f>
        <v/>
      </c>
      <c r="Q833" s="10" t="str">
        <f t="shared" ca="1" si="60"/>
        <v/>
      </c>
      <c r="R833" s="4" t="str">
        <f t="shared" si="61"/>
        <v/>
      </c>
      <c r="S833" s="4" t="str">
        <f t="shared" si="62"/>
        <v/>
      </c>
      <c r="T833" s="4" t="str">
        <f t="shared" si="63"/>
        <v/>
      </c>
      <c r="U833" s="10" t="str">
        <f t="shared" si="64"/>
        <v/>
      </c>
      <c r="V833" s="4"/>
    </row>
    <row r="834" spans="2:22" x14ac:dyDescent="0.25">
      <c r="B834" s="4" t="str">
        <f>IFERROR(VLOOKUP(A834,'ECN-ECO_DATA'!B:G,4,FALSE),"")</f>
        <v/>
      </c>
      <c r="C834" s="9" t="str">
        <f>IFERROR(VLOOKUP(A834,'ECN-ECO_DATA'!B:G,5,FALSE),"")</f>
        <v/>
      </c>
      <c r="D834" s="9" t="str">
        <f ca="1">IFERROR((IF(VLOOKUP(A834,'ECN-ECO_DATA'!B:G,6,FALSE)=0/1/1900,TODAY(),VLOOKUP(A834,'ECN-ECO_DATA'!B:G,6,FALSE))),"")</f>
        <v/>
      </c>
      <c r="E834" s="9" t="str">
        <f>IFERROR((IF(VLOOKUP(A834,'ECN-ECO_DATA'!B:G,6,FALSE)=0/1/1900,"",VLOOKUP(A834,'ECN-ECO_DATA'!B:G,6,FALSE))),"")</f>
        <v/>
      </c>
      <c r="F834" s="9" t="str">
        <f>IFERROR((IF(VLOOKUP(A834,'ECN-ECO_DATA'!B:J,7,FALSE)=0/1/1900,"",VLOOKUP(A834,'ECN-ECO_DATA'!B:J,7,FALSE))),"")</f>
        <v/>
      </c>
      <c r="G834" s="9" t="str">
        <f>IFERROR((IF(VLOOKUP(A834,'ECN-ECO_DATA'!B:J,8,FALSE)=0/1/1900,"",VLOOKUP(A834,'ECN-ECO_DATA'!B:J,8,FALSE))),"")</f>
        <v/>
      </c>
      <c r="H834" s="9" t="str">
        <f>IFERROR((IF(VLOOKUP(A834,'ECN-ECO_DATA'!B:J,9,FALSE)=0/1/1900,"",VLOOKUP(A834,'ECN-ECO_DATA'!B:J,9,FALSE))),"")</f>
        <v/>
      </c>
      <c r="I834" s="10" t="str">
        <f>IFERROR((IF(VLOOKUP(A834,'ECN-ECO_DATA'!B:Q,13,FALSE)="","",VLOOKUP(A834,'ECN-ECO_DATA'!B:Q,13,FALSE))),"")</f>
        <v/>
      </c>
      <c r="J834" s="10" t="str">
        <f>IFERROR((IF(VLOOKUP(A834,'ECN-ECO_DATA'!B:Q,14,FALSE)="","",VLOOKUP(A834,'ECN-ECO_DATA'!B:Q,14,FALSE))),"")</f>
        <v/>
      </c>
      <c r="K834" s="10" t="str">
        <f>IFERROR((IF(VLOOKUP(A834,'ECN-ECO_DATA'!B:Q,15,FALSE)="","",VLOOKUP(A834,'ECN-ECO_DATA'!B:Q,15,FALSE))),"")</f>
        <v/>
      </c>
      <c r="L834" s="10" t="str">
        <f>IFERROR((IF(VLOOKUP(A834,'ECN-ECO_DATA'!B:Q,16,FALSE)="","",VLOOKUP(A834,'ECN-ECO_DATA'!B:Q,16,FALSE))),"")</f>
        <v/>
      </c>
      <c r="M834" s="9" t="str">
        <f>IFERROR((IF(VLOOKUP(A834,'ECN-ECO_DATA'!B:V,18,FALSE)=0/1/1900,"",VLOOKUP(A834,'ECN-ECO_DATA'!B:V,18,FALSE))),"")</f>
        <v/>
      </c>
      <c r="N834" s="9" t="str">
        <f>IFERROR((IF(VLOOKUP(A834,'ECN-ECO_DATA'!B:V,19,FALSE)=0/1/1900,"",VLOOKUP(A834,'ECN-ECO_DATA'!B:V,19,FALSE))),"")</f>
        <v/>
      </c>
      <c r="O834" s="9" t="str">
        <f>IFERROR((IF(VLOOKUP(A834,'ECN-ECO_DATA'!B:V,20,FALSE)=0/1/1900,"",VLOOKUP(A834,'ECN-ECO_DATA'!B:V,20,FALSE))),"")</f>
        <v/>
      </c>
      <c r="P834" s="9" t="str">
        <f>IFERROR((IF(VLOOKUP(A834,'ECN-ECO_DATA'!B:V,21,FALSE)=0/1/1900,"",VLOOKUP(A834,'ECN-ECO_DATA'!B:V,21,FALSE))),"")</f>
        <v/>
      </c>
      <c r="Q834" s="10" t="str">
        <f t="shared" ca="1" si="60"/>
        <v/>
      </c>
      <c r="R834" s="4" t="str">
        <f t="shared" si="61"/>
        <v/>
      </c>
      <c r="S834" s="4" t="str">
        <f t="shared" si="62"/>
        <v/>
      </c>
      <c r="T834" s="4" t="str">
        <f t="shared" si="63"/>
        <v/>
      </c>
      <c r="U834" s="10" t="str">
        <f t="shared" si="64"/>
        <v/>
      </c>
      <c r="V834" s="4"/>
    </row>
    <row r="835" spans="2:22" x14ac:dyDescent="0.25">
      <c r="B835" s="4" t="str">
        <f>IFERROR(VLOOKUP(A835,'ECN-ECO_DATA'!B:G,4,FALSE),"")</f>
        <v/>
      </c>
      <c r="C835" s="9" t="str">
        <f>IFERROR(VLOOKUP(A835,'ECN-ECO_DATA'!B:G,5,FALSE),"")</f>
        <v/>
      </c>
      <c r="D835" s="9" t="str">
        <f ca="1">IFERROR((IF(VLOOKUP(A835,'ECN-ECO_DATA'!B:G,6,FALSE)=0/1/1900,TODAY(),VLOOKUP(A835,'ECN-ECO_DATA'!B:G,6,FALSE))),"")</f>
        <v/>
      </c>
      <c r="E835" s="9" t="str">
        <f>IFERROR((IF(VLOOKUP(A835,'ECN-ECO_DATA'!B:G,6,FALSE)=0/1/1900,"",VLOOKUP(A835,'ECN-ECO_DATA'!B:G,6,FALSE))),"")</f>
        <v/>
      </c>
      <c r="F835" s="9" t="str">
        <f>IFERROR((IF(VLOOKUP(A835,'ECN-ECO_DATA'!B:J,7,FALSE)=0/1/1900,"",VLOOKUP(A835,'ECN-ECO_DATA'!B:J,7,FALSE))),"")</f>
        <v/>
      </c>
      <c r="G835" s="9" t="str">
        <f>IFERROR((IF(VLOOKUP(A835,'ECN-ECO_DATA'!B:J,8,FALSE)=0/1/1900,"",VLOOKUP(A835,'ECN-ECO_DATA'!B:J,8,FALSE))),"")</f>
        <v/>
      </c>
      <c r="H835" s="9" t="str">
        <f>IFERROR((IF(VLOOKUP(A835,'ECN-ECO_DATA'!B:J,9,FALSE)=0/1/1900,"",VLOOKUP(A835,'ECN-ECO_DATA'!B:J,9,FALSE))),"")</f>
        <v/>
      </c>
      <c r="I835" s="10" t="str">
        <f>IFERROR((IF(VLOOKUP(A835,'ECN-ECO_DATA'!B:Q,13,FALSE)="","",VLOOKUP(A835,'ECN-ECO_DATA'!B:Q,13,FALSE))),"")</f>
        <v/>
      </c>
      <c r="J835" s="10" t="str">
        <f>IFERROR((IF(VLOOKUP(A835,'ECN-ECO_DATA'!B:Q,14,FALSE)="","",VLOOKUP(A835,'ECN-ECO_DATA'!B:Q,14,FALSE))),"")</f>
        <v/>
      </c>
      <c r="K835" s="10" t="str">
        <f>IFERROR((IF(VLOOKUP(A835,'ECN-ECO_DATA'!B:Q,15,FALSE)="","",VLOOKUP(A835,'ECN-ECO_DATA'!B:Q,15,FALSE))),"")</f>
        <v/>
      </c>
      <c r="L835" s="10" t="str">
        <f>IFERROR((IF(VLOOKUP(A835,'ECN-ECO_DATA'!B:Q,16,FALSE)="","",VLOOKUP(A835,'ECN-ECO_DATA'!B:Q,16,FALSE))),"")</f>
        <v/>
      </c>
      <c r="M835" s="9" t="str">
        <f>IFERROR((IF(VLOOKUP(A835,'ECN-ECO_DATA'!B:V,18,FALSE)=0/1/1900,"",VLOOKUP(A835,'ECN-ECO_DATA'!B:V,18,FALSE))),"")</f>
        <v/>
      </c>
      <c r="N835" s="9" t="str">
        <f>IFERROR((IF(VLOOKUP(A835,'ECN-ECO_DATA'!B:V,19,FALSE)=0/1/1900,"",VLOOKUP(A835,'ECN-ECO_DATA'!B:V,19,FALSE))),"")</f>
        <v/>
      </c>
      <c r="O835" s="9" t="str">
        <f>IFERROR((IF(VLOOKUP(A835,'ECN-ECO_DATA'!B:V,20,FALSE)=0/1/1900,"",VLOOKUP(A835,'ECN-ECO_DATA'!B:V,20,FALSE))),"")</f>
        <v/>
      </c>
      <c r="P835" s="9" t="str">
        <f>IFERROR((IF(VLOOKUP(A835,'ECN-ECO_DATA'!B:V,21,FALSE)=0/1/1900,"",VLOOKUP(A835,'ECN-ECO_DATA'!B:V,21,FALSE))),"")</f>
        <v/>
      </c>
      <c r="Q835" s="10" t="str">
        <f t="shared" ref="Q835:Q898" ca="1" si="65">IFERROR(D835-C835,"")</f>
        <v/>
      </c>
      <c r="R835" s="4" t="str">
        <f t="shared" ref="R835:R898" si="66">IFERROR(H835-E835,"")</f>
        <v/>
      </c>
      <c r="S835" s="4" t="str">
        <f t="shared" ref="S835:S898" si="67">IFERROR(N835-H835,"")</f>
        <v/>
      </c>
      <c r="T835" s="4" t="str">
        <f t="shared" ref="T835:T898" si="68">IFERROR(O835-N835,"")</f>
        <v/>
      </c>
      <c r="U835" s="10" t="str">
        <f t="shared" ref="U835:U898" si="69">IF(O835="","",IF(SUM(Q835:T835)=0,"",SUM(Q835:T835)))</f>
        <v/>
      </c>
      <c r="V835" s="4"/>
    </row>
    <row r="836" spans="2:22" x14ac:dyDescent="0.25">
      <c r="B836" s="4" t="str">
        <f>IFERROR(VLOOKUP(A836,'ECN-ECO_DATA'!B:G,4,FALSE),"")</f>
        <v/>
      </c>
      <c r="C836" s="9" t="str">
        <f>IFERROR(VLOOKUP(A836,'ECN-ECO_DATA'!B:G,5,FALSE),"")</f>
        <v/>
      </c>
      <c r="D836" s="9" t="str">
        <f ca="1">IFERROR((IF(VLOOKUP(A836,'ECN-ECO_DATA'!B:G,6,FALSE)=0/1/1900,TODAY(),VLOOKUP(A836,'ECN-ECO_DATA'!B:G,6,FALSE))),"")</f>
        <v/>
      </c>
      <c r="E836" s="9" t="str">
        <f>IFERROR((IF(VLOOKUP(A836,'ECN-ECO_DATA'!B:G,6,FALSE)=0/1/1900,"",VLOOKUP(A836,'ECN-ECO_DATA'!B:G,6,FALSE))),"")</f>
        <v/>
      </c>
      <c r="F836" s="9" t="str">
        <f>IFERROR((IF(VLOOKUP(A836,'ECN-ECO_DATA'!B:J,7,FALSE)=0/1/1900,"",VLOOKUP(A836,'ECN-ECO_DATA'!B:J,7,FALSE))),"")</f>
        <v/>
      </c>
      <c r="G836" s="9" t="str">
        <f>IFERROR((IF(VLOOKUP(A836,'ECN-ECO_DATA'!B:J,8,FALSE)=0/1/1900,"",VLOOKUP(A836,'ECN-ECO_DATA'!B:J,8,FALSE))),"")</f>
        <v/>
      </c>
      <c r="H836" s="9" t="str">
        <f>IFERROR((IF(VLOOKUP(A836,'ECN-ECO_DATA'!B:J,9,FALSE)=0/1/1900,"",VLOOKUP(A836,'ECN-ECO_DATA'!B:J,9,FALSE))),"")</f>
        <v/>
      </c>
      <c r="I836" s="10" t="str">
        <f>IFERROR((IF(VLOOKUP(A836,'ECN-ECO_DATA'!B:Q,13,FALSE)="","",VLOOKUP(A836,'ECN-ECO_DATA'!B:Q,13,FALSE))),"")</f>
        <v/>
      </c>
      <c r="J836" s="10" t="str">
        <f>IFERROR((IF(VLOOKUP(A836,'ECN-ECO_DATA'!B:Q,14,FALSE)="","",VLOOKUP(A836,'ECN-ECO_DATA'!B:Q,14,FALSE))),"")</f>
        <v/>
      </c>
      <c r="K836" s="10" t="str">
        <f>IFERROR((IF(VLOOKUP(A836,'ECN-ECO_DATA'!B:Q,15,FALSE)="","",VLOOKUP(A836,'ECN-ECO_DATA'!B:Q,15,FALSE))),"")</f>
        <v/>
      </c>
      <c r="L836" s="10" t="str">
        <f>IFERROR((IF(VLOOKUP(A836,'ECN-ECO_DATA'!B:Q,16,FALSE)="","",VLOOKUP(A836,'ECN-ECO_DATA'!B:Q,16,FALSE))),"")</f>
        <v/>
      </c>
      <c r="M836" s="9" t="str">
        <f>IFERROR((IF(VLOOKUP(A836,'ECN-ECO_DATA'!B:V,18,FALSE)=0/1/1900,"",VLOOKUP(A836,'ECN-ECO_DATA'!B:V,18,FALSE))),"")</f>
        <v/>
      </c>
      <c r="N836" s="9" t="str">
        <f>IFERROR((IF(VLOOKUP(A836,'ECN-ECO_DATA'!B:V,19,FALSE)=0/1/1900,"",VLOOKUP(A836,'ECN-ECO_DATA'!B:V,19,FALSE))),"")</f>
        <v/>
      </c>
      <c r="O836" s="9" t="str">
        <f>IFERROR((IF(VLOOKUP(A836,'ECN-ECO_DATA'!B:V,20,FALSE)=0/1/1900,"",VLOOKUP(A836,'ECN-ECO_DATA'!B:V,20,FALSE))),"")</f>
        <v/>
      </c>
      <c r="P836" s="9" t="str">
        <f>IFERROR((IF(VLOOKUP(A836,'ECN-ECO_DATA'!B:V,21,FALSE)=0/1/1900,"",VLOOKUP(A836,'ECN-ECO_DATA'!B:V,21,FALSE))),"")</f>
        <v/>
      </c>
      <c r="Q836" s="10" t="str">
        <f t="shared" ca="1" si="65"/>
        <v/>
      </c>
      <c r="R836" s="4" t="str">
        <f t="shared" si="66"/>
        <v/>
      </c>
      <c r="S836" s="4" t="str">
        <f t="shared" si="67"/>
        <v/>
      </c>
      <c r="T836" s="4" t="str">
        <f t="shared" si="68"/>
        <v/>
      </c>
      <c r="U836" s="10" t="str">
        <f t="shared" si="69"/>
        <v/>
      </c>
      <c r="V836" s="4"/>
    </row>
    <row r="837" spans="2:22" x14ac:dyDescent="0.25">
      <c r="B837" s="4" t="str">
        <f>IFERROR(VLOOKUP(A837,'ECN-ECO_DATA'!B:G,4,FALSE),"")</f>
        <v/>
      </c>
      <c r="C837" s="9" t="str">
        <f>IFERROR(VLOOKUP(A837,'ECN-ECO_DATA'!B:G,5,FALSE),"")</f>
        <v/>
      </c>
      <c r="D837" s="9" t="str">
        <f ca="1">IFERROR((IF(VLOOKUP(A837,'ECN-ECO_DATA'!B:G,6,FALSE)=0/1/1900,TODAY(),VLOOKUP(A837,'ECN-ECO_DATA'!B:G,6,FALSE))),"")</f>
        <v/>
      </c>
      <c r="E837" s="9" t="str">
        <f>IFERROR((IF(VLOOKUP(A837,'ECN-ECO_DATA'!B:G,6,FALSE)=0/1/1900,"",VLOOKUP(A837,'ECN-ECO_DATA'!B:G,6,FALSE))),"")</f>
        <v/>
      </c>
      <c r="F837" s="9" t="str">
        <f>IFERROR((IF(VLOOKUP(A837,'ECN-ECO_DATA'!B:J,7,FALSE)=0/1/1900,"",VLOOKUP(A837,'ECN-ECO_DATA'!B:J,7,FALSE))),"")</f>
        <v/>
      </c>
      <c r="G837" s="9" t="str">
        <f>IFERROR((IF(VLOOKUP(A837,'ECN-ECO_DATA'!B:J,8,FALSE)=0/1/1900,"",VLOOKUP(A837,'ECN-ECO_DATA'!B:J,8,FALSE))),"")</f>
        <v/>
      </c>
      <c r="H837" s="9" t="str">
        <f>IFERROR((IF(VLOOKUP(A837,'ECN-ECO_DATA'!B:J,9,FALSE)=0/1/1900,"",VLOOKUP(A837,'ECN-ECO_DATA'!B:J,9,FALSE))),"")</f>
        <v/>
      </c>
      <c r="I837" s="10" t="str">
        <f>IFERROR((IF(VLOOKUP(A837,'ECN-ECO_DATA'!B:Q,13,FALSE)="","",VLOOKUP(A837,'ECN-ECO_DATA'!B:Q,13,FALSE))),"")</f>
        <v/>
      </c>
      <c r="J837" s="10" t="str">
        <f>IFERROR((IF(VLOOKUP(A837,'ECN-ECO_DATA'!B:Q,14,FALSE)="","",VLOOKUP(A837,'ECN-ECO_DATA'!B:Q,14,FALSE))),"")</f>
        <v/>
      </c>
      <c r="K837" s="10" t="str">
        <f>IFERROR((IF(VLOOKUP(A837,'ECN-ECO_DATA'!B:Q,15,FALSE)="","",VLOOKUP(A837,'ECN-ECO_DATA'!B:Q,15,FALSE))),"")</f>
        <v/>
      </c>
      <c r="L837" s="10" t="str">
        <f>IFERROR((IF(VLOOKUP(A837,'ECN-ECO_DATA'!B:Q,16,FALSE)="","",VLOOKUP(A837,'ECN-ECO_DATA'!B:Q,16,FALSE))),"")</f>
        <v/>
      </c>
      <c r="M837" s="9" t="str">
        <f>IFERROR((IF(VLOOKUP(A837,'ECN-ECO_DATA'!B:V,18,FALSE)=0/1/1900,"",VLOOKUP(A837,'ECN-ECO_DATA'!B:V,18,FALSE))),"")</f>
        <v/>
      </c>
      <c r="N837" s="9" t="str">
        <f>IFERROR((IF(VLOOKUP(A837,'ECN-ECO_DATA'!B:V,19,FALSE)=0/1/1900,"",VLOOKUP(A837,'ECN-ECO_DATA'!B:V,19,FALSE))),"")</f>
        <v/>
      </c>
      <c r="O837" s="9" t="str">
        <f>IFERROR((IF(VLOOKUP(A837,'ECN-ECO_DATA'!B:V,20,FALSE)=0/1/1900,"",VLOOKUP(A837,'ECN-ECO_DATA'!B:V,20,FALSE))),"")</f>
        <v/>
      </c>
      <c r="P837" s="9" t="str">
        <f>IFERROR((IF(VLOOKUP(A837,'ECN-ECO_DATA'!B:V,21,FALSE)=0/1/1900,"",VLOOKUP(A837,'ECN-ECO_DATA'!B:V,21,FALSE))),"")</f>
        <v/>
      </c>
      <c r="Q837" s="10" t="str">
        <f t="shared" ca="1" si="65"/>
        <v/>
      </c>
      <c r="R837" s="4" t="str">
        <f t="shared" si="66"/>
        <v/>
      </c>
      <c r="S837" s="4" t="str">
        <f t="shared" si="67"/>
        <v/>
      </c>
      <c r="T837" s="4" t="str">
        <f t="shared" si="68"/>
        <v/>
      </c>
      <c r="U837" s="10" t="str">
        <f t="shared" si="69"/>
        <v/>
      </c>
      <c r="V837" s="4"/>
    </row>
    <row r="838" spans="2:22" x14ac:dyDescent="0.25">
      <c r="B838" s="4" t="str">
        <f>IFERROR(VLOOKUP(A838,'ECN-ECO_DATA'!B:G,4,FALSE),"")</f>
        <v/>
      </c>
      <c r="C838" s="9" t="str">
        <f>IFERROR(VLOOKUP(A838,'ECN-ECO_DATA'!B:G,5,FALSE),"")</f>
        <v/>
      </c>
      <c r="D838" s="9" t="str">
        <f ca="1">IFERROR((IF(VLOOKUP(A838,'ECN-ECO_DATA'!B:G,6,FALSE)=0/1/1900,TODAY(),VLOOKUP(A838,'ECN-ECO_DATA'!B:G,6,FALSE))),"")</f>
        <v/>
      </c>
      <c r="E838" s="9" t="str">
        <f>IFERROR((IF(VLOOKUP(A838,'ECN-ECO_DATA'!B:G,6,FALSE)=0/1/1900,"",VLOOKUP(A838,'ECN-ECO_DATA'!B:G,6,FALSE))),"")</f>
        <v/>
      </c>
      <c r="F838" s="9" t="str">
        <f>IFERROR((IF(VLOOKUP(A838,'ECN-ECO_DATA'!B:J,7,FALSE)=0/1/1900,"",VLOOKUP(A838,'ECN-ECO_DATA'!B:J,7,FALSE))),"")</f>
        <v/>
      </c>
      <c r="G838" s="9" t="str">
        <f>IFERROR((IF(VLOOKUP(A838,'ECN-ECO_DATA'!B:J,8,FALSE)=0/1/1900,"",VLOOKUP(A838,'ECN-ECO_DATA'!B:J,8,FALSE))),"")</f>
        <v/>
      </c>
      <c r="H838" s="9" t="str">
        <f>IFERROR((IF(VLOOKUP(A838,'ECN-ECO_DATA'!B:J,9,FALSE)=0/1/1900,"",VLOOKUP(A838,'ECN-ECO_DATA'!B:J,9,FALSE))),"")</f>
        <v/>
      </c>
      <c r="I838" s="10" t="str">
        <f>IFERROR((IF(VLOOKUP(A838,'ECN-ECO_DATA'!B:Q,13,FALSE)="","",VLOOKUP(A838,'ECN-ECO_DATA'!B:Q,13,FALSE))),"")</f>
        <v/>
      </c>
      <c r="J838" s="10" t="str">
        <f>IFERROR((IF(VLOOKUP(A838,'ECN-ECO_DATA'!B:Q,14,FALSE)="","",VLOOKUP(A838,'ECN-ECO_DATA'!B:Q,14,FALSE))),"")</f>
        <v/>
      </c>
      <c r="K838" s="10" t="str">
        <f>IFERROR((IF(VLOOKUP(A838,'ECN-ECO_DATA'!B:Q,15,FALSE)="","",VLOOKUP(A838,'ECN-ECO_DATA'!B:Q,15,FALSE))),"")</f>
        <v/>
      </c>
      <c r="L838" s="10" t="str">
        <f>IFERROR((IF(VLOOKUP(A838,'ECN-ECO_DATA'!B:Q,16,FALSE)="","",VLOOKUP(A838,'ECN-ECO_DATA'!B:Q,16,FALSE))),"")</f>
        <v/>
      </c>
      <c r="M838" s="9" t="str">
        <f>IFERROR((IF(VLOOKUP(A838,'ECN-ECO_DATA'!B:V,18,FALSE)=0/1/1900,"",VLOOKUP(A838,'ECN-ECO_DATA'!B:V,18,FALSE))),"")</f>
        <v/>
      </c>
      <c r="N838" s="9" t="str">
        <f>IFERROR((IF(VLOOKUP(A838,'ECN-ECO_DATA'!B:V,19,FALSE)=0/1/1900,"",VLOOKUP(A838,'ECN-ECO_DATA'!B:V,19,FALSE))),"")</f>
        <v/>
      </c>
      <c r="O838" s="9" t="str">
        <f>IFERROR((IF(VLOOKUP(A838,'ECN-ECO_DATA'!B:V,20,FALSE)=0/1/1900,"",VLOOKUP(A838,'ECN-ECO_DATA'!B:V,20,FALSE))),"")</f>
        <v/>
      </c>
      <c r="P838" s="9" t="str">
        <f>IFERROR((IF(VLOOKUP(A838,'ECN-ECO_DATA'!B:V,21,FALSE)=0/1/1900,"",VLOOKUP(A838,'ECN-ECO_DATA'!B:V,21,FALSE))),"")</f>
        <v/>
      </c>
      <c r="Q838" s="10" t="str">
        <f t="shared" ca="1" si="65"/>
        <v/>
      </c>
      <c r="R838" s="4" t="str">
        <f t="shared" si="66"/>
        <v/>
      </c>
      <c r="S838" s="4" t="str">
        <f t="shared" si="67"/>
        <v/>
      </c>
      <c r="T838" s="4" t="str">
        <f t="shared" si="68"/>
        <v/>
      </c>
      <c r="U838" s="10" t="str">
        <f t="shared" si="69"/>
        <v/>
      </c>
      <c r="V838" s="4"/>
    </row>
    <row r="839" spans="2:22" x14ac:dyDescent="0.25">
      <c r="B839" s="4" t="str">
        <f>IFERROR(VLOOKUP(A839,'ECN-ECO_DATA'!B:G,4,FALSE),"")</f>
        <v/>
      </c>
      <c r="C839" s="9" t="str">
        <f>IFERROR(VLOOKUP(A839,'ECN-ECO_DATA'!B:G,5,FALSE),"")</f>
        <v/>
      </c>
      <c r="D839" s="9" t="str">
        <f ca="1">IFERROR((IF(VLOOKUP(A839,'ECN-ECO_DATA'!B:G,6,FALSE)=0/1/1900,TODAY(),VLOOKUP(A839,'ECN-ECO_DATA'!B:G,6,FALSE))),"")</f>
        <v/>
      </c>
      <c r="E839" s="9" t="str">
        <f>IFERROR((IF(VLOOKUP(A839,'ECN-ECO_DATA'!B:G,6,FALSE)=0/1/1900,"",VLOOKUP(A839,'ECN-ECO_DATA'!B:G,6,FALSE))),"")</f>
        <v/>
      </c>
      <c r="F839" s="9" t="str">
        <f>IFERROR((IF(VLOOKUP(A839,'ECN-ECO_DATA'!B:J,7,FALSE)=0/1/1900,"",VLOOKUP(A839,'ECN-ECO_DATA'!B:J,7,FALSE))),"")</f>
        <v/>
      </c>
      <c r="G839" s="9" t="str">
        <f>IFERROR((IF(VLOOKUP(A839,'ECN-ECO_DATA'!B:J,8,FALSE)=0/1/1900,"",VLOOKUP(A839,'ECN-ECO_DATA'!B:J,8,FALSE))),"")</f>
        <v/>
      </c>
      <c r="H839" s="9" t="str">
        <f>IFERROR((IF(VLOOKUP(A839,'ECN-ECO_DATA'!B:J,9,FALSE)=0/1/1900,"",VLOOKUP(A839,'ECN-ECO_DATA'!B:J,9,FALSE))),"")</f>
        <v/>
      </c>
      <c r="I839" s="10" t="str">
        <f>IFERROR((IF(VLOOKUP(A839,'ECN-ECO_DATA'!B:Q,13,FALSE)="","",VLOOKUP(A839,'ECN-ECO_DATA'!B:Q,13,FALSE))),"")</f>
        <v/>
      </c>
      <c r="J839" s="10" t="str">
        <f>IFERROR((IF(VLOOKUP(A839,'ECN-ECO_DATA'!B:Q,14,FALSE)="","",VLOOKUP(A839,'ECN-ECO_DATA'!B:Q,14,FALSE))),"")</f>
        <v/>
      </c>
      <c r="K839" s="10" t="str">
        <f>IFERROR((IF(VLOOKUP(A839,'ECN-ECO_DATA'!B:Q,15,FALSE)="","",VLOOKUP(A839,'ECN-ECO_DATA'!B:Q,15,FALSE))),"")</f>
        <v/>
      </c>
      <c r="L839" s="10" t="str">
        <f>IFERROR((IF(VLOOKUP(A839,'ECN-ECO_DATA'!B:Q,16,FALSE)="","",VLOOKUP(A839,'ECN-ECO_DATA'!B:Q,16,FALSE))),"")</f>
        <v/>
      </c>
      <c r="M839" s="9" t="str">
        <f>IFERROR((IF(VLOOKUP(A839,'ECN-ECO_DATA'!B:V,18,FALSE)=0/1/1900,"",VLOOKUP(A839,'ECN-ECO_DATA'!B:V,18,FALSE))),"")</f>
        <v/>
      </c>
      <c r="N839" s="9" t="str">
        <f>IFERROR((IF(VLOOKUP(A839,'ECN-ECO_DATA'!B:V,19,FALSE)=0/1/1900,"",VLOOKUP(A839,'ECN-ECO_DATA'!B:V,19,FALSE))),"")</f>
        <v/>
      </c>
      <c r="O839" s="9" t="str">
        <f>IFERROR((IF(VLOOKUP(A839,'ECN-ECO_DATA'!B:V,20,FALSE)=0/1/1900,"",VLOOKUP(A839,'ECN-ECO_DATA'!B:V,20,FALSE))),"")</f>
        <v/>
      </c>
      <c r="P839" s="9" t="str">
        <f>IFERROR((IF(VLOOKUP(A839,'ECN-ECO_DATA'!B:V,21,FALSE)=0/1/1900,"",VLOOKUP(A839,'ECN-ECO_DATA'!B:V,21,FALSE))),"")</f>
        <v/>
      </c>
      <c r="Q839" s="10" t="str">
        <f t="shared" ca="1" si="65"/>
        <v/>
      </c>
      <c r="R839" s="4" t="str">
        <f t="shared" si="66"/>
        <v/>
      </c>
      <c r="S839" s="4" t="str">
        <f t="shared" si="67"/>
        <v/>
      </c>
      <c r="T839" s="4" t="str">
        <f t="shared" si="68"/>
        <v/>
      </c>
      <c r="U839" s="10" t="str">
        <f t="shared" si="69"/>
        <v/>
      </c>
      <c r="V839" s="4"/>
    </row>
    <row r="840" spans="2:22" x14ac:dyDescent="0.25">
      <c r="B840" s="4" t="str">
        <f>IFERROR(VLOOKUP(A840,'ECN-ECO_DATA'!B:G,4,FALSE),"")</f>
        <v/>
      </c>
      <c r="C840" s="9" t="str">
        <f>IFERROR(VLOOKUP(A840,'ECN-ECO_DATA'!B:G,5,FALSE),"")</f>
        <v/>
      </c>
      <c r="D840" s="9" t="str">
        <f ca="1">IFERROR((IF(VLOOKUP(A840,'ECN-ECO_DATA'!B:G,6,FALSE)=0/1/1900,TODAY(),VLOOKUP(A840,'ECN-ECO_DATA'!B:G,6,FALSE))),"")</f>
        <v/>
      </c>
      <c r="E840" s="9" t="str">
        <f>IFERROR((IF(VLOOKUP(A840,'ECN-ECO_DATA'!B:G,6,FALSE)=0/1/1900,"",VLOOKUP(A840,'ECN-ECO_DATA'!B:G,6,FALSE))),"")</f>
        <v/>
      </c>
      <c r="F840" s="9" t="str">
        <f>IFERROR((IF(VLOOKUP(A840,'ECN-ECO_DATA'!B:J,7,FALSE)=0/1/1900,"",VLOOKUP(A840,'ECN-ECO_DATA'!B:J,7,FALSE))),"")</f>
        <v/>
      </c>
      <c r="G840" s="9" t="str">
        <f>IFERROR((IF(VLOOKUP(A840,'ECN-ECO_DATA'!B:J,8,FALSE)=0/1/1900,"",VLOOKUP(A840,'ECN-ECO_DATA'!B:J,8,FALSE))),"")</f>
        <v/>
      </c>
      <c r="H840" s="9" t="str">
        <f>IFERROR((IF(VLOOKUP(A840,'ECN-ECO_DATA'!B:J,9,FALSE)=0/1/1900,"",VLOOKUP(A840,'ECN-ECO_DATA'!B:J,9,FALSE))),"")</f>
        <v/>
      </c>
      <c r="I840" s="10" t="str">
        <f>IFERROR((IF(VLOOKUP(A840,'ECN-ECO_DATA'!B:Q,13,FALSE)="","",VLOOKUP(A840,'ECN-ECO_DATA'!B:Q,13,FALSE))),"")</f>
        <v/>
      </c>
      <c r="J840" s="10" t="str">
        <f>IFERROR((IF(VLOOKUP(A840,'ECN-ECO_DATA'!B:Q,14,FALSE)="","",VLOOKUP(A840,'ECN-ECO_DATA'!B:Q,14,FALSE))),"")</f>
        <v/>
      </c>
      <c r="K840" s="10" t="str">
        <f>IFERROR((IF(VLOOKUP(A840,'ECN-ECO_DATA'!B:Q,15,FALSE)="","",VLOOKUP(A840,'ECN-ECO_DATA'!B:Q,15,FALSE))),"")</f>
        <v/>
      </c>
      <c r="L840" s="10" t="str">
        <f>IFERROR((IF(VLOOKUP(A840,'ECN-ECO_DATA'!B:Q,16,FALSE)="","",VLOOKUP(A840,'ECN-ECO_DATA'!B:Q,16,FALSE))),"")</f>
        <v/>
      </c>
      <c r="M840" s="9" t="str">
        <f>IFERROR((IF(VLOOKUP(A840,'ECN-ECO_DATA'!B:V,18,FALSE)=0/1/1900,"",VLOOKUP(A840,'ECN-ECO_DATA'!B:V,18,FALSE))),"")</f>
        <v/>
      </c>
      <c r="N840" s="9" t="str">
        <f>IFERROR((IF(VLOOKUP(A840,'ECN-ECO_DATA'!B:V,19,FALSE)=0/1/1900,"",VLOOKUP(A840,'ECN-ECO_DATA'!B:V,19,FALSE))),"")</f>
        <v/>
      </c>
      <c r="O840" s="9" t="str">
        <f>IFERROR((IF(VLOOKUP(A840,'ECN-ECO_DATA'!B:V,20,FALSE)=0/1/1900,"",VLOOKUP(A840,'ECN-ECO_DATA'!B:V,20,FALSE))),"")</f>
        <v/>
      </c>
      <c r="P840" s="9" t="str">
        <f>IFERROR((IF(VLOOKUP(A840,'ECN-ECO_DATA'!B:V,21,FALSE)=0/1/1900,"",VLOOKUP(A840,'ECN-ECO_DATA'!B:V,21,FALSE))),"")</f>
        <v/>
      </c>
      <c r="Q840" s="10" t="str">
        <f t="shared" ca="1" si="65"/>
        <v/>
      </c>
      <c r="R840" s="4" t="str">
        <f t="shared" si="66"/>
        <v/>
      </c>
      <c r="S840" s="4" t="str">
        <f t="shared" si="67"/>
        <v/>
      </c>
      <c r="T840" s="4" t="str">
        <f t="shared" si="68"/>
        <v/>
      </c>
      <c r="U840" s="10" t="str">
        <f t="shared" si="69"/>
        <v/>
      </c>
      <c r="V840" s="4"/>
    </row>
    <row r="841" spans="2:22" x14ac:dyDescent="0.25">
      <c r="B841" s="4" t="str">
        <f>IFERROR(VLOOKUP(A841,'ECN-ECO_DATA'!B:G,4,FALSE),"")</f>
        <v/>
      </c>
      <c r="C841" s="9" t="str">
        <f>IFERROR(VLOOKUP(A841,'ECN-ECO_DATA'!B:G,5,FALSE),"")</f>
        <v/>
      </c>
      <c r="D841" s="9" t="str">
        <f ca="1">IFERROR((IF(VLOOKUP(A841,'ECN-ECO_DATA'!B:G,6,FALSE)=0/1/1900,TODAY(),VLOOKUP(A841,'ECN-ECO_DATA'!B:G,6,FALSE))),"")</f>
        <v/>
      </c>
      <c r="E841" s="9" t="str">
        <f>IFERROR((IF(VLOOKUP(A841,'ECN-ECO_DATA'!B:G,6,FALSE)=0/1/1900,"",VLOOKUP(A841,'ECN-ECO_DATA'!B:G,6,FALSE))),"")</f>
        <v/>
      </c>
      <c r="F841" s="9" t="str">
        <f>IFERROR((IF(VLOOKUP(A841,'ECN-ECO_DATA'!B:J,7,FALSE)=0/1/1900,"",VLOOKUP(A841,'ECN-ECO_DATA'!B:J,7,FALSE))),"")</f>
        <v/>
      </c>
      <c r="G841" s="9" t="str">
        <f>IFERROR((IF(VLOOKUP(A841,'ECN-ECO_DATA'!B:J,8,FALSE)=0/1/1900,"",VLOOKUP(A841,'ECN-ECO_DATA'!B:J,8,FALSE))),"")</f>
        <v/>
      </c>
      <c r="H841" s="9" t="str">
        <f>IFERROR((IF(VLOOKUP(A841,'ECN-ECO_DATA'!B:J,9,FALSE)=0/1/1900,"",VLOOKUP(A841,'ECN-ECO_DATA'!B:J,9,FALSE))),"")</f>
        <v/>
      </c>
      <c r="I841" s="10" t="str">
        <f>IFERROR((IF(VLOOKUP(A841,'ECN-ECO_DATA'!B:Q,13,FALSE)="","",VLOOKUP(A841,'ECN-ECO_DATA'!B:Q,13,FALSE))),"")</f>
        <v/>
      </c>
      <c r="J841" s="10" t="str">
        <f>IFERROR((IF(VLOOKUP(A841,'ECN-ECO_DATA'!B:Q,14,FALSE)="","",VLOOKUP(A841,'ECN-ECO_DATA'!B:Q,14,FALSE))),"")</f>
        <v/>
      </c>
      <c r="K841" s="10" t="str">
        <f>IFERROR((IF(VLOOKUP(A841,'ECN-ECO_DATA'!B:Q,15,FALSE)="","",VLOOKUP(A841,'ECN-ECO_DATA'!B:Q,15,FALSE))),"")</f>
        <v/>
      </c>
      <c r="L841" s="10" t="str">
        <f>IFERROR((IF(VLOOKUP(A841,'ECN-ECO_DATA'!B:Q,16,FALSE)="","",VLOOKUP(A841,'ECN-ECO_DATA'!B:Q,16,FALSE))),"")</f>
        <v/>
      </c>
      <c r="M841" s="9" t="str">
        <f>IFERROR((IF(VLOOKUP(A841,'ECN-ECO_DATA'!B:V,18,FALSE)=0/1/1900,"",VLOOKUP(A841,'ECN-ECO_DATA'!B:V,18,FALSE))),"")</f>
        <v/>
      </c>
      <c r="N841" s="9" t="str">
        <f>IFERROR((IF(VLOOKUP(A841,'ECN-ECO_DATA'!B:V,19,FALSE)=0/1/1900,"",VLOOKUP(A841,'ECN-ECO_DATA'!B:V,19,FALSE))),"")</f>
        <v/>
      </c>
      <c r="O841" s="9" t="str">
        <f>IFERROR((IF(VLOOKUP(A841,'ECN-ECO_DATA'!B:V,20,FALSE)=0/1/1900,"",VLOOKUP(A841,'ECN-ECO_DATA'!B:V,20,FALSE))),"")</f>
        <v/>
      </c>
      <c r="P841" s="9" t="str">
        <f>IFERROR((IF(VLOOKUP(A841,'ECN-ECO_DATA'!B:V,21,FALSE)=0/1/1900,"",VLOOKUP(A841,'ECN-ECO_DATA'!B:V,21,FALSE))),"")</f>
        <v/>
      </c>
      <c r="Q841" s="10" t="str">
        <f t="shared" ca="1" si="65"/>
        <v/>
      </c>
      <c r="R841" s="4" t="str">
        <f t="shared" si="66"/>
        <v/>
      </c>
      <c r="S841" s="4" t="str">
        <f t="shared" si="67"/>
        <v/>
      </c>
      <c r="T841" s="4" t="str">
        <f t="shared" si="68"/>
        <v/>
      </c>
      <c r="U841" s="10" t="str">
        <f t="shared" si="69"/>
        <v/>
      </c>
      <c r="V841" s="4"/>
    </row>
    <row r="842" spans="2:22" x14ac:dyDescent="0.25">
      <c r="B842" s="4" t="str">
        <f>IFERROR(VLOOKUP(A842,'ECN-ECO_DATA'!B:G,4,FALSE),"")</f>
        <v/>
      </c>
      <c r="C842" s="9" t="str">
        <f>IFERROR(VLOOKUP(A842,'ECN-ECO_DATA'!B:G,5,FALSE),"")</f>
        <v/>
      </c>
      <c r="D842" s="9" t="str">
        <f ca="1">IFERROR((IF(VLOOKUP(A842,'ECN-ECO_DATA'!B:G,6,FALSE)=0/1/1900,TODAY(),VLOOKUP(A842,'ECN-ECO_DATA'!B:G,6,FALSE))),"")</f>
        <v/>
      </c>
      <c r="E842" s="9" t="str">
        <f>IFERROR((IF(VLOOKUP(A842,'ECN-ECO_DATA'!B:G,6,FALSE)=0/1/1900,"",VLOOKUP(A842,'ECN-ECO_DATA'!B:G,6,FALSE))),"")</f>
        <v/>
      </c>
      <c r="F842" s="9" t="str">
        <f>IFERROR((IF(VLOOKUP(A842,'ECN-ECO_DATA'!B:J,7,FALSE)=0/1/1900,"",VLOOKUP(A842,'ECN-ECO_DATA'!B:J,7,FALSE))),"")</f>
        <v/>
      </c>
      <c r="G842" s="9" t="str">
        <f>IFERROR((IF(VLOOKUP(A842,'ECN-ECO_DATA'!B:J,8,FALSE)=0/1/1900,"",VLOOKUP(A842,'ECN-ECO_DATA'!B:J,8,FALSE))),"")</f>
        <v/>
      </c>
      <c r="H842" s="9" t="str">
        <f>IFERROR((IF(VLOOKUP(A842,'ECN-ECO_DATA'!B:J,9,FALSE)=0/1/1900,"",VLOOKUP(A842,'ECN-ECO_DATA'!B:J,9,FALSE))),"")</f>
        <v/>
      </c>
      <c r="I842" s="10" t="str">
        <f>IFERROR((IF(VLOOKUP(A842,'ECN-ECO_DATA'!B:Q,13,FALSE)="","",VLOOKUP(A842,'ECN-ECO_DATA'!B:Q,13,FALSE))),"")</f>
        <v/>
      </c>
      <c r="J842" s="10" t="str">
        <f>IFERROR((IF(VLOOKUP(A842,'ECN-ECO_DATA'!B:Q,14,FALSE)="","",VLOOKUP(A842,'ECN-ECO_DATA'!B:Q,14,FALSE))),"")</f>
        <v/>
      </c>
      <c r="K842" s="10" t="str">
        <f>IFERROR((IF(VLOOKUP(A842,'ECN-ECO_DATA'!B:Q,15,FALSE)="","",VLOOKUP(A842,'ECN-ECO_DATA'!B:Q,15,FALSE))),"")</f>
        <v/>
      </c>
      <c r="L842" s="10" t="str">
        <f>IFERROR((IF(VLOOKUP(A842,'ECN-ECO_DATA'!B:Q,16,FALSE)="","",VLOOKUP(A842,'ECN-ECO_DATA'!B:Q,16,FALSE))),"")</f>
        <v/>
      </c>
      <c r="M842" s="9" t="str">
        <f>IFERROR((IF(VLOOKUP(A842,'ECN-ECO_DATA'!B:V,18,FALSE)=0/1/1900,"",VLOOKUP(A842,'ECN-ECO_DATA'!B:V,18,FALSE))),"")</f>
        <v/>
      </c>
      <c r="N842" s="9" t="str">
        <f>IFERROR((IF(VLOOKUP(A842,'ECN-ECO_DATA'!B:V,19,FALSE)=0/1/1900,"",VLOOKUP(A842,'ECN-ECO_DATA'!B:V,19,FALSE))),"")</f>
        <v/>
      </c>
      <c r="O842" s="9" t="str">
        <f>IFERROR((IF(VLOOKUP(A842,'ECN-ECO_DATA'!B:V,20,FALSE)=0/1/1900,"",VLOOKUP(A842,'ECN-ECO_DATA'!B:V,20,FALSE))),"")</f>
        <v/>
      </c>
      <c r="P842" s="9" t="str">
        <f>IFERROR((IF(VLOOKUP(A842,'ECN-ECO_DATA'!B:V,21,FALSE)=0/1/1900,"",VLOOKUP(A842,'ECN-ECO_DATA'!B:V,21,FALSE))),"")</f>
        <v/>
      </c>
      <c r="Q842" s="10" t="str">
        <f t="shared" ca="1" si="65"/>
        <v/>
      </c>
      <c r="R842" s="4" t="str">
        <f t="shared" si="66"/>
        <v/>
      </c>
      <c r="S842" s="4" t="str">
        <f t="shared" si="67"/>
        <v/>
      </c>
      <c r="T842" s="4" t="str">
        <f t="shared" si="68"/>
        <v/>
      </c>
      <c r="U842" s="10" t="str">
        <f t="shared" si="69"/>
        <v/>
      </c>
      <c r="V842" s="4"/>
    </row>
    <row r="843" spans="2:22" x14ac:dyDescent="0.25">
      <c r="B843" s="4" t="str">
        <f>IFERROR(VLOOKUP(A843,'ECN-ECO_DATA'!B:G,4,FALSE),"")</f>
        <v/>
      </c>
      <c r="C843" s="9" t="str">
        <f>IFERROR(VLOOKUP(A843,'ECN-ECO_DATA'!B:G,5,FALSE),"")</f>
        <v/>
      </c>
      <c r="D843" s="9" t="str">
        <f ca="1">IFERROR((IF(VLOOKUP(A843,'ECN-ECO_DATA'!B:G,6,FALSE)=0/1/1900,TODAY(),VLOOKUP(A843,'ECN-ECO_DATA'!B:G,6,FALSE))),"")</f>
        <v/>
      </c>
      <c r="E843" s="9" t="str">
        <f>IFERROR((IF(VLOOKUP(A843,'ECN-ECO_DATA'!B:G,6,FALSE)=0/1/1900,"",VLOOKUP(A843,'ECN-ECO_DATA'!B:G,6,FALSE))),"")</f>
        <v/>
      </c>
      <c r="F843" s="9" t="str">
        <f>IFERROR((IF(VLOOKUP(A843,'ECN-ECO_DATA'!B:J,7,FALSE)=0/1/1900,"",VLOOKUP(A843,'ECN-ECO_DATA'!B:J,7,FALSE))),"")</f>
        <v/>
      </c>
      <c r="G843" s="9" t="str">
        <f>IFERROR((IF(VLOOKUP(A843,'ECN-ECO_DATA'!B:J,8,FALSE)=0/1/1900,"",VLOOKUP(A843,'ECN-ECO_DATA'!B:J,8,FALSE))),"")</f>
        <v/>
      </c>
      <c r="H843" s="9" t="str">
        <f>IFERROR((IF(VLOOKUP(A843,'ECN-ECO_DATA'!B:J,9,FALSE)=0/1/1900,"",VLOOKUP(A843,'ECN-ECO_DATA'!B:J,9,FALSE))),"")</f>
        <v/>
      </c>
      <c r="I843" s="10" t="str">
        <f>IFERROR((IF(VLOOKUP(A843,'ECN-ECO_DATA'!B:Q,13,FALSE)="","",VLOOKUP(A843,'ECN-ECO_DATA'!B:Q,13,FALSE))),"")</f>
        <v/>
      </c>
      <c r="J843" s="10" t="str">
        <f>IFERROR((IF(VLOOKUP(A843,'ECN-ECO_DATA'!B:Q,14,FALSE)="","",VLOOKUP(A843,'ECN-ECO_DATA'!B:Q,14,FALSE))),"")</f>
        <v/>
      </c>
      <c r="K843" s="10" t="str">
        <f>IFERROR((IF(VLOOKUP(A843,'ECN-ECO_DATA'!B:Q,15,FALSE)="","",VLOOKUP(A843,'ECN-ECO_DATA'!B:Q,15,FALSE))),"")</f>
        <v/>
      </c>
      <c r="L843" s="10" t="str">
        <f>IFERROR((IF(VLOOKUP(A843,'ECN-ECO_DATA'!B:Q,16,FALSE)="","",VLOOKUP(A843,'ECN-ECO_DATA'!B:Q,16,FALSE))),"")</f>
        <v/>
      </c>
      <c r="M843" s="9" t="str">
        <f>IFERROR((IF(VLOOKUP(A843,'ECN-ECO_DATA'!B:V,18,FALSE)=0/1/1900,"",VLOOKUP(A843,'ECN-ECO_DATA'!B:V,18,FALSE))),"")</f>
        <v/>
      </c>
      <c r="N843" s="9" t="str">
        <f>IFERROR((IF(VLOOKUP(A843,'ECN-ECO_DATA'!B:V,19,FALSE)=0/1/1900,"",VLOOKUP(A843,'ECN-ECO_DATA'!B:V,19,FALSE))),"")</f>
        <v/>
      </c>
      <c r="O843" s="9" t="str">
        <f>IFERROR((IF(VLOOKUP(A843,'ECN-ECO_DATA'!B:V,20,FALSE)=0/1/1900,"",VLOOKUP(A843,'ECN-ECO_DATA'!B:V,20,FALSE))),"")</f>
        <v/>
      </c>
      <c r="P843" s="9" t="str">
        <f>IFERROR((IF(VLOOKUP(A843,'ECN-ECO_DATA'!B:V,21,FALSE)=0/1/1900,"",VLOOKUP(A843,'ECN-ECO_DATA'!B:V,21,FALSE))),"")</f>
        <v/>
      </c>
      <c r="Q843" s="10" t="str">
        <f t="shared" ca="1" si="65"/>
        <v/>
      </c>
      <c r="R843" s="4" t="str">
        <f t="shared" si="66"/>
        <v/>
      </c>
      <c r="S843" s="4" t="str">
        <f t="shared" si="67"/>
        <v/>
      </c>
      <c r="T843" s="4" t="str">
        <f t="shared" si="68"/>
        <v/>
      </c>
      <c r="U843" s="10" t="str">
        <f t="shared" si="69"/>
        <v/>
      </c>
      <c r="V843" s="4"/>
    </row>
    <row r="844" spans="2:22" x14ac:dyDescent="0.25">
      <c r="B844" s="4" t="str">
        <f>IFERROR(VLOOKUP(A844,'ECN-ECO_DATA'!B:G,4,FALSE),"")</f>
        <v/>
      </c>
      <c r="C844" s="9" t="str">
        <f>IFERROR(VLOOKUP(A844,'ECN-ECO_DATA'!B:G,5,FALSE),"")</f>
        <v/>
      </c>
      <c r="D844" s="9" t="str">
        <f ca="1">IFERROR((IF(VLOOKUP(A844,'ECN-ECO_DATA'!B:G,6,FALSE)=0/1/1900,TODAY(),VLOOKUP(A844,'ECN-ECO_DATA'!B:G,6,FALSE))),"")</f>
        <v/>
      </c>
      <c r="E844" s="9" t="str">
        <f>IFERROR((IF(VLOOKUP(A844,'ECN-ECO_DATA'!B:G,6,FALSE)=0/1/1900,"",VLOOKUP(A844,'ECN-ECO_DATA'!B:G,6,FALSE))),"")</f>
        <v/>
      </c>
      <c r="F844" s="9" t="str">
        <f>IFERROR((IF(VLOOKUP(A844,'ECN-ECO_DATA'!B:J,7,FALSE)=0/1/1900,"",VLOOKUP(A844,'ECN-ECO_DATA'!B:J,7,FALSE))),"")</f>
        <v/>
      </c>
      <c r="G844" s="9" t="str">
        <f>IFERROR((IF(VLOOKUP(A844,'ECN-ECO_DATA'!B:J,8,FALSE)=0/1/1900,"",VLOOKUP(A844,'ECN-ECO_DATA'!B:J,8,FALSE))),"")</f>
        <v/>
      </c>
      <c r="H844" s="9" t="str">
        <f>IFERROR((IF(VLOOKUP(A844,'ECN-ECO_DATA'!B:J,9,FALSE)=0/1/1900,"",VLOOKUP(A844,'ECN-ECO_DATA'!B:J,9,FALSE))),"")</f>
        <v/>
      </c>
      <c r="I844" s="10" t="str">
        <f>IFERROR((IF(VLOOKUP(A844,'ECN-ECO_DATA'!B:Q,13,FALSE)="","",VLOOKUP(A844,'ECN-ECO_DATA'!B:Q,13,FALSE))),"")</f>
        <v/>
      </c>
      <c r="J844" s="10" t="str">
        <f>IFERROR((IF(VLOOKUP(A844,'ECN-ECO_DATA'!B:Q,14,FALSE)="","",VLOOKUP(A844,'ECN-ECO_DATA'!B:Q,14,FALSE))),"")</f>
        <v/>
      </c>
      <c r="K844" s="10" t="str">
        <f>IFERROR((IF(VLOOKUP(A844,'ECN-ECO_DATA'!B:Q,15,FALSE)="","",VLOOKUP(A844,'ECN-ECO_DATA'!B:Q,15,FALSE))),"")</f>
        <v/>
      </c>
      <c r="L844" s="10" t="str">
        <f>IFERROR((IF(VLOOKUP(A844,'ECN-ECO_DATA'!B:Q,16,FALSE)="","",VLOOKUP(A844,'ECN-ECO_DATA'!B:Q,16,FALSE))),"")</f>
        <v/>
      </c>
      <c r="M844" s="9" t="str">
        <f>IFERROR((IF(VLOOKUP(A844,'ECN-ECO_DATA'!B:V,18,FALSE)=0/1/1900,"",VLOOKUP(A844,'ECN-ECO_DATA'!B:V,18,FALSE))),"")</f>
        <v/>
      </c>
      <c r="N844" s="9" t="str">
        <f>IFERROR((IF(VLOOKUP(A844,'ECN-ECO_DATA'!B:V,19,FALSE)=0/1/1900,"",VLOOKUP(A844,'ECN-ECO_DATA'!B:V,19,FALSE))),"")</f>
        <v/>
      </c>
      <c r="O844" s="9" t="str">
        <f>IFERROR((IF(VLOOKUP(A844,'ECN-ECO_DATA'!B:V,20,FALSE)=0/1/1900,"",VLOOKUP(A844,'ECN-ECO_DATA'!B:V,20,FALSE))),"")</f>
        <v/>
      </c>
      <c r="P844" s="9" t="str">
        <f>IFERROR((IF(VLOOKUP(A844,'ECN-ECO_DATA'!B:V,21,FALSE)=0/1/1900,"",VLOOKUP(A844,'ECN-ECO_DATA'!B:V,21,FALSE))),"")</f>
        <v/>
      </c>
      <c r="Q844" s="10" t="str">
        <f t="shared" ca="1" si="65"/>
        <v/>
      </c>
      <c r="R844" s="4" t="str">
        <f t="shared" si="66"/>
        <v/>
      </c>
      <c r="S844" s="4" t="str">
        <f t="shared" si="67"/>
        <v/>
      </c>
      <c r="T844" s="4" t="str">
        <f t="shared" si="68"/>
        <v/>
      </c>
      <c r="U844" s="10" t="str">
        <f t="shared" si="69"/>
        <v/>
      </c>
      <c r="V844" s="4"/>
    </row>
    <row r="845" spans="2:22" x14ac:dyDescent="0.25">
      <c r="B845" s="4" t="str">
        <f>IFERROR(VLOOKUP(A845,'ECN-ECO_DATA'!B:G,4,FALSE),"")</f>
        <v/>
      </c>
      <c r="C845" s="9" t="str">
        <f>IFERROR(VLOOKUP(A845,'ECN-ECO_DATA'!B:G,5,FALSE),"")</f>
        <v/>
      </c>
      <c r="D845" s="9" t="str">
        <f ca="1">IFERROR((IF(VLOOKUP(A845,'ECN-ECO_DATA'!B:G,6,FALSE)=0/1/1900,TODAY(),VLOOKUP(A845,'ECN-ECO_DATA'!B:G,6,FALSE))),"")</f>
        <v/>
      </c>
      <c r="E845" s="9" t="str">
        <f>IFERROR((IF(VLOOKUP(A845,'ECN-ECO_DATA'!B:G,6,FALSE)=0/1/1900,"",VLOOKUP(A845,'ECN-ECO_DATA'!B:G,6,FALSE))),"")</f>
        <v/>
      </c>
      <c r="F845" s="9" t="str">
        <f>IFERROR((IF(VLOOKUP(A845,'ECN-ECO_DATA'!B:J,7,FALSE)=0/1/1900,"",VLOOKUP(A845,'ECN-ECO_DATA'!B:J,7,FALSE))),"")</f>
        <v/>
      </c>
      <c r="G845" s="9" t="str">
        <f>IFERROR((IF(VLOOKUP(A845,'ECN-ECO_DATA'!B:J,8,FALSE)=0/1/1900,"",VLOOKUP(A845,'ECN-ECO_DATA'!B:J,8,FALSE))),"")</f>
        <v/>
      </c>
      <c r="H845" s="9" t="str">
        <f>IFERROR((IF(VLOOKUP(A845,'ECN-ECO_DATA'!B:J,9,FALSE)=0/1/1900,"",VLOOKUP(A845,'ECN-ECO_DATA'!B:J,9,FALSE))),"")</f>
        <v/>
      </c>
      <c r="I845" s="10" t="str">
        <f>IFERROR((IF(VLOOKUP(A845,'ECN-ECO_DATA'!B:Q,13,FALSE)="","",VLOOKUP(A845,'ECN-ECO_DATA'!B:Q,13,FALSE))),"")</f>
        <v/>
      </c>
      <c r="J845" s="10" t="str">
        <f>IFERROR((IF(VLOOKUP(A845,'ECN-ECO_DATA'!B:Q,14,FALSE)="","",VLOOKUP(A845,'ECN-ECO_DATA'!B:Q,14,FALSE))),"")</f>
        <v/>
      </c>
      <c r="K845" s="10" t="str">
        <f>IFERROR((IF(VLOOKUP(A845,'ECN-ECO_DATA'!B:Q,15,FALSE)="","",VLOOKUP(A845,'ECN-ECO_DATA'!B:Q,15,FALSE))),"")</f>
        <v/>
      </c>
      <c r="L845" s="10" t="str">
        <f>IFERROR((IF(VLOOKUP(A845,'ECN-ECO_DATA'!B:Q,16,FALSE)="","",VLOOKUP(A845,'ECN-ECO_DATA'!B:Q,16,FALSE))),"")</f>
        <v/>
      </c>
      <c r="M845" s="9" t="str">
        <f>IFERROR((IF(VLOOKUP(A845,'ECN-ECO_DATA'!B:V,18,FALSE)=0/1/1900,"",VLOOKUP(A845,'ECN-ECO_DATA'!B:V,18,FALSE))),"")</f>
        <v/>
      </c>
      <c r="N845" s="9" t="str">
        <f>IFERROR((IF(VLOOKUP(A845,'ECN-ECO_DATA'!B:V,19,FALSE)=0/1/1900,"",VLOOKUP(A845,'ECN-ECO_DATA'!B:V,19,FALSE))),"")</f>
        <v/>
      </c>
      <c r="O845" s="9" t="str">
        <f>IFERROR((IF(VLOOKUP(A845,'ECN-ECO_DATA'!B:V,20,FALSE)=0/1/1900,"",VLOOKUP(A845,'ECN-ECO_DATA'!B:V,20,FALSE))),"")</f>
        <v/>
      </c>
      <c r="P845" s="9" t="str">
        <f>IFERROR((IF(VLOOKUP(A845,'ECN-ECO_DATA'!B:V,21,FALSE)=0/1/1900,"",VLOOKUP(A845,'ECN-ECO_DATA'!B:V,21,FALSE))),"")</f>
        <v/>
      </c>
      <c r="Q845" s="10" t="str">
        <f t="shared" ca="1" si="65"/>
        <v/>
      </c>
      <c r="R845" s="4" t="str">
        <f t="shared" si="66"/>
        <v/>
      </c>
      <c r="S845" s="4" t="str">
        <f t="shared" si="67"/>
        <v/>
      </c>
      <c r="T845" s="4" t="str">
        <f t="shared" si="68"/>
        <v/>
      </c>
      <c r="U845" s="10" t="str">
        <f t="shared" si="69"/>
        <v/>
      </c>
      <c r="V845" s="4"/>
    </row>
    <row r="846" spans="2:22" x14ac:dyDescent="0.25">
      <c r="B846" s="4" t="str">
        <f>IFERROR(VLOOKUP(A846,'ECN-ECO_DATA'!B:G,4,FALSE),"")</f>
        <v/>
      </c>
      <c r="C846" s="9" t="str">
        <f>IFERROR(VLOOKUP(A846,'ECN-ECO_DATA'!B:G,5,FALSE),"")</f>
        <v/>
      </c>
      <c r="D846" s="9" t="str">
        <f ca="1">IFERROR((IF(VLOOKUP(A846,'ECN-ECO_DATA'!B:G,6,FALSE)=0/1/1900,TODAY(),VLOOKUP(A846,'ECN-ECO_DATA'!B:G,6,FALSE))),"")</f>
        <v/>
      </c>
      <c r="E846" s="9" t="str">
        <f>IFERROR((IF(VLOOKUP(A846,'ECN-ECO_DATA'!B:G,6,FALSE)=0/1/1900,"",VLOOKUP(A846,'ECN-ECO_DATA'!B:G,6,FALSE))),"")</f>
        <v/>
      </c>
      <c r="F846" s="9" t="str">
        <f>IFERROR((IF(VLOOKUP(A846,'ECN-ECO_DATA'!B:J,7,FALSE)=0/1/1900,"",VLOOKUP(A846,'ECN-ECO_DATA'!B:J,7,FALSE))),"")</f>
        <v/>
      </c>
      <c r="G846" s="9" t="str">
        <f>IFERROR((IF(VLOOKUP(A846,'ECN-ECO_DATA'!B:J,8,FALSE)=0/1/1900,"",VLOOKUP(A846,'ECN-ECO_DATA'!B:J,8,FALSE))),"")</f>
        <v/>
      </c>
      <c r="H846" s="9" t="str">
        <f>IFERROR((IF(VLOOKUP(A846,'ECN-ECO_DATA'!B:J,9,FALSE)=0/1/1900,"",VLOOKUP(A846,'ECN-ECO_DATA'!B:J,9,FALSE))),"")</f>
        <v/>
      </c>
      <c r="I846" s="10" t="str">
        <f>IFERROR((IF(VLOOKUP(A846,'ECN-ECO_DATA'!B:Q,13,FALSE)="","",VLOOKUP(A846,'ECN-ECO_DATA'!B:Q,13,FALSE))),"")</f>
        <v/>
      </c>
      <c r="J846" s="10" t="str">
        <f>IFERROR((IF(VLOOKUP(A846,'ECN-ECO_DATA'!B:Q,14,FALSE)="","",VLOOKUP(A846,'ECN-ECO_DATA'!B:Q,14,FALSE))),"")</f>
        <v/>
      </c>
      <c r="K846" s="10" t="str">
        <f>IFERROR((IF(VLOOKUP(A846,'ECN-ECO_DATA'!B:Q,15,FALSE)="","",VLOOKUP(A846,'ECN-ECO_DATA'!B:Q,15,FALSE))),"")</f>
        <v/>
      </c>
      <c r="L846" s="10" t="str">
        <f>IFERROR((IF(VLOOKUP(A846,'ECN-ECO_DATA'!B:Q,16,FALSE)="","",VLOOKUP(A846,'ECN-ECO_DATA'!B:Q,16,FALSE))),"")</f>
        <v/>
      </c>
      <c r="M846" s="9" t="str">
        <f>IFERROR((IF(VLOOKUP(A846,'ECN-ECO_DATA'!B:V,18,FALSE)=0/1/1900,"",VLOOKUP(A846,'ECN-ECO_DATA'!B:V,18,FALSE))),"")</f>
        <v/>
      </c>
      <c r="N846" s="9" t="str">
        <f>IFERROR((IF(VLOOKUP(A846,'ECN-ECO_DATA'!B:V,19,FALSE)=0/1/1900,"",VLOOKUP(A846,'ECN-ECO_DATA'!B:V,19,FALSE))),"")</f>
        <v/>
      </c>
      <c r="O846" s="9" t="str">
        <f>IFERROR((IF(VLOOKUP(A846,'ECN-ECO_DATA'!B:V,20,FALSE)=0/1/1900,"",VLOOKUP(A846,'ECN-ECO_DATA'!B:V,20,FALSE))),"")</f>
        <v/>
      </c>
      <c r="P846" s="9" t="str">
        <f>IFERROR((IF(VLOOKUP(A846,'ECN-ECO_DATA'!B:V,21,FALSE)=0/1/1900,"",VLOOKUP(A846,'ECN-ECO_DATA'!B:V,21,FALSE))),"")</f>
        <v/>
      </c>
      <c r="Q846" s="10" t="str">
        <f t="shared" ca="1" si="65"/>
        <v/>
      </c>
      <c r="R846" s="4" t="str">
        <f t="shared" si="66"/>
        <v/>
      </c>
      <c r="S846" s="4" t="str">
        <f t="shared" si="67"/>
        <v/>
      </c>
      <c r="T846" s="4" t="str">
        <f t="shared" si="68"/>
        <v/>
      </c>
      <c r="U846" s="10" t="str">
        <f t="shared" si="69"/>
        <v/>
      </c>
      <c r="V846" s="4"/>
    </row>
    <row r="847" spans="2:22" x14ac:dyDescent="0.25">
      <c r="B847" s="4" t="str">
        <f>IFERROR(VLOOKUP(A847,'ECN-ECO_DATA'!B:G,4,FALSE),"")</f>
        <v/>
      </c>
      <c r="C847" s="9" t="str">
        <f>IFERROR(VLOOKUP(A847,'ECN-ECO_DATA'!B:G,5,FALSE),"")</f>
        <v/>
      </c>
      <c r="D847" s="9" t="str">
        <f ca="1">IFERROR((IF(VLOOKUP(A847,'ECN-ECO_DATA'!B:G,6,FALSE)=0/1/1900,TODAY(),VLOOKUP(A847,'ECN-ECO_DATA'!B:G,6,FALSE))),"")</f>
        <v/>
      </c>
      <c r="E847" s="9" t="str">
        <f>IFERROR((IF(VLOOKUP(A847,'ECN-ECO_DATA'!B:G,6,FALSE)=0/1/1900,"",VLOOKUP(A847,'ECN-ECO_DATA'!B:G,6,FALSE))),"")</f>
        <v/>
      </c>
      <c r="F847" s="9" t="str">
        <f>IFERROR((IF(VLOOKUP(A847,'ECN-ECO_DATA'!B:J,7,FALSE)=0/1/1900,"",VLOOKUP(A847,'ECN-ECO_DATA'!B:J,7,FALSE))),"")</f>
        <v/>
      </c>
      <c r="G847" s="9" t="str">
        <f>IFERROR((IF(VLOOKUP(A847,'ECN-ECO_DATA'!B:J,8,FALSE)=0/1/1900,"",VLOOKUP(A847,'ECN-ECO_DATA'!B:J,8,FALSE))),"")</f>
        <v/>
      </c>
      <c r="H847" s="9" t="str">
        <f>IFERROR((IF(VLOOKUP(A847,'ECN-ECO_DATA'!B:J,9,FALSE)=0/1/1900,"",VLOOKUP(A847,'ECN-ECO_DATA'!B:J,9,FALSE))),"")</f>
        <v/>
      </c>
      <c r="I847" s="10" t="str">
        <f>IFERROR((IF(VLOOKUP(A847,'ECN-ECO_DATA'!B:Q,13,FALSE)="","",VLOOKUP(A847,'ECN-ECO_DATA'!B:Q,13,FALSE))),"")</f>
        <v/>
      </c>
      <c r="J847" s="10" t="str">
        <f>IFERROR((IF(VLOOKUP(A847,'ECN-ECO_DATA'!B:Q,14,FALSE)="","",VLOOKUP(A847,'ECN-ECO_DATA'!B:Q,14,FALSE))),"")</f>
        <v/>
      </c>
      <c r="K847" s="10" t="str">
        <f>IFERROR((IF(VLOOKUP(A847,'ECN-ECO_DATA'!B:Q,15,FALSE)="","",VLOOKUP(A847,'ECN-ECO_DATA'!B:Q,15,FALSE))),"")</f>
        <v/>
      </c>
      <c r="L847" s="10" t="str">
        <f>IFERROR((IF(VLOOKUP(A847,'ECN-ECO_DATA'!B:Q,16,FALSE)="","",VLOOKUP(A847,'ECN-ECO_DATA'!B:Q,16,FALSE))),"")</f>
        <v/>
      </c>
      <c r="M847" s="9" t="str">
        <f>IFERROR((IF(VLOOKUP(A847,'ECN-ECO_DATA'!B:V,18,FALSE)=0/1/1900,"",VLOOKUP(A847,'ECN-ECO_DATA'!B:V,18,FALSE))),"")</f>
        <v/>
      </c>
      <c r="N847" s="9" t="str">
        <f>IFERROR((IF(VLOOKUP(A847,'ECN-ECO_DATA'!B:V,19,FALSE)=0/1/1900,"",VLOOKUP(A847,'ECN-ECO_DATA'!B:V,19,FALSE))),"")</f>
        <v/>
      </c>
      <c r="O847" s="9" t="str">
        <f>IFERROR((IF(VLOOKUP(A847,'ECN-ECO_DATA'!B:V,20,FALSE)=0/1/1900,"",VLOOKUP(A847,'ECN-ECO_DATA'!B:V,20,FALSE))),"")</f>
        <v/>
      </c>
      <c r="P847" s="9" t="str">
        <f>IFERROR((IF(VLOOKUP(A847,'ECN-ECO_DATA'!B:V,21,FALSE)=0/1/1900,"",VLOOKUP(A847,'ECN-ECO_DATA'!B:V,21,FALSE))),"")</f>
        <v/>
      </c>
      <c r="Q847" s="10" t="str">
        <f t="shared" ca="1" si="65"/>
        <v/>
      </c>
      <c r="R847" s="4" t="str">
        <f t="shared" si="66"/>
        <v/>
      </c>
      <c r="S847" s="4" t="str">
        <f t="shared" si="67"/>
        <v/>
      </c>
      <c r="T847" s="4" t="str">
        <f t="shared" si="68"/>
        <v/>
      </c>
      <c r="U847" s="10" t="str">
        <f t="shared" si="69"/>
        <v/>
      </c>
      <c r="V847" s="4"/>
    </row>
    <row r="848" spans="2:22" x14ac:dyDescent="0.25">
      <c r="B848" s="4" t="str">
        <f>IFERROR(VLOOKUP(A848,'ECN-ECO_DATA'!B:G,4,FALSE),"")</f>
        <v/>
      </c>
      <c r="C848" s="9" t="str">
        <f>IFERROR(VLOOKUP(A848,'ECN-ECO_DATA'!B:G,5,FALSE),"")</f>
        <v/>
      </c>
      <c r="D848" s="9" t="str">
        <f ca="1">IFERROR((IF(VLOOKUP(A848,'ECN-ECO_DATA'!B:G,6,FALSE)=0/1/1900,TODAY(),VLOOKUP(A848,'ECN-ECO_DATA'!B:G,6,FALSE))),"")</f>
        <v/>
      </c>
      <c r="E848" s="9" t="str">
        <f>IFERROR((IF(VLOOKUP(A848,'ECN-ECO_DATA'!B:G,6,FALSE)=0/1/1900,"",VLOOKUP(A848,'ECN-ECO_DATA'!B:G,6,FALSE))),"")</f>
        <v/>
      </c>
      <c r="F848" s="9" t="str">
        <f>IFERROR((IF(VLOOKUP(A848,'ECN-ECO_DATA'!B:J,7,FALSE)=0/1/1900,"",VLOOKUP(A848,'ECN-ECO_DATA'!B:J,7,FALSE))),"")</f>
        <v/>
      </c>
      <c r="G848" s="9" t="str">
        <f>IFERROR((IF(VLOOKUP(A848,'ECN-ECO_DATA'!B:J,8,FALSE)=0/1/1900,"",VLOOKUP(A848,'ECN-ECO_DATA'!B:J,8,FALSE))),"")</f>
        <v/>
      </c>
      <c r="H848" s="9" t="str">
        <f>IFERROR((IF(VLOOKUP(A848,'ECN-ECO_DATA'!B:J,9,FALSE)=0/1/1900,"",VLOOKUP(A848,'ECN-ECO_DATA'!B:J,9,FALSE))),"")</f>
        <v/>
      </c>
      <c r="I848" s="10" t="str">
        <f>IFERROR((IF(VLOOKUP(A848,'ECN-ECO_DATA'!B:Q,13,FALSE)="","",VLOOKUP(A848,'ECN-ECO_DATA'!B:Q,13,FALSE))),"")</f>
        <v/>
      </c>
      <c r="J848" s="10" t="str">
        <f>IFERROR((IF(VLOOKUP(A848,'ECN-ECO_DATA'!B:Q,14,FALSE)="","",VLOOKUP(A848,'ECN-ECO_DATA'!B:Q,14,FALSE))),"")</f>
        <v/>
      </c>
      <c r="K848" s="10" t="str">
        <f>IFERROR((IF(VLOOKUP(A848,'ECN-ECO_DATA'!B:Q,15,FALSE)="","",VLOOKUP(A848,'ECN-ECO_DATA'!B:Q,15,FALSE))),"")</f>
        <v/>
      </c>
      <c r="L848" s="10" t="str">
        <f>IFERROR((IF(VLOOKUP(A848,'ECN-ECO_DATA'!B:Q,16,FALSE)="","",VLOOKUP(A848,'ECN-ECO_DATA'!B:Q,16,FALSE))),"")</f>
        <v/>
      </c>
      <c r="M848" s="9" t="str">
        <f>IFERROR((IF(VLOOKUP(A848,'ECN-ECO_DATA'!B:V,18,FALSE)=0/1/1900,"",VLOOKUP(A848,'ECN-ECO_DATA'!B:V,18,FALSE))),"")</f>
        <v/>
      </c>
      <c r="N848" s="9" t="str">
        <f>IFERROR((IF(VLOOKUP(A848,'ECN-ECO_DATA'!B:V,19,FALSE)=0/1/1900,"",VLOOKUP(A848,'ECN-ECO_DATA'!B:V,19,FALSE))),"")</f>
        <v/>
      </c>
      <c r="O848" s="9" t="str">
        <f>IFERROR((IF(VLOOKUP(A848,'ECN-ECO_DATA'!B:V,20,FALSE)=0/1/1900,"",VLOOKUP(A848,'ECN-ECO_DATA'!B:V,20,FALSE))),"")</f>
        <v/>
      </c>
      <c r="P848" s="9" t="str">
        <f>IFERROR((IF(VLOOKUP(A848,'ECN-ECO_DATA'!B:V,21,FALSE)=0/1/1900,"",VLOOKUP(A848,'ECN-ECO_DATA'!B:V,21,FALSE))),"")</f>
        <v/>
      </c>
      <c r="Q848" s="10" t="str">
        <f t="shared" ca="1" si="65"/>
        <v/>
      </c>
      <c r="R848" s="4" t="str">
        <f t="shared" si="66"/>
        <v/>
      </c>
      <c r="S848" s="4" t="str">
        <f t="shared" si="67"/>
        <v/>
      </c>
      <c r="T848" s="4" t="str">
        <f t="shared" si="68"/>
        <v/>
      </c>
      <c r="U848" s="10" t="str">
        <f t="shared" si="69"/>
        <v/>
      </c>
      <c r="V848" s="4"/>
    </row>
    <row r="849" spans="2:22" x14ac:dyDescent="0.25">
      <c r="B849" s="4" t="str">
        <f>IFERROR(VLOOKUP(A849,'ECN-ECO_DATA'!B:G,4,FALSE),"")</f>
        <v/>
      </c>
      <c r="C849" s="9" t="str">
        <f>IFERROR(VLOOKUP(A849,'ECN-ECO_DATA'!B:G,5,FALSE),"")</f>
        <v/>
      </c>
      <c r="D849" s="9" t="str">
        <f ca="1">IFERROR((IF(VLOOKUP(A849,'ECN-ECO_DATA'!B:G,6,FALSE)=0/1/1900,TODAY(),VLOOKUP(A849,'ECN-ECO_DATA'!B:G,6,FALSE))),"")</f>
        <v/>
      </c>
      <c r="E849" s="9" t="str">
        <f>IFERROR((IF(VLOOKUP(A849,'ECN-ECO_DATA'!B:G,6,FALSE)=0/1/1900,"",VLOOKUP(A849,'ECN-ECO_DATA'!B:G,6,FALSE))),"")</f>
        <v/>
      </c>
      <c r="F849" s="9" t="str">
        <f>IFERROR((IF(VLOOKUP(A849,'ECN-ECO_DATA'!B:J,7,FALSE)=0/1/1900,"",VLOOKUP(A849,'ECN-ECO_DATA'!B:J,7,FALSE))),"")</f>
        <v/>
      </c>
      <c r="G849" s="9" t="str">
        <f>IFERROR((IF(VLOOKUP(A849,'ECN-ECO_DATA'!B:J,8,FALSE)=0/1/1900,"",VLOOKUP(A849,'ECN-ECO_DATA'!B:J,8,FALSE))),"")</f>
        <v/>
      </c>
      <c r="H849" s="9" t="str">
        <f>IFERROR((IF(VLOOKUP(A849,'ECN-ECO_DATA'!B:J,9,FALSE)=0/1/1900,"",VLOOKUP(A849,'ECN-ECO_DATA'!B:J,9,FALSE))),"")</f>
        <v/>
      </c>
      <c r="I849" s="10" t="str">
        <f>IFERROR((IF(VLOOKUP(A849,'ECN-ECO_DATA'!B:Q,13,FALSE)="","",VLOOKUP(A849,'ECN-ECO_DATA'!B:Q,13,FALSE))),"")</f>
        <v/>
      </c>
      <c r="J849" s="10" t="str">
        <f>IFERROR((IF(VLOOKUP(A849,'ECN-ECO_DATA'!B:Q,14,FALSE)="","",VLOOKUP(A849,'ECN-ECO_DATA'!B:Q,14,FALSE))),"")</f>
        <v/>
      </c>
      <c r="K849" s="10" t="str">
        <f>IFERROR((IF(VLOOKUP(A849,'ECN-ECO_DATA'!B:Q,15,FALSE)="","",VLOOKUP(A849,'ECN-ECO_DATA'!B:Q,15,FALSE))),"")</f>
        <v/>
      </c>
      <c r="L849" s="10" t="str">
        <f>IFERROR((IF(VLOOKUP(A849,'ECN-ECO_DATA'!B:Q,16,FALSE)="","",VLOOKUP(A849,'ECN-ECO_DATA'!B:Q,16,FALSE))),"")</f>
        <v/>
      </c>
      <c r="M849" s="9" t="str">
        <f>IFERROR((IF(VLOOKUP(A849,'ECN-ECO_DATA'!B:V,18,FALSE)=0/1/1900,"",VLOOKUP(A849,'ECN-ECO_DATA'!B:V,18,FALSE))),"")</f>
        <v/>
      </c>
      <c r="N849" s="9" t="str">
        <f>IFERROR((IF(VLOOKUP(A849,'ECN-ECO_DATA'!B:V,19,FALSE)=0/1/1900,"",VLOOKUP(A849,'ECN-ECO_DATA'!B:V,19,FALSE))),"")</f>
        <v/>
      </c>
      <c r="O849" s="9" t="str">
        <f>IFERROR((IF(VLOOKUP(A849,'ECN-ECO_DATA'!B:V,20,FALSE)=0/1/1900,"",VLOOKUP(A849,'ECN-ECO_DATA'!B:V,20,FALSE))),"")</f>
        <v/>
      </c>
      <c r="P849" s="9" t="str">
        <f>IFERROR((IF(VLOOKUP(A849,'ECN-ECO_DATA'!B:V,21,FALSE)=0/1/1900,"",VLOOKUP(A849,'ECN-ECO_DATA'!B:V,21,FALSE))),"")</f>
        <v/>
      </c>
      <c r="Q849" s="10" t="str">
        <f t="shared" ca="1" si="65"/>
        <v/>
      </c>
      <c r="R849" s="4" t="str">
        <f t="shared" si="66"/>
        <v/>
      </c>
      <c r="S849" s="4" t="str">
        <f t="shared" si="67"/>
        <v/>
      </c>
      <c r="T849" s="4" t="str">
        <f t="shared" si="68"/>
        <v/>
      </c>
      <c r="U849" s="10" t="str">
        <f t="shared" si="69"/>
        <v/>
      </c>
      <c r="V849" s="4"/>
    </row>
    <row r="850" spans="2:22" x14ac:dyDescent="0.25">
      <c r="B850" s="4" t="str">
        <f>IFERROR(VLOOKUP(A850,'ECN-ECO_DATA'!B:G,4,FALSE),"")</f>
        <v/>
      </c>
      <c r="C850" s="9" t="str">
        <f>IFERROR(VLOOKUP(A850,'ECN-ECO_DATA'!B:G,5,FALSE),"")</f>
        <v/>
      </c>
      <c r="D850" s="9" t="str">
        <f ca="1">IFERROR((IF(VLOOKUP(A850,'ECN-ECO_DATA'!B:G,6,FALSE)=0/1/1900,TODAY(),VLOOKUP(A850,'ECN-ECO_DATA'!B:G,6,FALSE))),"")</f>
        <v/>
      </c>
      <c r="E850" s="9" t="str">
        <f>IFERROR((IF(VLOOKUP(A850,'ECN-ECO_DATA'!B:G,6,FALSE)=0/1/1900,"",VLOOKUP(A850,'ECN-ECO_DATA'!B:G,6,FALSE))),"")</f>
        <v/>
      </c>
      <c r="F850" s="9" t="str">
        <f>IFERROR((IF(VLOOKUP(A850,'ECN-ECO_DATA'!B:J,7,FALSE)=0/1/1900,"",VLOOKUP(A850,'ECN-ECO_DATA'!B:J,7,FALSE))),"")</f>
        <v/>
      </c>
      <c r="G850" s="9" t="str">
        <f>IFERROR((IF(VLOOKUP(A850,'ECN-ECO_DATA'!B:J,8,FALSE)=0/1/1900,"",VLOOKUP(A850,'ECN-ECO_DATA'!B:J,8,FALSE))),"")</f>
        <v/>
      </c>
      <c r="H850" s="9" t="str">
        <f>IFERROR((IF(VLOOKUP(A850,'ECN-ECO_DATA'!B:J,9,FALSE)=0/1/1900,"",VLOOKUP(A850,'ECN-ECO_DATA'!B:J,9,FALSE))),"")</f>
        <v/>
      </c>
      <c r="I850" s="10" t="str">
        <f>IFERROR((IF(VLOOKUP(A850,'ECN-ECO_DATA'!B:Q,13,FALSE)="","",VLOOKUP(A850,'ECN-ECO_DATA'!B:Q,13,FALSE))),"")</f>
        <v/>
      </c>
      <c r="J850" s="10" t="str">
        <f>IFERROR((IF(VLOOKUP(A850,'ECN-ECO_DATA'!B:Q,14,FALSE)="","",VLOOKUP(A850,'ECN-ECO_DATA'!B:Q,14,FALSE))),"")</f>
        <v/>
      </c>
      <c r="K850" s="10" t="str">
        <f>IFERROR((IF(VLOOKUP(A850,'ECN-ECO_DATA'!B:Q,15,FALSE)="","",VLOOKUP(A850,'ECN-ECO_DATA'!B:Q,15,FALSE))),"")</f>
        <v/>
      </c>
      <c r="L850" s="10" t="str">
        <f>IFERROR((IF(VLOOKUP(A850,'ECN-ECO_DATA'!B:Q,16,FALSE)="","",VLOOKUP(A850,'ECN-ECO_DATA'!B:Q,16,FALSE))),"")</f>
        <v/>
      </c>
      <c r="M850" s="9" t="str">
        <f>IFERROR((IF(VLOOKUP(A850,'ECN-ECO_DATA'!B:V,18,FALSE)=0/1/1900,"",VLOOKUP(A850,'ECN-ECO_DATA'!B:V,18,FALSE))),"")</f>
        <v/>
      </c>
      <c r="N850" s="9" t="str">
        <f>IFERROR((IF(VLOOKUP(A850,'ECN-ECO_DATA'!B:V,19,FALSE)=0/1/1900,"",VLOOKUP(A850,'ECN-ECO_DATA'!B:V,19,FALSE))),"")</f>
        <v/>
      </c>
      <c r="O850" s="9" t="str">
        <f>IFERROR((IF(VLOOKUP(A850,'ECN-ECO_DATA'!B:V,20,FALSE)=0/1/1900,"",VLOOKUP(A850,'ECN-ECO_DATA'!B:V,20,FALSE))),"")</f>
        <v/>
      </c>
      <c r="P850" s="9" t="str">
        <f>IFERROR((IF(VLOOKUP(A850,'ECN-ECO_DATA'!B:V,21,FALSE)=0/1/1900,"",VLOOKUP(A850,'ECN-ECO_DATA'!B:V,21,FALSE))),"")</f>
        <v/>
      </c>
      <c r="Q850" s="10" t="str">
        <f t="shared" ca="1" si="65"/>
        <v/>
      </c>
      <c r="R850" s="4" t="str">
        <f t="shared" si="66"/>
        <v/>
      </c>
      <c r="S850" s="4" t="str">
        <f t="shared" si="67"/>
        <v/>
      </c>
      <c r="T850" s="4" t="str">
        <f t="shared" si="68"/>
        <v/>
      </c>
      <c r="U850" s="10" t="str">
        <f t="shared" si="69"/>
        <v/>
      </c>
      <c r="V850" s="4"/>
    </row>
    <row r="851" spans="2:22" x14ac:dyDescent="0.25">
      <c r="B851" s="4" t="str">
        <f>IFERROR(VLOOKUP(A851,'ECN-ECO_DATA'!B:G,4,FALSE),"")</f>
        <v/>
      </c>
      <c r="C851" s="9" t="str">
        <f>IFERROR(VLOOKUP(A851,'ECN-ECO_DATA'!B:G,5,FALSE),"")</f>
        <v/>
      </c>
      <c r="D851" s="9" t="str">
        <f ca="1">IFERROR((IF(VLOOKUP(A851,'ECN-ECO_DATA'!B:G,6,FALSE)=0/1/1900,TODAY(),VLOOKUP(A851,'ECN-ECO_DATA'!B:G,6,FALSE))),"")</f>
        <v/>
      </c>
      <c r="E851" s="9" t="str">
        <f>IFERROR((IF(VLOOKUP(A851,'ECN-ECO_DATA'!B:G,6,FALSE)=0/1/1900,"",VLOOKUP(A851,'ECN-ECO_DATA'!B:G,6,FALSE))),"")</f>
        <v/>
      </c>
      <c r="F851" s="9" t="str">
        <f>IFERROR((IF(VLOOKUP(A851,'ECN-ECO_DATA'!B:J,7,FALSE)=0/1/1900,"",VLOOKUP(A851,'ECN-ECO_DATA'!B:J,7,FALSE))),"")</f>
        <v/>
      </c>
      <c r="G851" s="9" t="str">
        <f>IFERROR((IF(VLOOKUP(A851,'ECN-ECO_DATA'!B:J,8,FALSE)=0/1/1900,"",VLOOKUP(A851,'ECN-ECO_DATA'!B:J,8,FALSE))),"")</f>
        <v/>
      </c>
      <c r="H851" s="9" t="str">
        <f>IFERROR((IF(VLOOKUP(A851,'ECN-ECO_DATA'!B:J,9,FALSE)=0/1/1900,"",VLOOKUP(A851,'ECN-ECO_DATA'!B:J,9,FALSE))),"")</f>
        <v/>
      </c>
      <c r="I851" s="10" t="str">
        <f>IFERROR((IF(VLOOKUP(A851,'ECN-ECO_DATA'!B:Q,13,FALSE)="","",VLOOKUP(A851,'ECN-ECO_DATA'!B:Q,13,FALSE))),"")</f>
        <v/>
      </c>
      <c r="J851" s="10" t="str">
        <f>IFERROR((IF(VLOOKUP(A851,'ECN-ECO_DATA'!B:Q,14,FALSE)="","",VLOOKUP(A851,'ECN-ECO_DATA'!B:Q,14,FALSE))),"")</f>
        <v/>
      </c>
      <c r="K851" s="10" t="str">
        <f>IFERROR((IF(VLOOKUP(A851,'ECN-ECO_DATA'!B:Q,15,FALSE)="","",VLOOKUP(A851,'ECN-ECO_DATA'!B:Q,15,FALSE))),"")</f>
        <v/>
      </c>
      <c r="L851" s="10" t="str">
        <f>IFERROR((IF(VLOOKUP(A851,'ECN-ECO_DATA'!B:Q,16,FALSE)="","",VLOOKUP(A851,'ECN-ECO_DATA'!B:Q,16,FALSE))),"")</f>
        <v/>
      </c>
      <c r="M851" s="9" t="str">
        <f>IFERROR((IF(VLOOKUP(A851,'ECN-ECO_DATA'!B:V,18,FALSE)=0/1/1900,"",VLOOKUP(A851,'ECN-ECO_DATA'!B:V,18,FALSE))),"")</f>
        <v/>
      </c>
      <c r="N851" s="9" t="str">
        <f>IFERROR((IF(VLOOKUP(A851,'ECN-ECO_DATA'!B:V,19,FALSE)=0/1/1900,"",VLOOKUP(A851,'ECN-ECO_DATA'!B:V,19,FALSE))),"")</f>
        <v/>
      </c>
      <c r="O851" s="9" t="str">
        <f>IFERROR((IF(VLOOKUP(A851,'ECN-ECO_DATA'!B:V,20,FALSE)=0/1/1900,"",VLOOKUP(A851,'ECN-ECO_DATA'!B:V,20,FALSE))),"")</f>
        <v/>
      </c>
      <c r="P851" s="9" t="str">
        <f>IFERROR((IF(VLOOKUP(A851,'ECN-ECO_DATA'!B:V,21,FALSE)=0/1/1900,"",VLOOKUP(A851,'ECN-ECO_DATA'!B:V,21,FALSE))),"")</f>
        <v/>
      </c>
      <c r="Q851" s="10" t="str">
        <f t="shared" ca="1" si="65"/>
        <v/>
      </c>
      <c r="R851" s="4" t="str">
        <f t="shared" si="66"/>
        <v/>
      </c>
      <c r="S851" s="4" t="str">
        <f t="shared" si="67"/>
        <v/>
      </c>
      <c r="T851" s="4" t="str">
        <f t="shared" si="68"/>
        <v/>
      </c>
      <c r="U851" s="10" t="str">
        <f t="shared" si="69"/>
        <v/>
      </c>
      <c r="V851" s="4"/>
    </row>
    <row r="852" spans="2:22" x14ac:dyDescent="0.25">
      <c r="B852" s="4" t="str">
        <f>IFERROR(VLOOKUP(A852,'ECN-ECO_DATA'!B:G,4,FALSE),"")</f>
        <v/>
      </c>
      <c r="C852" s="9" t="str">
        <f>IFERROR(VLOOKUP(A852,'ECN-ECO_DATA'!B:G,5,FALSE),"")</f>
        <v/>
      </c>
      <c r="D852" s="9" t="str">
        <f ca="1">IFERROR((IF(VLOOKUP(A852,'ECN-ECO_DATA'!B:G,6,FALSE)=0/1/1900,TODAY(),VLOOKUP(A852,'ECN-ECO_DATA'!B:G,6,FALSE))),"")</f>
        <v/>
      </c>
      <c r="E852" s="9" t="str">
        <f>IFERROR((IF(VLOOKUP(A852,'ECN-ECO_DATA'!B:G,6,FALSE)=0/1/1900,"",VLOOKUP(A852,'ECN-ECO_DATA'!B:G,6,FALSE))),"")</f>
        <v/>
      </c>
      <c r="F852" s="9" t="str">
        <f>IFERROR((IF(VLOOKUP(A852,'ECN-ECO_DATA'!B:J,7,FALSE)=0/1/1900,"",VLOOKUP(A852,'ECN-ECO_DATA'!B:J,7,FALSE))),"")</f>
        <v/>
      </c>
      <c r="G852" s="9" t="str">
        <f>IFERROR((IF(VLOOKUP(A852,'ECN-ECO_DATA'!B:J,8,FALSE)=0/1/1900,"",VLOOKUP(A852,'ECN-ECO_DATA'!B:J,8,FALSE))),"")</f>
        <v/>
      </c>
      <c r="H852" s="9" t="str">
        <f>IFERROR((IF(VLOOKUP(A852,'ECN-ECO_DATA'!B:J,9,FALSE)=0/1/1900,"",VLOOKUP(A852,'ECN-ECO_DATA'!B:J,9,FALSE))),"")</f>
        <v/>
      </c>
      <c r="I852" s="10" t="str">
        <f>IFERROR((IF(VLOOKUP(A852,'ECN-ECO_DATA'!B:Q,13,FALSE)="","",VLOOKUP(A852,'ECN-ECO_DATA'!B:Q,13,FALSE))),"")</f>
        <v/>
      </c>
      <c r="J852" s="10" t="str">
        <f>IFERROR((IF(VLOOKUP(A852,'ECN-ECO_DATA'!B:Q,14,FALSE)="","",VLOOKUP(A852,'ECN-ECO_DATA'!B:Q,14,FALSE))),"")</f>
        <v/>
      </c>
      <c r="K852" s="10" t="str">
        <f>IFERROR((IF(VLOOKUP(A852,'ECN-ECO_DATA'!B:Q,15,FALSE)="","",VLOOKUP(A852,'ECN-ECO_DATA'!B:Q,15,FALSE))),"")</f>
        <v/>
      </c>
      <c r="L852" s="10" t="str">
        <f>IFERROR((IF(VLOOKUP(A852,'ECN-ECO_DATA'!B:Q,16,FALSE)="","",VLOOKUP(A852,'ECN-ECO_DATA'!B:Q,16,FALSE))),"")</f>
        <v/>
      </c>
      <c r="M852" s="9" t="str">
        <f>IFERROR((IF(VLOOKUP(A852,'ECN-ECO_DATA'!B:V,18,FALSE)=0/1/1900,"",VLOOKUP(A852,'ECN-ECO_DATA'!B:V,18,FALSE))),"")</f>
        <v/>
      </c>
      <c r="N852" s="9" t="str">
        <f>IFERROR((IF(VLOOKUP(A852,'ECN-ECO_DATA'!B:V,19,FALSE)=0/1/1900,"",VLOOKUP(A852,'ECN-ECO_DATA'!B:V,19,FALSE))),"")</f>
        <v/>
      </c>
      <c r="O852" s="9" t="str">
        <f>IFERROR((IF(VLOOKUP(A852,'ECN-ECO_DATA'!B:V,20,FALSE)=0/1/1900,"",VLOOKUP(A852,'ECN-ECO_DATA'!B:V,20,FALSE))),"")</f>
        <v/>
      </c>
      <c r="P852" s="9" t="str">
        <f>IFERROR((IF(VLOOKUP(A852,'ECN-ECO_DATA'!B:V,21,FALSE)=0/1/1900,"",VLOOKUP(A852,'ECN-ECO_DATA'!B:V,21,FALSE))),"")</f>
        <v/>
      </c>
      <c r="Q852" s="10" t="str">
        <f t="shared" ca="1" si="65"/>
        <v/>
      </c>
      <c r="R852" s="4" t="str">
        <f t="shared" si="66"/>
        <v/>
      </c>
      <c r="S852" s="4" t="str">
        <f t="shared" si="67"/>
        <v/>
      </c>
      <c r="T852" s="4" t="str">
        <f t="shared" si="68"/>
        <v/>
      </c>
      <c r="U852" s="10" t="str">
        <f t="shared" si="69"/>
        <v/>
      </c>
      <c r="V852" s="4"/>
    </row>
    <row r="853" spans="2:22" x14ac:dyDescent="0.25">
      <c r="B853" s="4" t="str">
        <f>IFERROR(VLOOKUP(A853,'ECN-ECO_DATA'!B:G,4,FALSE),"")</f>
        <v/>
      </c>
      <c r="C853" s="9" t="str">
        <f>IFERROR(VLOOKUP(A853,'ECN-ECO_DATA'!B:G,5,FALSE),"")</f>
        <v/>
      </c>
      <c r="D853" s="9" t="str">
        <f ca="1">IFERROR((IF(VLOOKUP(A853,'ECN-ECO_DATA'!B:G,6,FALSE)=0/1/1900,TODAY(),VLOOKUP(A853,'ECN-ECO_DATA'!B:G,6,FALSE))),"")</f>
        <v/>
      </c>
      <c r="E853" s="9" t="str">
        <f>IFERROR((IF(VLOOKUP(A853,'ECN-ECO_DATA'!B:G,6,FALSE)=0/1/1900,"",VLOOKUP(A853,'ECN-ECO_DATA'!B:G,6,FALSE))),"")</f>
        <v/>
      </c>
      <c r="F853" s="9" t="str">
        <f>IFERROR((IF(VLOOKUP(A853,'ECN-ECO_DATA'!B:J,7,FALSE)=0/1/1900,"",VLOOKUP(A853,'ECN-ECO_DATA'!B:J,7,FALSE))),"")</f>
        <v/>
      </c>
      <c r="G853" s="9" t="str">
        <f>IFERROR((IF(VLOOKUP(A853,'ECN-ECO_DATA'!B:J,8,FALSE)=0/1/1900,"",VLOOKUP(A853,'ECN-ECO_DATA'!B:J,8,FALSE))),"")</f>
        <v/>
      </c>
      <c r="H853" s="9" t="str">
        <f>IFERROR((IF(VLOOKUP(A853,'ECN-ECO_DATA'!B:J,9,FALSE)=0/1/1900,"",VLOOKUP(A853,'ECN-ECO_DATA'!B:J,9,FALSE))),"")</f>
        <v/>
      </c>
      <c r="I853" s="10" t="str">
        <f>IFERROR((IF(VLOOKUP(A853,'ECN-ECO_DATA'!B:Q,13,FALSE)="","",VLOOKUP(A853,'ECN-ECO_DATA'!B:Q,13,FALSE))),"")</f>
        <v/>
      </c>
      <c r="J853" s="10" t="str">
        <f>IFERROR((IF(VLOOKUP(A853,'ECN-ECO_DATA'!B:Q,14,FALSE)="","",VLOOKUP(A853,'ECN-ECO_DATA'!B:Q,14,FALSE))),"")</f>
        <v/>
      </c>
      <c r="K853" s="10" t="str">
        <f>IFERROR((IF(VLOOKUP(A853,'ECN-ECO_DATA'!B:Q,15,FALSE)="","",VLOOKUP(A853,'ECN-ECO_DATA'!B:Q,15,FALSE))),"")</f>
        <v/>
      </c>
      <c r="L853" s="10" t="str">
        <f>IFERROR((IF(VLOOKUP(A853,'ECN-ECO_DATA'!B:Q,16,FALSE)="","",VLOOKUP(A853,'ECN-ECO_DATA'!B:Q,16,FALSE))),"")</f>
        <v/>
      </c>
      <c r="M853" s="9" t="str">
        <f>IFERROR((IF(VLOOKUP(A853,'ECN-ECO_DATA'!B:V,18,FALSE)=0/1/1900,"",VLOOKUP(A853,'ECN-ECO_DATA'!B:V,18,FALSE))),"")</f>
        <v/>
      </c>
      <c r="N853" s="9" t="str">
        <f>IFERROR((IF(VLOOKUP(A853,'ECN-ECO_DATA'!B:V,19,FALSE)=0/1/1900,"",VLOOKUP(A853,'ECN-ECO_DATA'!B:V,19,FALSE))),"")</f>
        <v/>
      </c>
      <c r="O853" s="9" t="str">
        <f>IFERROR((IF(VLOOKUP(A853,'ECN-ECO_DATA'!B:V,20,FALSE)=0/1/1900,"",VLOOKUP(A853,'ECN-ECO_DATA'!B:V,20,FALSE))),"")</f>
        <v/>
      </c>
      <c r="P853" s="9" t="str">
        <f>IFERROR((IF(VLOOKUP(A853,'ECN-ECO_DATA'!B:V,21,FALSE)=0/1/1900,"",VLOOKUP(A853,'ECN-ECO_DATA'!B:V,21,FALSE))),"")</f>
        <v/>
      </c>
      <c r="Q853" s="10" t="str">
        <f t="shared" ca="1" si="65"/>
        <v/>
      </c>
      <c r="R853" s="4" t="str">
        <f t="shared" si="66"/>
        <v/>
      </c>
      <c r="S853" s="4" t="str">
        <f t="shared" si="67"/>
        <v/>
      </c>
      <c r="T853" s="4" t="str">
        <f t="shared" si="68"/>
        <v/>
      </c>
      <c r="U853" s="10" t="str">
        <f t="shared" si="69"/>
        <v/>
      </c>
      <c r="V853" s="4"/>
    </row>
    <row r="854" spans="2:22" x14ac:dyDescent="0.25">
      <c r="B854" s="4" t="str">
        <f>IFERROR(VLOOKUP(A854,'ECN-ECO_DATA'!B:G,4,FALSE),"")</f>
        <v/>
      </c>
      <c r="C854" s="9" t="str">
        <f>IFERROR(VLOOKUP(A854,'ECN-ECO_DATA'!B:G,5,FALSE),"")</f>
        <v/>
      </c>
      <c r="D854" s="9" t="str">
        <f ca="1">IFERROR((IF(VLOOKUP(A854,'ECN-ECO_DATA'!B:G,6,FALSE)=0/1/1900,TODAY(),VLOOKUP(A854,'ECN-ECO_DATA'!B:G,6,FALSE))),"")</f>
        <v/>
      </c>
      <c r="E854" s="9" t="str">
        <f>IFERROR((IF(VLOOKUP(A854,'ECN-ECO_DATA'!B:G,6,FALSE)=0/1/1900,"",VLOOKUP(A854,'ECN-ECO_DATA'!B:G,6,FALSE))),"")</f>
        <v/>
      </c>
      <c r="F854" s="9" t="str">
        <f>IFERROR((IF(VLOOKUP(A854,'ECN-ECO_DATA'!B:J,7,FALSE)=0/1/1900,"",VLOOKUP(A854,'ECN-ECO_DATA'!B:J,7,FALSE))),"")</f>
        <v/>
      </c>
      <c r="G854" s="9" t="str">
        <f>IFERROR((IF(VLOOKUP(A854,'ECN-ECO_DATA'!B:J,8,FALSE)=0/1/1900,"",VLOOKUP(A854,'ECN-ECO_DATA'!B:J,8,FALSE))),"")</f>
        <v/>
      </c>
      <c r="H854" s="9" t="str">
        <f>IFERROR((IF(VLOOKUP(A854,'ECN-ECO_DATA'!B:J,9,FALSE)=0/1/1900,"",VLOOKUP(A854,'ECN-ECO_DATA'!B:J,9,FALSE))),"")</f>
        <v/>
      </c>
      <c r="I854" s="10" t="str">
        <f>IFERROR((IF(VLOOKUP(A854,'ECN-ECO_DATA'!B:Q,13,FALSE)="","",VLOOKUP(A854,'ECN-ECO_DATA'!B:Q,13,FALSE))),"")</f>
        <v/>
      </c>
      <c r="J854" s="10" t="str">
        <f>IFERROR((IF(VLOOKUP(A854,'ECN-ECO_DATA'!B:Q,14,FALSE)="","",VLOOKUP(A854,'ECN-ECO_DATA'!B:Q,14,FALSE))),"")</f>
        <v/>
      </c>
      <c r="K854" s="10" t="str">
        <f>IFERROR((IF(VLOOKUP(A854,'ECN-ECO_DATA'!B:Q,15,FALSE)="","",VLOOKUP(A854,'ECN-ECO_DATA'!B:Q,15,FALSE))),"")</f>
        <v/>
      </c>
      <c r="L854" s="10" t="str">
        <f>IFERROR((IF(VLOOKUP(A854,'ECN-ECO_DATA'!B:Q,16,FALSE)="","",VLOOKUP(A854,'ECN-ECO_DATA'!B:Q,16,FALSE))),"")</f>
        <v/>
      </c>
      <c r="M854" s="9" t="str">
        <f>IFERROR((IF(VLOOKUP(A854,'ECN-ECO_DATA'!B:V,18,FALSE)=0/1/1900,"",VLOOKUP(A854,'ECN-ECO_DATA'!B:V,18,FALSE))),"")</f>
        <v/>
      </c>
      <c r="N854" s="9" t="str">
        <f>IFERROR((IF(VLOOKUP(A854,'ECN-ECO_DATA'!B:V,19,FALSE)=0/1/1900,"",VLOOKUP(A854,'ECN-ECO_DATA'!B:V,19,FALSE))),"")</f>
        <v/>
      </c>
      <c r="O854" s="9" t="str">
        <f>IFERROR((IF(VLOOKUP(A854,'ECN-ECO_DATA'!B:V,20,FALSE)=0/1/1900,"",VLOOKUP(A854,'ECN-ECO_DATA'!B:V,20,FALSE))),"")</f>
        <v/>
      </c>
      <c r="P854" s="9" t="str">
        <f>IFERROR((IF(VLOOKUP(A854,'ECN-ECO_DATA'!B:V,21,FALSE)=0/1/1900,"",VLOOKUP(A854,'ECN-ECO_DATA'!B:V,21,FALSE))),"")</f>
        <v/>
      </c>
      <c r="Q854" s="10" t="str">
        <f t="shared" ca="1" si="65"/>
        <v/>
      </c>
      <c r="R854" s="4" t="str">
        <f t="shared" si="66"/>
        <v/>
      </c>
      <c r="S854" s="4" t="str">
        <f t="shared" si="67"/>
        <v/>
      </c>
      <c r="T854" s="4" t="str">
        <f t="shared" si="68"/>
        <v/>
      </c>
      <c r="U854" s="10" t="str">
        <f t="shared" si="69"/>
        <v/>
      </c>
      <c r="V854" s="4"/>
    </row>
    <row r="855" spans="2:22" x14ac:dyDescent="0.25">
      <c r="B855" s="4" t="str">
        <f>IFERROR(VLOOKUP(A855,'ECN-ECO_DATA'!B:G,4,FALSE),"")</f>
        <v/>
      </c>
      <c r="C855" s="9" t="str">
        <f>IFERROR(VLOOKUP(A855,'ECN-ECO_DATA'!B:G,5,FALSE),"")</f>
        <v/>
      </c>
      <c r="D855" s="9" t="str">
        <f ca="1">IFERROR((IF(VLOOKUP(A855,'ECN-ECO_DATA'!B:G,6,FALSE)=0/1/1900,TODAY(),VLOOKUP(A855,'ECN-ECO_DATA'!B:G,6,FALSE))),"")</f>
        <v/>
      </c>
      <c r="E855" s="9" t="str">
        <f>IFERROR((IF(VLOOKUP(A855,'ECN-ECO_DATA'!B:G,6,FALSE)=0/1/1900,"",VLOOKUP(A855,'ECN-ECO_DATA'!B:G,6,FALSE))),"")</f>
        <v/>
      </c>
      <c r="F855" s="9" t="str">
        <f>IFERROR((IF(VLOOKUP(A855,'ECN-ECO_DATA'!B:J,7,FALSE)=0/1/1900,"",VLOOKUP(A855,'ECN-ECO_DATA'!B:J,7,FALSE))),"")</f>
        <v/>
      </c>
      <c r="G855" s="9" t="str">
        <f>IFERROR((IF(VLOOKUP(A855,'ECN-ECO_DATA'!B:J,8,FALSE)=0/1/1900,"",VLOOKUP(A855,'ECN-ECO_DATA'!B:J,8,FALSE))),"")</f>
        <v/>
      </c>
      <c r="H855" s="9" t="str">
        <f>IFERROR((IF(VLOOKUP(A855,'ECN-ECO_DATA'!B:J,9,FALSE)=0/1/1900,"",VLOOKUP(A855,'ECN-ECO_DATA'!B:J,9,FALSE))),"")</f>
        <v/>
      </c>
      <c r="I855" s="10" t="str">
        <f>IFERROR((IF(VLOOKUP(A855,'ECN-ECO_DATA'!B:Q,13,FALSE)="","",VLOOKUP(A855,'ECN-ECO_DATA'!B:Q,13,FALSE))),"")</f>
        <v/>
      </c>
      <c r="J855" s="10" t="str">
        <f>IFERROR((IF(VLOOKUP(A855,'ECN-ECO_DATA'!B:Q,14,FALSE)="","",VLOOKUP(A855,'ECN-ECO_DATA'!B:Q,14,FALSE))),"")</f>
        <v/>
      </c>
      <c r="K855" s="10" t="str">
        <f>IFERROR((IF(VLOOKUP(A855,'ECN-ECO_DATA'!B:Q,15,FALSE)="","",VLOOKUP(A855,'ECN-ECO_DATA'!B:Q,15,FALSE))),"")</f>
        <v/>
      </c>
      <c r="L855" s="10" t="str">
        <f>IFERROR((IF(VLOOKUP(A855,'ECN-ECO_DATA'!B:Q,16,FALSE)="","",VLOOKUP(A855,'ECN-ECO_DATA'!B:Q,16,FALSE))),"")</f>
        <v/>
      </c>
      <c r="M855" s="9" t="str">
        <f>IFERROR((IF(VLOOKUP(A855,'ECN-ECO_DATA'!B:V,18,FALSE)=0/1/1900,"",VLOOKUP(A855,'ECN-ECO_DATA'!B:V,18,FALSE))),"")</f>
        <v/>
      </c>
      <c r="N855" s="9" t="str">
        <f>IFERROR((IF(VLOOKUP(A855,'ECN-ECO_DATA'!B:V,19,FALSE)=0/1/1900,"",VLOOKUP(A855,'ECN-ECO_DATA'!B:V,19,FALSE))),"")</f>
        <v/>
      </c>
      <c r="O855" s="9" t="str">
        <f>IFERROR((IF(VLOOKUP(A855,'ECN-ECO_DATA'!B:V,20,FALSE)=0/1/1900,"",VLOOKUP(A855,'ECN-ECO_DATA'!B:V,20,FALSE))),"")</f>
        <v/>
      </c>
      <c r="P855" s="9" t="str">
        <f>IFERROR((IF(VLOOKUP(A855,'ECN-ECO_DATA'!B:V,21,FALSE)=0/1/1900,"",VLOOKUP(A855,'ECN-ECO_DATA'!B:V,21,FALSE))),"")</f>
        <v/>
      </c>
      <c r="Q855" s="10" t="str">
        <f t="shared" ca="1" si="65"/>
        <v/>
      </c>
      <c r="R855" s="4" t="str">
        <f t="shared" si="66"/>
        <v/>
      </c>
      <c r="S855" s="4" t="str">
        <f t="shared" si="67"/>
        <v/>
      </c>
      <c r="T855" s="4" t="str">
        <f t="shared" si="68"/>
        <v/>
      </c>
      <c r="U855" s="10" t="str">
        <f t="shared" si="69"/>
        <v/>
      </c>
      <c r="V855" s="4"/>
    </row>
    <row r="856" spans="2:22" x14ac:dyDescent="0.25">
      <c r="B856" s="4" t="str">
        <f>IFERROR(VLOOKUP(A856,'ECN-ECO_DATA'!B:G,4,FALSE),"")</f>
        <v/>
      </c>
      <c r="C856" s="9" t="str">
        <f>IFERROR(VLOOKUP(A856,'ECN-ECO_DATA'!B:G,5,FALSE),"")</f>
        <v/>
      </c>
      <c r="D856" s="9" t="str">
        <f ca="1">IFERROR((IF(VLOOKUP(A856,'ECN-ECO_DATA'!B:G,6,FALSE)=0/1/1900,TODAY(),VLOOKUP(A856,'ECN-ECO_DATA'!B:G,6,FALSE))),"")</f>
        <v/>
      </c>
      <c r="E856" s="9" t="str">
        <f>IFERROR((IF(VLOOKUP(A856,'ECN-ECO_DATA'!B:G,6,FALSE)=0/1/1900,"",VLOOKUP(A856,'ECN-ECO_DATA'!B:G,6,FALSE))),"")</f>
        <v/>
      </c>
      <c r="F856" s="9" t="str">
        <f>IFERROR((IF(VLOOKUP(A856,'ECN-ECO_DATA'!B:J,7,FALSE)=0/1/1900,"",VLOOKUP(A856,'ECN-ECO_DATA'!B:J,7,FALSE))),"")</f>
        <v/>
      </c>
      <c r="G856" s="9" t="str">
        <f>IFERROR((IF(VLOOKUP(A856,'ECN-ECO_DATA'!B:J,8,FALSE)=0/1/1900,"",VLOOKUP(A856,'ECN-ECO_DATA'!B:J,8,FALSE))),"")</f>
        <v/>
      </c>
      <c r="H856" s="9" t="str">
        <f>IFERROR((IF(VLOOKUP(A856,'ECN-ECO_DATA'!B:J,9,FALSE)=0/1/1900,"",VLOOKUP(A856,'ECN-ECO_DATA'!B:J,9,FALSE))),"")</f>
        <v/>
      </c>
      <c r="I856" s="10" t="str">
        <f>IFERROR((IF(VLOOKUP(A856,'ECN-ECO_DATA'!B:Q,13,FALSE)="","",VLOOKUP(A856,'ECN-ECO_DATA'!B:Q,13,FALSE))),"")</f>
        <v/>
      </c>
      <c r="J856" s="10" t="str">
        <f>IFERROR((IF(VLOOKUP(A856,'ECN-ECO_DATA'!B:Q,14,FALSE)="","",VLOOKUP(A856,'ECN-ECO_DATA'!B:Q,14,FALSE))),"")</f>
        <v/>
      </c>
      <c r="K856" s="10" t="str">
        <f>IFERROR((IF(VLOOKUP(A856,'ECN-ECO_DATA'!B:Q,15,FALSE)="","",VLOOKUP(A856,'ECN-ECO_DATA'!B:Q,15,FALSE))),"")</f>
        <v/>
      </c>
      <c r="L856" s="10" t="str">
        <f>IFERROR((IF(VLOOKUP(A856,'ECN-ECO_DATA'!B:Q,16,FALSE)="","",VLOOKUP(A856,'ECN-ECO_DATA'!B:Q,16,FALSE))),"")</f>
        <v/>
      </c>
      <c r="M856" s="9" t="str">
        <f>IFERROR((IF(VLOOKUP(A856,'ECN-ECO_DATA'!B:V,18,FALSE)=0/1/1900,"",VLOOKUP(A856,'ECN-ECO_DATA'!B:V,18,FALSE))),"")</f>
        <v/>
      </c>
      <c r="N856" s="9" t="str">
        <f>IFERROR((IF(VLOOKUP(A856,'ECN-ECO_DATA'!B:V,19,FALSE)=0/1/1900,"",VLOOKUP(A856,'ECN-ECO_DATA'!B:V,19,FALSE))),"")</f>
        <v/>
      </c>
      <c r="O856" s="9" t="str">
        <f>IFERROR((IF(VLOOKUP(A856,'ECN-ECO_DATA'!B:V,20,FALSE)=0/1/1900,"",VLOOKUP(A856,'ECN-ECO_DATA'!B:V,20,FALSE))),"")</f>
        <v/>
      </c>
      <c r="P856" s="9" t="str">
        <f>IFERROR((IF(VLOOKUP(A856,'ECN-ECO_DATA'!B:V,21,FALSE)=0/1/1900,"",VLOOKUP(A856,'ECN-ECO_DATA'!B:V,21,FALSE))),"")</f>
        <v/>
      </c>
      <c r="Q856" s="10" t="str">
        <f t="shared" ca="1" si="65"/>
        <v/>
      </c>
      <c r="R856" s="4" t="str">
        <f t="shared" si="66"/>
        <v/>
      </c>
      <c r="S856" s="4" t="str">
        <f t="shared" si="67"/>
        <v/>
      </c>
      <c r="T856" s="4" t="str">
        <f t="shared" si="68"/>
        <v/>
      </c>
      <c r="U856" s="10" t="str">
        <f t="shared" si="69"/>
        <v/>
      </c>
      <c r="V856" s="4"/>
    </row>
    <row r="857" spans="2:22" x14ac:dyDescent="0.25">
      <c r="B857" s="4" t="str">
        <f>IFERROR(VLOOKUP(A857,'ECN-ECO_DATA'!B:G,4,FALSE),"")</f>
        <v/>
      </c>
      <c r="C857" s="9" t="str">
        <f>IFERROR(VLOOKUP(A857,'ECN-ECO_DATA'!B:G,5,FALSE),"")</f>
        <v/>
      </c>
      <c r="D857" s="9" t="str">
        <f ca="1">IFERROR((IF(VLOOKUP(A857,'ECN-ECO_DATA'!B:G,6,FALSE)=0/1/1900,TODAY(),VLOOKUP(A857,'ECN-ECO_DATA'!B:G,6,FALSE))),"")</f>
        <v/>
      </c>
      <c r="E857" s="9" t="str">
        <f>IFERROR((IF(VLOOKUP(A857,'ECN-ECO_DATA'!B:G,6,FALSE)=0/1/1900,"",VLOOKUP(A857,'ECN-ECO_DATA'!B:G,6,FALSE))),"")</f>
        <v/>
      </c>
      <c r="F857" s="9" t="str">
        <f>IFERROR((IF(VLOOKUP(A857,'ECN-ECO_DATA'!B:J,7,FALSE)=0/1/1900,"",VLOOKUP(A857,'ECN-ECO_DATA'!B:J,7,FALSE))),"")</f>
        <v/>
      </c>
      <c r="G857" s="9" t="str">
        <f>IFERROR((IF(VLOOKUP(A857,'ECN-ECO_DATA'!B:J,8,FALSE)=0/1/1900,"",VLOOKUP(A857,'ECN-ECO_DATA'!B:J,8,FALSE))),"")</f>
        <v/>
      </c>
      <c r="H857" s="9" t="str">
        <f>IFERROR((IF(VLOOKUP(A857,'ECN-ECO_DATA'!B:J,9,FALSE)=0/1/1900,"",VLOOKUP(A857,'ECN-ECO_DATA'!B:J,9,FALSE))),"")</f>
        <v/>
      </c>
      <c r="I857" s="10" t="str">
        <f>IFERROR((IF(VLOOKUP(A857,'ECN-ECO_DATA'!B:Q,13,FALSE)="","",VLOOKUP(A857,'ECN-ECO_DATA'!B:Q,13,FALSE))),"")</f>
        <v/>
      </c>
      <c r="J857" s="10" t="str">
        <f>IFERROR((IF(VLOOKUP(A857,'ECN-ECO_DATA'!B:Q,14,FALSE)="","",VLOOKUP(A857,'ECN-ECO_DATA'!B:Q,14,FALSE))),"")</f>
        <v/>
      </c>
      <c r="K857" s="10" t="str">
        <f>IFERROR((IF(VLOOKUP(A857,'ECN-ECO_DATA'!B:Q,15,FALSE)="","",VLOOKUP(A857,'ECN-ECO_DATA'!B:Q,15,FALSE))),"")</f>
        <v/>
      </c>
      <c r="L857" s="10" t="str">
        <f>IFERROR((IF(VLOOKUP(A857,'ECN-ECO_DATA'!B:Q,16,FALSE)="","",VLOOKUP(A857,'ECN-ECO_DATA'!B:Q,16,FALSE))),"")</f>
        <v/>
      </c>
      <c r="M857" s="9" t="str">
        <f>IFERROR((IF(VLOOKUP(A857,'ECN-ECO_DATA'!B:V,18,FALSE)=0/1/1900,"",VLOOKUP(A857,'ECN-ECO_DATA'!B:V,18,FALSE))),"")</f>
        <v/>
      </c>
      <c r="N857" s="9" t="str">
        <f>IFERROR((IF(VLOOKUP(A857,'ECN-ECO_DATA'!B:V,19,FALSE)=0/1/1900,"",VLOOKUP(A857,'ECN-ECO_DATA'!B:V,19,FALSE))),"")</f>
        <v/>
      </c>
      <c r="O857" s="9" t="str">
        <f>IFERROR((IF(VLOOKUP(A857,'ECN-ECO_DATA'!B:V,20,FALSE)=0/1/1900,"",VLOOKUP(A857,'ECN-ECO_DATA'!B:V,20,FALSE))),"")</f>
        <v/>
      </c>
      <c r="P857" s="9" t="str">
        <f>IFERROR((IF(VLOOKUP(A857,'ECN-ECO_DATA'!B:V,21,FALSE)=0/1/1900,"",VLOOKUP(A857,'ECN-ECO_DATA'!B:V,21,FALSE))),"")</f>
        <v/>
      </c>
      <c r="Q857" s="10" t="str">
        <f t="shared" ca="1" si="65"/>
        <v/>
      </c>
      <c r="R857" s="4" t="str">
        <f t="shared" si="66"/>
        <v/>
      </c>
      <c r="S857" s="4" t="str">
        <f t="shared" si="67"/>
        <v/>
      </c>
      <c r="T857" s="4" t="str">
        <f t="shared" si="68"/>
        <v/>
      </c>
      <c r="U857" s="10" t="str">
        <f t="shared" si="69"/>
        <v/>
      </c>
      <c r="V857" s="4"/>
    </row>
    <row r="858" spans="2:22" x14ac:dyDescent="0.25">
      <c r="B858" s="4" t="str">
        <f>IFERROR(VLOOKUP(A858,'ECN-ECO_DATA'!B:G,4,FALSE),"")</f>
        <v/>
      </c>
      <c r="C858" s="9" t="str">
        <f>IFERROR(VLOOKUP(A858,'ECN-ECO_DATA'!B:G,5,FALSE),"")</f>
        <v/>
      </c>
      <c r="D858" s="9" t="str">
        <f ca="1">IFERROR((IF(VLOOKUP(A858,'ECN-ECO_DATA'!B:G,6,FALSE)=0/1/1900,TODAY(),VLOOKUP(A858,'ECN-ECO_DATA'!B:G,6,FALSE))),"")</f>
        <v/>
      </c>
      <c r="E858" s="9" t="str">
        <f>IFERROR((IF(VLOOKUP(A858,'ECN-ECO_DATA'!B:G,6,FALSE)=0/1/1900,"",VLOOKUP(A858,'ECN-ECO_DATA'!B:G,6,FALSE))),"")</f>
        <v/>
      </c>
      <c r="F858" s="9" t="str">
        <f>IFERROR((IF(VLOOKUP(A858,'ECN-ECO_DATA'!B:J,7,FALSE)=0/1/1900,"",VLOOKUP(A858,'ECN-ECO_DATA'!B:J,7,FALSE))),"")</f>
        <v/>
      </c>
      <c r="G858" s="9" t="str">
        <f>IFERROR((IF(VLOOKUP(A858,'ECN-ECO_DATA'!B:J,8,FALSE)=0/1/1900,"",VLOOKUP(A858,'ECN-ECO_DATA'!B:J,8,FALSE))),"")</f>
        <v/>
      </c>
      <c r="H858" s="9" t="str">
        <f>IFERROR((IF(VLOOKUP(A858,'ECN-ECO_DATA'!B:J,9,FALSE)=0/1/1900,"",VLOOKUP(A858,'ECN-ECO_DATA'!B:J,9,FALSE))),"")</f>
        <v/>
      </c>
      <c r="I858" s="10" t="str">
        <f>IFERROR((IF(VLOOKUP(A858,'ECN-ECO_DATA'!B:Q,13,FALSE)="","",VLOOKUP(A858,'ECN-ECO_DATA'!B:Q,13,FALSE))),"")</f>
        <v/>
      </c>
      <c r="J858" s="10" t="str">
        <f>IFERROR((IF(VLOOKUP(A858,'ECN-ECO_DATA'!B:Q,14,FALSE)="","",VLOOKUP(A858,'ECN-ECO_DATA'!B:Q,14,FALSE))),"")</f>
        <v/>
      </c>
      <c r="K858" s="10" t="str">
        <f>IFERROR((IF(VLOOKUP(A858,'ECN-ECO_DATA'!B:Q,15,FALSE)="","",VLOOKUP(A858,'ECN-ECO_DATA'!B:Q,15,FALSE))),"")</f>
        <v/>
      </c>
      <c r="L858" s="10" t="str">
        <f>IFERROR((IF(VLOOKUP(A858,'ECN-ECO_DATA'!B:Q,16,FALSE)="","",VLOOKUP(A858,'ECN-ECO_DATA'!B:Q,16,FALSE))),"")</f>
        <v/>
      </c>
      <c r="M858" s="9" t="str">
        <f>IFERROR((IF(VLOOKUP(A858,'ECN-ECO_DATA'!B:V,18,FALSE)=0/1/1900,"",VLOOKUP(A858,'ECN-ECO_DATA'!B:V,18,FALSE))),"")</f>
        <v/>
      </c>
      <c r="N858" s="9" t="str">
        <f>IFERROR((IF(VLOOKUP(A858,'ECN-ECO_DATA'!B:V,19,FALSE)=0/1/1900,"",VLOOKUP(A858,'ECN-ECO_DATA'!B:V,19,FALSE))),"")</f>
        <v/>
      </c>
      <c r="O858" s="9" t="str">
        <f>IFERROR((IF(VLOOKUP(A858,'ECN-ECO_DATA'!B:V,20,FALSE)=0/1/1900,"",VLOOKUP(A858,'ECN-ECO_DATA'!B:V,20,FALSE))),"")</f>
        <v/>
      </c>
      <c r="P858" s="9" t="str">
        <f>IFERROR((IF(VLOOKUP(A858,'ECN-ECO_DATA'!B:V,21,FALSE)=0/1/1900,"",VLOOKUP(A858,'ECN-ECO_DATA'!B:V,21,FALSE))),"")</f>
        <v/>
      </c>
      <c r="Q858" s="10" t="str">
        <f t="shared" ca="1" si="65"/>
        <v/>
      </c>
      <c r="R858" s="4" t="str">
        <f t="shared" si="66"/>
        <v/>
      </c>
      <c r="S858" s="4" t="str">
        <f t="shared" si="67"/>
        <v/>
      </c>
      <c r="T858" s="4" t="str">
        <f t="shared" si="68"/>
        <v/>
      </c>
      <c r="U858" s="10" t="str">
        <f t="shared" si="69"/>
        <v/>
      </c>
      <c r="V858" s="4"/>
    </row>
    <row r="859" spans="2:22" x14ac:dyDescent="0.25">
      <c r="B859" s="4" t="str">
        <f>IFERROR(VLOOKUP(A859,'ECN-ECO_DATA'!B:G,4,FALSE),"")</f>
        <v/>
      </c>
      <c r="C859" s="9" t="str">
        <f>IFERROR(VLOOKUP(A859,'ECN-ECO_DATA'!B:G,5,FALSE),"")</f>
        <v/>
      </c>
      <c r="D859" s="9" t="str">
        <f ca="1">IFERROR((IF(VLOOKUP(A859,'ECN-ECO_DATA'!B:G,6,FALSE)=0/1/1900,TODAY(),VLOOKUP(A859,'ECN-ECO_DATA'!B:G,6,FALSE))),"")</f>
        <v/>
      </c>
      <c r="E859" s="9" t="str">
        <f>IFERROR((IF(VLOOKUP(A859,'ECN-ECO_DATA'!B:G,6,FALSE)=0/1/1900,"",VLOOKUP(A859,'ECN-ECO_DATA'!B:G,6,FALSE))),"")</f>
        <v/>
      </c>
      <c r="F859" s="9" t="str">
        <f>IFERROR((IF(VLOOKUP(A859,'ECN-ECO_DATA'!B:J,7,FALSE)=0/1/1900,"",VLOOKUP(A859,'ECN-ECO_DATA'!B:J,7,FALSE))),"")</f>
        <v/>
      </c>
      <c r="G859" s="9" t="str">
        <f>IFERROR((IF(VLOOKUP(A859,'ECN-ECO_DATA'!B:J,8,FALSE)=0/1/1900,"",VLOOKUP(A859,'ECN-ECO_DATA'!B:J,8,FALSE))),"")</f>
        <v/>
      </c>
      <c r="H859" s="9" t="str">
        <f>IFERROR((IF(VLOOKUP(A859,'ECN-ECO_DATA'!B:J,9,FALSE)=0/1/1900,"",VLOOKUP(A859,'ECN-ECO_DATA'!B:J,9,FALSE))),"")</f>
        <v/>
      </c>
      <c r="I859" s="10" t="str">
        <f>IFERROR((IF(VLOOKUP(A859,'ECN-ECO_DATA'!B:Q,13,FALSE)="","",VLOOKUP(A859,'ECN-ECO_DATA'!B:Q,13,FALSE))),"")</f>
        <v/>
      </c>
      <c r="J859" s="10" t="str">
        <f>IFERROR((IF(VLOOKUP(A859,'ECN-ECO_DATA'!B:Q,14,FALSE)="","",VLOOKUP(A859,'ECN-ECO_DATA'!B:Q,14,FALSE))),"")</f>
        <v/>
      </c>
      <c r="K859" s="10" t="str">
        <f>IFERROR((IF(VLOOKUP(A859,'ECN-ECO_DATA'!B:Q,15,FALSE)="","",VLOOKUP(A859,'ECN-ECO_DATA'!B:Q,15,FALSE))),"")</f>
        <v/>
      </c>
      <c r="L859" s="10" t="str">
        <f>IFERROR((IF(VLOOKUP(A859,'ECN-ECO_DATA'!B:Q,16,FALSE)="","",VLOOKUP(A859,'ECN-ECO_DATA'!B:Q,16,FALSE))),"")</f>
        <v/>
      </c>
      <c r="M859" s="9" t="str">
        <f>IFERROR((IF(VLOOKUP(A859,'ECN-ECO_DATA'!B:V,18,FALSE)=0/1/1900,"",VLOOKUP(A859,'ECN-ECO_DATA'!B:V,18,FALSE))),"")</f>
        <v/>
      </c>
      <c r="N859" s="9" t="str">
        <f>IFERROR((IF(VLOOKUP(A859,'ECN-ECO_DATA'!B:V,19,FALSE)=0/1/1900,"",VLOOKUP(A859,'ECN-ECO_DATA'!B:V,19,FALSE))),"")</f>
        <v/>
      </c>
      <c r="O859" s="9" t="str">
        <f>IFERROR((IF(VLOOKUP(A859,'ECN-ECO_DATA'!B:V,20,FALSE)=0/1/1900,"",VLOOKUP(A859,'ECN-ECO_DATA'!B:V,20,FALSE))),"")</f>
        <v/>
      </c>
      <c r="P859" s="9" t="str">
        <f>IFERROR((IF(VLOOKUP(A859,'ECN-ECO_DATA'!B:V,21,FALSE)=0/1/1900,"",VLOOKUP(A859,'ECN-ECO_DATA'!B:V,21,FALSE))),"")</f>
        <v/>
      </c>
      <c r="Q859" s="10" t="str">
        <f t="shared" ca="1" si="65"/>
        <v/>
      </c>
      <c r="R859" s="4" t="str">
        <f t="shared" si="66"/>
        <v/>
      </c>
      <c r="S859" s="4" t="str">
        <f t="shared" si="67"/>
        <v/>
      </c>
      <c r="T859" s="4" t="str">
        <f t="shared" si="68"/>
        <v/>
      </c>
      <c r="U859" s="10" t="str">
        <f t="shared" si="69"/>
        <v/>
      </c>
      <c r="V859" s="4"/>
    </row>
    <row r="860" spans="2:22" x14ac:dyDescent="0.25">
      <c r="B860" s="4" t="str">
        <f>IFERROR(VLOOKUP(A860,'ECN-ECO_DATA'!B:G,4,FALSE),"")</f>
        <v/>
      </c>
      <c r="C860" s="9" t="str">
        <f>IFERROR(VLOOKUP(A860,'ECN-ECO_DATA'!B:G,5,FALSE),"")</f>
        <v/>
      </c>
      <c r="D860" s="9" t="str">
        <f ca="1">IFERROR((IF(VLOOKUP(A860,'ECN-ECO_DATA'!B:G,6,FALSE)=0/1/1900,TODAY(),VLOOKUP(A860,'ECN-ECO_DATA'!B:G,6,FALSE))),"")</f>
        <v/>
      </c>
      <c r="E860" s="9" t="str">
        <f>IFERROR((IF(VLOOKUP(A860,'ECN-ECO_DATA'!B:G,6,FALSE)=0/1/1900,"",VLOOKUP(A860,'ECN-ECO_DATA'!B:G,6,FALSE))),"")</f>
        <v/>
      </c>
      <c r="F860" s="9" t="str">
        <f>IFERROR((IF(VLOOKUP(A860,'ECN-ECO_DATA'!B:J,7,FALSE)=0/1/1900,"",VLOOKUP(A860,'ECN-ECO_DATA'!B:J,7,FALSE))),"")</f>
        <v/>
      </c>
      <c r="G860" s="9" t="str">
        <f>IFERROR((IF(VLOOKUP(A860,'ECN-ECO_DATA'!B:J,8,FALSE)=0/1/1900,"",VLOOKUP(A860,'ECN-ECO_DATA'!B:J,8,FALSE))),"")</f>
        <v/>
      </c>
      <c r="H860" s="9" t="str">
        <f>IFERROR((IF(VLOOKUP(A860,'ECN-ECO_DATA'!B:J,9,FALSE)=0/1/1900,"",VLOOKUP(A860,'ECN-ECO_DATA'!B:J,9,FALSE))),"")</f>
        <v/>
      </c>
      <c r="I860" s="10" t="str">
        <f>IFERROR((IF(VLOOKUP(A860,'ECN-ECO_DATA'!B:Q,13,FALSE)="","",VLOOKUP(A860,'ECN-ECO_DATA'!B:Q,13,FALSE))),"")</f>
        <v/>
      </c>
      <c r="J860" s="10" t="str">
        <f>IFERROR((IF(VLOOKUP(A860,'ECN-ECO_DATA'!B:Q,14,FALSE)="","",VLOOKUP(A860,'ECN-ECO_DATA'!B:Q,14,FALSE))),"")</f>
        <v/>
      </c>
      <c r="K860" s="10" t="str">
        <f>IFERROR((IF(VLOOKUP(A860,'ECN-ECO_DATA'!B:Q,15,FALSE)="","",VLOOKUP(A860,'ECN-ECO_DATA'!B:Q,15,FALSE))),"")</f>
        <v/>
      </c>
      <c r="L860" s="10" t="str">
        <f>IFERROR((IF(VLOOKUP(A860,'ECN-ECO_DATA'!B:Q,16,FALSE)="","",VLOOKUP(A860,'ECN-ECO_DATA'!B:Q,16,FALSE))),"")</f>
        <v/>
      </c>
      <c r="M860" s="9" t="str">
        <f>IFERROR((IF(VLOOKUP(A860,'ECN-ECO_DATA'!B:V,18,FALSE)=0/1/1900,"",VLOOKUP(A860,'ECN-ECO_DATA'!B:V,18,FALSE))),"")</f>
        <v/>
      </c>
      <c r="N860" s="9" t="str">
        <f>IFERROR((IF(VLOOKUP(A860,'ECN-ECO_DATA'!B:V,19,FALSE)=0/1/1900,"",VLOOKUP(A860,'ECN-ECO_DATA'!B:V,19,FALSE))),"")</f>
        <v/>
      </c>
      <c r="O860" s="9" t="str">
        <f>IFERROR((IF(VLOOKUP(A860,'ECN-ECO_DATA'!B:V,20,FALSE)=0/1/1900,"",VLOOKUP(A860,'ECN-ECO_DATA'!B:V,20,FALSE))),"")</f>
        <v/>
      </c>
      <c r="P860" s="9" t="str">
        <f>IFERROR((IF(VLOOKUP(A860,'ECN-ECO_DATA'!B:V,21,FALSE)=0/1/1900,"",VLOOKUP(A860,'ECN-ECO_DATA'!B:V,21,FALSE))),"")</f>
        <v/>
      </c>
      <c r="Q860" s="10" t="str">
        <f t="shared" ca="1" si="65"/>
        <v/>
      </c>
      <c r="R860" s="4" t="str">
        <f t="shared" si="66"/>
        <v/>
      </c>
      <c r="S860" s="4" t="str">
        <f t="shared" si="67"/>
        <v/>
      </c>
      <c r="T860" s="4" t="str">
        <f t="shared" si="68"/>
        <v/>
      </c>
      <c r="U860" s="10" t="str">
        <f t="shared" si="69"/>
        <v/>
      </c>
      <c r="V860" s="4"/>
    </row>
    <row r="861" spans="2:22" x14ac:dyDescent="0.25">
      <c r="B861" s="4" t="str">
        <f>IFERROR(VLOOKUP(A861,'ECN-ECO_DATA'!B:G,4,FALSE),"")</f>
        <v/>
      </c>
      <c r="C861" s="9" t="str">
        <f>IFERROR(VLOOKUP(A861,'ECN-ECO_DATA'!B:G,5,FALSE),"")</f>
        <v/>
      </c>
      <c r="D861" s="9" t="str">
        <f ca="1">IFERROR((IF(VLOOKUP(A861,'ECN-ECO_DATA'!B:G,6,FALSE)=0/1/1900,TODAY(),VLOOKUP(A861,'ECN-ECO_DATA'!B:G,6,FALSE))),"")</f>
        <v/>
      </c>
      <c r="E861" s="9" t="str">
        <f>IFERROR((IF(VLOOKUP(A861,'ECN-ECO_DATA'!B:G,6,FALSE)=0/1/1900,"",VLOOKUP(A861,'ECN-ECO_DATA'!B:G,6,FALSE))),"")</f>
        <v/>
      </c>
      <c r="F861" s="9" t="str">
        <f>IFERROR((IF(VLOOKUP(A861,'ECN-ECO_DATA'!B:J,7,FALSE)=0/1/1900,"",VLOOKUP(A861,'ECN-ECO_DATA'!B:J,7,FALSE))),"")</f>
        <v/>
      </c>
      <c r="G861" s="9" t="str">
        <f>IFERROR((IF(VLOOKUP(A861,'ECN-ECO_DATA'!B:J,8,FALSE)=0/1/1900,"",VLOOKUP(A861,'ECN-ECO_DATA'!B:J,8,FALSE))),"")</f>
        <v/>
      </c>
      <c r="H861" s="9" t="str">
        <f>IFERROR((IF(VLOOKUP(A861,'ECN-ECO_DATA'!B:J,9,FALSE)=0/1/1900,"",VLOOKUP(A861,'ECN-ECO_DATA'!B:J,9,FALSE))),"")</f>
        <v/>
      </c>
      <c r="I861" s="10" t="str">
        <f>IFERROR((IF(VLOOKUP(A861,'ECN-ECO_DATA'!B:Q,13,FALSE)="","",VLOOKUP(A861,'ECN-ECO_DATA'!B:Q,13,FALSE))),"")</f>
        <v/>
      </c>
      <c r="J861" s="10" t="str">
        <f>IFERROR((IF(VLOOKUP(A861,'ECN-ECO_DATA'!B:Q,14,FALSE)="","",VLOOKUP(A861,'ECN-ECO_DATA'!B:Q,14,FALSE))),"")</f>
        <v/>
      </c>
      <c r="K861" s="10" t="str">
        <f>IFERROR((IF(VLOOKUP(A861,'ECN-ECO_DATA'!B:Q,15,FALSE)="","",VLOOKUP(A861,'ECN-ECO_DATA'!B:Q,15,FALSE))),"")</f>
        <v/>
      </c>
      <c r="L861" s="10" t="str">
        <f>IFERROR((IF(VLOOKUP(A861,'ECN-ECO_DATA'!B:Q,16,FALSE)="","",VLOOKUP(A861,'ECN-ECO_DATA'!B:Q,16,FALSE))),"")</f>
        <v/>
      </c>
      <c r="M861" s="9" t="str">
        <f>IFERROR((IF(VLOOKUP(A861,'ECN-ECO_DATA'!B:V,18,FALSE)=0/1/1900,"",VLOOKUP(A861,'ECN-ECO_DATA'!B:V,18,FALSE))),"")</f>
        <v/>
      </c>
      <c r="N861" s="9" t="str">
        <f>IFERROR((IF(VLOOKUP(A861,'ECN-ECO_DATA'!B:V,19,FALSE)=0/1/1900,"",VLOOKUP(A861,'ECN-ECO_DATA'!B:V,19,FALSE))),"")</f>
        <v/>
      </c>
      <c r="O861" s="9" t="str">
        <f>IFERROR((IF(VLOOKUP(A861,'ECN-ECO_DATA'!B:V,20,FALSE)=0/1/1900,"",VLOOKUP(A861,'ECN-ECO_DATA'!B:V,20,FALSE))),"")</f>
        <v/>
      </c>
      <c r="P861" s="9" t="str">
        <f>IFERROR((IF(VLOOKUP(A861,'ECN-ECO_DATA'!B:V,21,FALSE)=0/1/1900,"",VLOOKUP(A861,'ECN-ECO_DATA'!B:V,21,FALSE))),"")</f>
        <v/>
      </c>
      <c r="Q861" s="10" t="str">
        <f t="shared" ca="1" si="65"/>
        <v/>
      </c>
      <c r="R861" s="4" t="str">
        <f t="shared" si="66"/>
        <v/>
      </c>
      <c r="S861" s="4" t="str">
        <f t="shared" si="67"/>
        <v/>
      </c>
      <c r="T861" s="4" t="str">
        <f t="shared" si="68"/>
        <v/>
      </c>
      <c r="U861" s="10" t="str">
        <f t="shared" si="69"/>
        <v/>
      </c>
      <c r="V861" s="4"/>
    </row>
    <row r="862" spans="2:22" x14ac:dyDescent="0.25">
      <c r="B862" s="4" t="str">
        <f>IFERROR(VLOOKUP(A862,'ECN-ECO_DATA'!B:G,4,FALSE),"")</f>
        <v/>
      </c>
      <c r="C862" s="9" t="str">
        <f>IFERROR(VLOOKUP(A862,'ECN-ECO_DATA'!B:G,5,FALSE),"")</f>
        <v/>
      </c>
      <c r="D862" s="9" t="str">
        <f ca="1">IFERROR((IF(VLOOKUP(A862,'ECN-ECO_DATA'!B:G,6,FALSE)=0/1/1900,TODAY(),VLOOKUP(A862,'ECN-ECO_DATA'!B:G,6,FALSE))),"")</f>
        <v/>
      </c>
      <c r="E862" s="9" t="str">
        <f>IFERROR((IF(VLOOKUP(A862,'ECN-ECO_DATA'!B:G,6,FALSE)=0/1/1900,"",VLOOKUP(A862,'ECN-ECO_DATA'!B:G,6,FALSE))),"")</f>
        <v/>
      </c>
      <c r="F862" s="9" t="str">
        <f>IFERROR((IF(VLOOKUP(A862,'ECN-ECO_DATA'!B:J,7,FALSE)=0/1/1900,"",VLOOKUP(A862,'ECN-ECO_DATA'!B:J,7,FALSE))),"")</f>
        <v/>
      </c>
      <c r="G862" s="9" t="str">
        <f>IFERROR((IF(VLOOKUP(A862,'ECN-ECO_DATA'!B:J,8,FALSE)=0/1/1900,"",VLOOKUP(A862,'ECN-ECO_DATA'!B:J,8,FALSE))),"")</f>
        <v/>
      </c>
      <c r="H862" s="9" t="str">
        <f>IFERROR((IF(VLOOKUP(A862,'ECN-ECO_DATA'!B:J,9,FALSE)=0/1/1900,"",VLOOKUP(A862,'ECN-ECO_DATA'!B:J,9,FALSE))),"")</f>
        <v/>
      </c>
      <c r="I862" s="10" t="str">
        <f>IFERROR((IF(VLOOKUP(A862,'ECN-ECO_DATA'!B:Q,13,FALSE)="","",VLOOKUP(A862,'ECN-ECO_DATA'!B:Q,13,FALSE))),"")</f>
        <v/>
      </c>
      <c r="J862" s="10" t="str">
        <f>IFERROR((IF(VLOOKUP(A862,'ECN-ECO_DATA'!B:Q,14,FALSE)="","",VLOOKUP(A862,'ECN-ECO_DATA'!B:Q,14,FALSE))),"")</f>
        <v/>
      </c>
      <c r="K862" s="10" t="str">
        <f>IFERROR((IF(VLOOKUP(A862,'ECN-ECO_DATA'!B:Q,15,FALSE)="","",VLOOKUP(A862,'ECN-ECO_DATA'!B:Q,15,FALSE))),"")</f>
        <v/>
      </c>
      <c r="L862" s="10" t="str">
        <f>IFERROR((IF(VLOOKUP(A862,'ECN-ECO_DATA'!B:Q,16,FALSE)="","",VLOOKUP(A862,'ECN-ECO_DATA'!B:Q,16,FALSE))),"")</f>
        <v/>
      </c>
      <c r="M862" s="9" t="str">
        <f>IFERROR((IF(VLOOKUP(A862,'ECN-ECO_DATA'!B:V,18,FALSE)=0/1/1900,"",VLOOKUP(A862,'ECN-ECO_DATA'!B:V,18,FALSE))),"")</f>
        <v/>
      </c>
      <c r="N862" s="9" t="str">
        <f>IFERROR((IF(VLOOKUP(A862,'ECN-ECO_DATA'!B:V,19,FALSE)=0/1/1900,"",VLOOKUP(A862,'ECN-ECO_DATA'!B:V,19,FALSE))),"")</f>
        <v/>
      </c>
      <c r="O862" s="9" t="str">
        <f>IFERROR((IF(VLOOKUP(A862,'ECN-ECO_DATA'!B:V,20,FALSE)=0/1/1900,"",VLOOKUP(A862,'ECN-ECO_DATA'!B:V,20,FALSE))),"")</f>
        <v/>
      </c>
      <c r="P862" s="9" t="str">
        <f>IFERROR((IF(VLOOKUP(A862,'ECN-ECO_DATA'!B:V,21,FALSE)=0/1/1900,"",VLOOKUP(A862,'ECN-ECO_DATA'!B:V,21,FALSE))),"")</f>
        <v/>
      </c>
      <c r="Q862" s="10" t="str">
        <f t="shared" ca="1" si="65"/>
        <v/>
      </c>
      <c r="R862" s="4" t="str">
        <f t="shared" si="66"/>
        <v/>
      </c>
      <c r="S862" s="4" t="str">
        <f t="shared" si="67"/>
        <v/>
      </c>
      <c r="T862" s="4" t="str">
        <f t="shared" si="68"/>
        <v/>
      </c>
      <c r="U862" s="10" t="str">
        <f t="shared" si="69"/>
        <v/>
      </c>
      <c r="V862" s="4"/>
    </row>
    <row r="863" spans="2:22" x14ac:dyDescent="0.25">
      <c r="B863" s="4" t="str">
        <f>IFERROR(VLOOKUP(A863,'ECN-ECO_DATA'!B:G,4,FALSE),"")</f>
        <v/>
      </c>
      <c r="C863" s="9" t="str">
        <f>IFERROR(VLOOKUP(A863,'ECN-ECO_DATA'!B:G,5,FALSE),"")</f>
        <v/>
      </c>
      <c r="D863" s="9" t="str">
        <f ca="1">IFERROR((IF(VLOOKUP(A863,'ECN-ECO_DATA'!B:G,6,FALSE)=0/1/1900,TODAY(),VLOOKUP(A863,'ECN-ECO_DATA'!B:G,6,FALSE))),"")</f>
        <v/>
      </c>
      <c r="E863" s="9" t="str">
        <f>IFERROR((IF(VLOOKUP(A863,'ECN-ECO_DATA'!B:G,6,FALSE)=0/1/1900,"",VLOOKUP(A863,'ECN-ECO_DATA'!B:G,6,FALSE))),"")</f>
        <v/>
      </c>
      <c r="F863" s="9" t="str">
        <f>IFERROR((IF(VLOOKUP(A863,'ECN-ECO_DATA'!B:J,7,FALSE)=0/1/1900,"",VLOOKUP(A863,'ECN-ECO_DATA'!B:J,7,FALSE))),"")</f>
        <v/>
      </c>
      <c r="G863" s="9" t="str">
        <f>IFERROR((IF(VLOOKUP(A863,'ECN-ECO_DATA'!B:J,8,FALSE)=0/1/1900,"",VLOOKUP(A863,'ECN-ECO_DATA'!B:J,8,FALSE))),"")</f>
        <v/>
      </c>
      <c r="H863" s="9" t="str">
        <f>IFERROR((IF(VLOOKUP(A863,'ECN-ECO_DATA'!B:J,9,FALSE)=0/1/1900,"",VLOOKUP(A863,'ECN-ECO_DATA'!B:J,9,FALSE))),"")</f>
        <v/>
      </c>
      <c r="I863" s="10" t="str">
        <f>IFERROR((IF(VLOOKUP(A863,'ECN-ECO_DATA'!B:Q,13,FALSE)="","",VLOOKUP(A863,'ECN-ECO_DATA'!B:Q,13,FALSE))),"")</f>
        <v/>
      </c>
      <c r="J863" s="10" t="str">
        <f>IFERROR((IF(VLOOKUP(A863,'ECN-ECO_DATA'!B:Q,14,FALSE)="","",VLOOKUP(A863,'ECN-ECO_DATA'!B:Q,14,FALSE))),"")</f>
        <v/>
      </c>
      <c r="K863" s="10" t="str">
        <f>IFERROR((IF(VLOOKUP(A863,'ECN-ECO_DATA'!B:Q,15,FALSE)="","",VLOOKUP(A863,'ECN-ECO_DATA'!B:Q,15,FALSE))),"")</f>
        <v/>
      </c>
      <c r="L863" s="10" t="str">
        <f>IFERROR((IF(VLOOKUP(A863,'ECN-ECO_DATA'!B:Q,16,FALSE)="","",VLOOKUP(A863,'ECN-ECO_DATA'!B:Q,16,FALSE))),"")</f>
        <v/>
      </c>
      <c r="M863" s="9" t="str">
        <f>IFERROR((IF(VLOOKUP(A863,'ECN-ECO_DATA'!B:V,18,FALSE)=0/1/1900,"",VLOOKUP(A863,'ECN-ECO_DATA'!B:V,18,FALSE))),"")</f>
        <v/>
      </c>
      <c r="N863" s="9" t="str">
        <f>IFERROR((IF(VLOOKUP(A863,'ECN-ECO_DATA'!B:V,19,FALSE)=0/1/1900,"",VLOOKUP(A863,'ECN-ECO_DATA'!B:V,19,FALSE))),"")</f>
        <v/>
      </c>
      <c r="O863" s="9" t="str">
        <f>IFERROR((IF(VLOOKUP(A863,'ECN-ECO_DATA'!B:V,20,FALSE)=0/1/1900,"",VLOOKUP(A863,'ECN-ECO_DATA'!B:V,20,FALSE))),"")</f>
        <v/>
      </c>
      <c r="P863" s="9" t="str">
        <f>IFERROR((IF(VLOOKUP(A863,'ECN-ECO_DATA'!B:V,21,FALSE)=0/1/1900,"",VLOOKUP(A863,'ECN-ECO_DATA'!B:V,21,FALSE))),"")</f>
        <v/>
      </c>
      <c r="Q863" s="10" t="str">
        <f t="shared" ca="1" si="65"/>
        <v/>
      </c>
      <c r="R863" s="4" t="str">
        <f t="shared" si="66"/>
        <v/>
      </c>
      <c r="S863" s="4" t="str">
        <f t="shared" si="67"/>
        <v/>
      </c>
      <c r="T863" s="4" t="str">
        <f t="shared" si="68"/>
        <v/>
      </c>
      <c r="U863" s="10" t="str">
        <f t="shared" si="69"/>
        <v/>
      </c>
      <c r="V863" s="4"/>
    </row>
    <row r="864" spans="2:22" x14ac:dyDescent="0.25">
      <c r="B864" s="4" t="str">
        <f>IFERROR(VLOOKUP(A864,'ECN-ECO_DATA'!B:G,4,FALSE),"")</f>
        <v/>
      </c>
      <c r="C864" s="9" t="str">
        <f>IFERROR(VLOOKUP(A864,'ECN-ECO_DATA'!B:G,5,FALSE),"")</f>
        <v/>
      </c>
      <c r="D864" s="9" t="str">
        <f ca="1">IFERROR((IF(VLOOKUP(A864,'ECN-ECO_DATA'!B:G,6,FALSE)=0/1/1900,TODAY(),VLOOKUP(A864,'ECN-ECO_DATA'!B:G,6,FALSE))),"")</f>
        <v/>
      </c>
      <c r="E864" s="9" t="str">
        <f>IFERROR((IF(VLOOKUP(A864,'ECN-ECO_DATA'!B:G,6,FALSE)=0/1/1900,"",VLOOKUP(A864,'ECN-ECO_DATA'!B:G,6,FALSE))),"")</f>
        <v/>
      </c>
      <c r="F864" s="9" t="str">
        <f>IFERROR((IF(VLOOKUP(A864,'ECN-ECO_DATA'!B:J,7,FALSE)=0/1/1900,"",VLOOKUP(A864,'ECN-ECO_DATA'!B:J,7,FALSE))),"")</f>
        <v/>
      </c>
      <c r="G864" s="9" t="str">
        <f>IFERROR((IF(VLOOKUP(A864,'ECN-ECO_DATA'!B:J,8,FALSE)=0/1/1900,"",VLOOKUP(A864,'ECN-ECO_DATA'!B:J,8,FALSE))),"")</f>
        <v/>
      </c>
      <c r="H864" s="9" t="str">
        <f>IFERROR((IF(VLOOKUP(A864,'ECN-ECO_DATA'!B:J,9,FALSE)=0/1/1900,"",VLOOKUP(A864,'ECN-ECO_DATA'!B:J,9,FALSE))),"")</f>
        <v/>
      </c>
      <c r="I864" s="10" t="str">
        <f>IFERROR((IF(VLOOKUP(A864,'ECN-ECO_DATA'!B:Q,13,FALSE)="","",VLOOKUP(A864,'ECN-ECO_DATA'!B:Q,13,FALSE))),"")</f>
        <v/>
      </c>
      <c r="J864" s="10" t="str">
        <f>IFERROR((IF(VLOOKUP(A864,'ECN-ECO_DATA'!B:Q,14,FALSE)="","",VLOOKUP(A864,'ECN-ECO_DATA'!B:Q,14,FALSE))),"")</f>
        <v/>
      </c>
      <c r="K864" s="10" t="str">
        <f>IFERROR((IF(VLOOKUP(A864,'ECN-ECO_DATA'!B:Q,15,FALSE)="","",VLOOKUP(A864,'ECN-ECO_DATA'!B:Q,15,FALSE))),"")</f>
        <v/>
      </c>
      <c r="L864" s="10" t="str">
        <f>IFERROR((IF(VLOOKUP(A864,'ECN-ECO_DATA'!B:Q,16,FALSE)="","",VLOOKUP(A864,'ECN-ECO_DATA'!B:Q,16,FALSE))),"")</f>
        <v/>
      </c>
      <c r="M864" s="9" t="str">
        <f>IFERROR((IF(VLOOKUP(A864,'ECN-ECO_DATA'!B:V,18,FALSE)=0/1/1900,"",VLOOKUP(A864,'ECN-ECO_DATA'!B:V,18,FALSE))),"")</f>
        <v/>
      </c>
      <c r="N864" s="9" t="str">
        <f>IFERROR((IF(VLOOKUP(A864,'ECN-ECO_DATA'!B:V,19,FALSE)=0/1/1900,"",VLOOKUP(A864,'ECN-ECO_DATA'!B:V,19,FALSE))),"")</f>
        <v/>
      </c>
      <c r="O864" s="9" t="str">
        <f>IFERROR((IF(VLOOKUP(A864,'ECN-ECO_DATA'!B:V,20,FALSE)=0/1/1900,"",VLOOKUP(A864,'ECN-ECO_DATA'!B:V,20,FALSE))),"")</f>
        <v/>
      </c>
      <c r="P864" s="9" t="str">
        <f>IFERROR((IF(VLOOKUP(A864,'ECN-ECO_DATA'!B:V,21,FALSE)=0/1/1900,"",VLOOKUP(A864,'ECN-ECO_DATA'!B:V,21,FALSE))),"")</f>
        <v/>
      </c>
      <c r="Q864" s="10" t="str">
        <f t="shared" ca="1" si="65"/>
        <v/>
      </c>
      <c r="R864" s="4" t="str">
        <f t="shared" si="66"/>
        <v/>
      </c>
      <c r="S864" s="4" t="str">
        <f t="shared" si="67"/>
        <v/>
      </c>
      <c r="T864" s="4" t="str">
        <f t="shared" si="68"/>
        <v/>
      </c>
      <c r="U864" s="10" t="str">
        <f t="shared" si="69"/>
        <v/>
      </c>
      <c r="V864" s="4"/>
    </row>
    <row r="865" spans="2:22" x14ac:dyDescent="0.25">
      <c r="B865" s="4" t="str">
        <f>IFERROR(VLOOKUP(A865,'ECN-ECO_DATA'!B:G,4,FALSE),"")</f>
        <v/>
      </c>
      <c r="C865" s="9" t="str">
        <f>IFERROR(VLOOKUP(A865,'ECN-ECO_DATA'!B:G,5,FALSE),"")</f>
        <v/>
      </c>
      <c r="D865" s="9" t="str">
        <f ca="1">IFERROR((IF(VLOOKUP(A865,'ECN-ECO_DATA'!B:G,6,FALSE)=0/1/1900,TODAY(),VLOOKUP(A865,'ECN-ECO_DATA'!B:G,6,FALSE))),"")</f>
        <v/>
      </c>
      <c r="E865" s="9" t="str">
        <f>IFERROR((IF(VLOOKUP(A865,'ECN-ECO_DATA'!B:G,6,FALSE)=0/1/1900,"",VLOOKUP(A865,'ECN-ECO_DATA'!B:G,6,FALSE))),"")</f>
        <v/>
      </c>
      <c r="F865" s="9" t="str">
        <f>IFERROR((IF(VLOOKUP(A865,'ECN-ECO_DATA'!B:J,7,FALSE)=0/1/1900,"",VLOOKUP(A865,'ECN-ECO_DATA'!B:J,7,FALSE))),"")</f>
        <v/>
      </c>
      <c r="G865" s="9" t="str">
        <f>IFERROR((IF(VLOOKUP(A865,'ECN-ECO_DATA'!B:J,8,FALSE)=0/1/1900,"",VLOOKUP(A865,'ECN-ECO_DATA'!B:J,8,FALSE))),"")</f>
        <v/>
      </c>
      <c r="H865" s="9" t="str">
        <f>IFERROR((IF(VLOOKUP(A865,'ECN-ECO_DATA'!B:J,9,FALSE)=0/1/1900,"",VLOOKUP(A865,'ECN-ECO_DATA'!B:J,9,FALSE))),"")</f>
        <v/>
      </c>
      <c r="I865" s="10" t="str">
        <f>IFERROR((IF(VLOOKUP(A865,'ECN-ECO_DATA'!B:Q,13,FALSE)="","",VLOOKUP(A865,'ECN-ECO_DATA'!B:Q,13,FALSE))),"")</f>
        <v/>
      </c>
      <c r="J865" s="10" t="str">
        <f>IFERROR((IF(VLOOKUP(A865,'ECN-ECO_DATA'!B:Q,14,FALSE)="","",VLOOKUP(A865,'ECN-ECO_DATA'!B:Q,14,FALSE))),"")</f>
        <v/>
      </c>
      <c r="K865" s="10" t="str">
        <f>IFERROR((IF(VLOOKUP(A865,'ECN-ECO_DATA'!B:Q,15,FALSE)="","",VLOOKUP(A865,'ECN-ECO_DATA'!B:Q,15,FALSE))),"")</f>
        <v/>
      </c>
      <c r="L865" s="10" t="str">
        <f>IFERROR((IF(VLOOKUP(A865,'ECN-ECO_DATA'!B:Q,16,FALSE)="","",VLOOKUP(A865,'ECN-ECO_DATA'!B:Q,16,FALSE))),"")</f>
        <v/>
      </c>
      <c r="M865" s="9" t="str">
        <f>IFERROR((IF(VLOOKUP(A865,'ECN-ECO_DATA'!B:V,18,FALSE)=0/1/1900,"",VLOOKUP(A865,'ECN-ECO_DATA'!B:V,18,FALSE))),"")</f>
        <v/>
      </c>
      <c r="N865" s="9" t="str">
        <f>IFERROR((IF(VLOOKUP(A865,'ECN-ECO_DATA'!B:V,19,FALSE)=0/1/1900,"",VLOOKUP(A865,'ECN-ECO_DATA'!B:V,19,FALSE))),"")</f>
        <v/>
      </c>
      <c r="O865" s="9" t="str">
        <f>IFERROR((IF(VLOOKUP(A865,'ECN-ECO_DATA'!B:V,20,FALSE)=0/1/1900,"",VLOOKUP(A865,'ECN-ECO_DATA'!B:V,20,FALSE))),"")</f>
        <v/>
      </c>
      <c r="P865" s="9" t="str">
        <f>IFERROR((IF(VLOOKUP(A865,'ECN-ECO_DATA'!B:V,21,FALSE)=0/1/1900,"",VLOOKUP(A865,'ECN-ECO_DATA'!B:V,21,FALSE))),"")</f>
        <v/>
      </c>
      <c r="Q865" s="10" t="str">
        <f t="shared" ca="1" si="65"/>
        <v/>
      </c>
      <c r="R865" s="4" t="str">
        <f t="shared" si="66"/>
        <v/>
      </c>
      <c r="S865" s="4" t="str">
        <f t="shared" si="67"/>
        <v/>
      </c>
      <c r="T865" s="4" t="str">
        <f t="shared" si="68"/>
        <v/>
      </c>
      <c r="U865" s="10" t="str">
        <f t="shared" si="69"/>
        <v/>
      </c>
      <c r="V865" s="4"/>
    </row>
    <row r="866" spans="2:22" x14ac:dyDescent="0.25">
      <c r="B866" s="4" t="str">
        <f>IFERROR(VLOOKUP(A866,'ECN-ECO_DATA'!B:G,4,FALSE),"")</f>
        <v/>
      </c>
      <c r="C866" s="9" t="str">
        <f>IFERROR(VLOOKUP(A866,'ECN-ECO_DATA'!B:G,5,FALSE),"")</f>
        <v/>
      </c>
      <c r="D866" s="9" t="str">
        <f ca="1">IFERROR((IF(VLOOKUP(A866,'ECN-ECO_DATA'!B:G,6,FALSE)=0/1/1900,TODAY(),VLOOKUP(A866,'ECN-ECO_DATA'!B:G,6,FALSE))),"")</f>
        <v/>
      </c>
      <c r="E866" s="9" t="str">
        <f>IFERROR((IF(VLOOKUP(A866,'ECN-ECO_DATA'!B:G,6,FALSE)=0/1/1900,"",VLOOKUP(A866,'ECN-ECO_DATA'!B:G,6,FALSE))),"")</f>
        <v/>
      </c>
      <c r="F866" s="9" t="str">
        <f>IFERROR((IF(VLOOKUP(A866,'ECN-ECO_DATA'!B:J,7,FALSE)=0/1/1900,"",VLOOKUP(A866,'ECN-ECO_DATA'!B:J,7,FALSE))),"")</f>
        <v/>
      </c>
      <c r="G866" s="9" t="str">
        <f>IFERROR((IF(VLOOKUP(A866,'ECN-ECO_DATA'!B:J,8,FALSE)=0/1/1900,"",VLOOKUP(A866,'ECN-ECO_DATA'!B:J,8,FALSE))),"")</f>
        <v/>
      </c>
      <c r="H866" s="9" t="str">
        <f>IFERROR((IF(VLOOKUP(A866,'ECN-ECO_DATA'!B:J,9,FALSE)=0/1/1900,"",VLOOKUP(A866,'ECN-ECO_DATA'!B:J,9,FALSE))),"")</f>
        <v/>
      </c>
      <c r="I866" s="10" t="str">
        <f>IFERROR((IF(VLOOKUP(A866,'ECN-ECO_DATA'!B:Q,13,FALSE)="","",VLOOKUP(A866,'ECN-ECO_DATA'!B:Q,13,FALSE))),"")</f>
        <v/>
      </c>
      <c r="J866" s="10" t="str">
        <f>IFERROR((IF(VLOOKUP(A866,'ECN-ECO_DATA'!B:Q,14,FALSE)="","",VLOOKUP(A866,'ECN-ECO_DATA'!B:Q,14,FALSE))),"")</f>
        <v/>
      </c>
      <c r="K866" s="10" t="str">
        <f>IFERROR((IF(VLOOKUP(A866,'ECN-ECO_DATA'!B:Q,15,FALSE)="","",VLOOKUP(A866,'ECN-ECO_DATA'!B:Q,15,FALSE))),"")</f>
        <v/>
      </c>
      <c r="L866" s="10" t="str">
        <f>IFERROR((IF(VLOOKUP(A866,'ECN-ECO_DATA'!B:Q,16,FALSE)="","",VLOOKUP(A866,'ECN-ECO_DATA'!B:Q,16,FALSE))),"")</f>
        <v/>
      </c>
      <c r="M866" s="9" t="str">
        <f>IFERROR((IF(VLOOKUP(A866,'ECN-ECO_DATA'!B:V,18,FALSE)=0/1/1900,"",VLOOKUP(A866,'ECN-ECO_DATA'!B:V,18,FALSE))),"")</f>
        <v/>
      </c>
      <c r="N866" s="9" t="str">
        <f>IFERROR((IF(VLOOKUP(A866,'ECN-ECO_DATA'!B:V,19,FALSE)=0/1/1900,"",VLOOKUP(A866,'ECN-ECO_DATA'!B:V,19,FALSE))),"")</f>
        <v/>
      </c>
      <c r="O866" s="9" t="str">
        <f>IFERROR((IF(VLOOKUP(A866,'ECN-ECO_DATA'!B:V,20,FALSE)=0/1/1900,"",VLOOKUP(A866,'ECN-ECO_DATA'!B:V,20,FALSE))),"")</f>
        <v/>
      </c>
      <c r="P866" s="9" t="str">
        <f>IFERROR((IF(VLOOKUP(A866,'ECN-ECO_DATA'!B:V,21,FALSE)=0/1/1900,"",VLOOKUP(A866,'ECN-ECO_DATA'!B:V,21,FALSE))),"")</f>
        <v/>
      </c>
      <c r="Q866" s="10" t="str">
        <f t="shared" ca="1" si="65"/>
        <v/>
      </c>
      <c r="R866" s="4" t="str">
        <f t="shared" si="66"/>
        <v/>
      </c>
      <c r="S866" s="4" t="str">
        <f t="shared" si="67"/>
        <v/>
      </c>
      <c r="T866" s="4" t="str">
        <f t="shared" si="68"/>
        <v/>
      </c>
      <c r="U866" s="10" t="str">
        <f t="shared" si="69"/>
        <v/>
      </c>
      <c r="V866" s="4"/>
    </row>
    <row r="867" spans="2:22" x14ac:dyDescent="0.25">
      <c r="B867" s="4" t="str">
        <f>IFERROR(VLOOKUP(A867,'ECN-ECO_DATA'!B:G,4,FALSE),"")</f>
        <v/>
      </c>
      <c r="C867" s="9" t="str">
        <f>IFERROR(VLOOKUP(A867,'ECN-ECO_DATA'!B:G,5,FALSE),"")</f>
        <v/>
      </c>
      <c r="D867" s="9" t="str">
        <f ca="1">IFERROR((IF(VLOOKUP(A867,'ECN-ECO_DATA'!B:G,6,FALSE)=0/1/1900,TODAY(),VLOOKUP(A867,'ECN-ECO_DATA'!B:G,6,FALSE))),"")</f>
        <v/>
      </c>
      <c r="E867" s="9" t="str">
        <f>IFERROR((IF(VLOOKUP(A867,'ECN-ECO_DATA'!B:G,6,FALSE)=0/1/1900,"",VLOOKUP(A867,'ECN-ECO_DATA'!B:G,6,FALSE))),"")</f>
        <v/>
      </c>
      <c r="F867" s="9" t="str">
        <f>IFERROR((IF(VLOOKUP(A867,'ECN-ECO_DATA'!B:J,7,FALSE)=0/1/1900,"",VLOOKUP(A867,'ECN-ECO_DATA'!B:J,7,FALSE))),"")</f>
        <v/>
      </c>
      <c r="G867" s="9" t="str">
        <f>IFERROR((IF(VLOOKUP(A867,'ECN-ECO_DATA'!B:J,8,FALSE)=0/1/1900,"",VLOOKUP(A867,'ECN-ECO_DATA'!B:J,8,FALSE))),"")</f>
        <v/>
      </c>
      <c r="H867" s="9" t="str">
        <f>IFERROR((IF(VLOOKUP(A867,'ECN-ECO_DATA'!B:J,9,FALSE)=0/1/1900,"",VLOOKUP(A867,'ECN-ECO_DATA'!B:J,9,FALSE))),"")</f>
        <v/>
      </c>
      <c r="I867" s="10" t="str">
        <f>IFERROR((IF(VLOOKUP(A867,'ECN-ECO_DATA'!B:Q,13,FALSE)="","",VLOOKUP(A867,'ECN-ECO_DATA'!B:Q,13,FALSE))),"")</f>
        <v/>
      </c>
      <c r="J867" s="10" t="str">
        <f>IFERROR((IF(VLOOKUP(A867,'ECN-ECO_DATA'!B:Q,14,FALSE)="","",VLOOKUP(A867,'ECN-ECO_DATA'!B:Q,14,FALSE))),"")</f>
        <v/>
      </c>
      <c r="K867" s="10" t="str">
        <f>IFERROR((IF(VLOOKUP(A867,'ECN-ECO_DATA'!B:Q,15,FALSE)="","",VLOOKUP(A867,'ECN-ECO_DATA'!B:Q,15,FALSE))),"")</f>
        <v/>
      </c>
      <c r="L867" s="10" t="str">
        <f>IFERROR((IF(VLOOKUP(A867,'ECN-ECO_DATA'!B:Q,16,FALSE)="","",VLOOKUP(A867,'ECN-ECO_DATA'!B:Q,16,FALSE))),"")</f>
        <v/>
      </c>
      <c r="M867" s="9" t="str">
        <f>IFERROR((IF(VLOOKUP(A867,'ECN-ECO_DATA'!B:V,18,FALSE)=0/1/1900,"",VLOOKUP(A867,'ECN-ECO_DATA'!B:V,18,FALSE))),"")</f>
        <v/>
      </c>
      <c r="N867" s="9" t="str">
        <f>IFERROR((IF(VLOOKUP(A867,'ECN-ECO_DATA'!B:V,19,FALSE)=0/1/1900,"",VLOOKUP(A867,'ECN-ECO_DATA'!B:V,19,FALSE))),"")</f>
        <v/>
      </c>
      <c r="O867" s="9" t="str">
        <f>IFERROR((IF(VLOOKUP(A867,'ECN-ECO_DATA'!B:V,20,FALSE)=0/1/1900,"",VLOOKUP(A867,'ECN-ECO_DATA'!B:V,20,FALSE))),"")</f>
        <v/>
      </c>
      <c r="P867" s="9" t="str">
        <f>IFERROR((IF(VLOOKUP(A867,'ECN-ECO_DATA'!B:V,21,FALSE)=0/1/1900,"",VLOOKUP(A867,'ECN-ECO_DATA'!B:V,21,FALSE))),"")</f>
        <v/>
      </c>
      <c r="Q867" s="10" t="str">
        <f t="shared" ca="1" si="65"/>
        <v/>
      </c>
      <c r="R867" s="4" t="str">
        <f t="shared" si="66"/>
        <v/>
      </c>
      <c r="S867" s="4" t="str">
        <f t="shared" si="67"/>
        <v/>
      </c>
      <c r="T867" s="4" t="str">
        <f t="shared" si="68"/>
        <v/>
      </c>
      <c r="U867" s="10" t="str">
        <f t="shared" si="69"/>
        <v/>
      </c>
      <c r="V867" s="4"/>
    </row>
    <row r="868" spans="2:22" x14ac:dyDescent="0.25">
      <c r="B868" s="4" t="str">
        <f>IFERROR(VLOOKUP(A868,'ECN-ECO_DATA'!B:G,4,FALSE),"")</f>
        <v/>
      </c>
      <c r="C868" s="9" t="str">
        <f>IFERROR(VLOOKUP(A868,'ECN-ECO_DATA'!B:G,5,FALSE),"")</f>
        <v/>
      </c>
      <c r="D868" s="9" t="str">
        <f ca="1">IFERROR((IF(VLOOKUP(A868,'ECN-ECO_DATA'!B:G,6,FALSE)=0/1/1900,TODAY(),VLOOKUP(A868,'ECN-ECO_DATA'!B:G,6,FALSE))),"")</f>
        <v/>
      </c>
      <c r="E868" s="9" t="str">
        <f>IFERROR((IF(VLOOKUP(A868,'ECN-ECO_DATA'!B:G,6,FALSE)=0/1/1900,"",VLOOKUP(A868,'ECN-ECO_DATA'!B:G,6,FALSE))),"")</f>
        <v/>
      </c>
      <c r="F868" s="9" t="str">
        <f>IFERROR((IF(VLOOKUP(A868,'ECN-ECO_DATA'!B:J,7,FALSE)=0/1/1900,"",VLOOKUP(A868,'ECN-ECO_DATA'!B:J,7,FALSE))),"")</f>
        <v/>
      </c>
      <c r="G868" s="9" t="str">
        <f>IFERROR((IF(VLOOKUP(A868,'ECN-ECO_DATA'!B:J,8,FALSE)=0/1/1900,"",VLOOKUP(A868,'ECN-ECO_DATA'!B:J,8,FALSE))),"")</f>
        <v/>
      </c>
      <c r="H868" s="9" t="str">
        <f>IFERROR((IF(VLOOKUP(A868,'ECN-ECO_DATA'!B:J,9,FALSE)=0/1/1900,"",VLOOKUP(A868,'ECN-ECO_DATA'!B:J,9,FALSE))),"")</f>
        <v/>
      </c>
      <c r="I868" s="10" t="str">
        <f>IFERROR((IF(VLOOKUP(A868,'ECN-ECO_DATA'!B:Q,13,FALSE)="","",VLOOKUP(A868,'ECN-ECO_DATA'!B:Q,13,FALSE))),"")</f>
        <v/>
      </c>
      <c r="J868" s="10" t="str">
        <f>IFERROR((IF(VLOOKUP(A868,'ECN-ECO_DATA'!B:Q,14,FALSE)="","",VLOOKUP(A868,'ECN-ECO_DATA'!B:Q,14,FALSE))),"")</f>
        <v/>
      </c>
      <c r="K868" s="10" t="str">
        <f>IFERROR((IF(VLOOKUP(A868,'ECN-ECO_DATA'!B:Q,15,FALSE)="","",VLOOKUP(A868,'ECN-ECO_DATA'!B:Q,15,FALSE))),"")</f>
        <v/>
      </c>
      <c r="L868" s="10" t="str">
        <f>IFERROR((IF(VLOOKUP(A868,'ECN-ECO_DATA'!B:Q,16,FALSE)="","",VLOOKUP(A868,'ECN-ECO_DATA'!B:Q,16,FALSE))),"")</f>
        <v/>
      </c>
      <c r="M868" s="9" t="str">
        <f>IFERROR((IF(VLOOKUP(A868,'ECN-ECO_DATA'!B:V,18,FALSE)=0/1/1900,"",VLOOKUP(A868,'ECN-ECO_DATA'!B:V,18,FALSE))),"")</f>
        <v/>
      </c>
      <c r="N868" s="9" t="str">
        <f>IFERROR((IF(VLOOKUP(A868,'ECN-ECO_DATA'!B:V,19,FALSE)=0/1/1900,"",VLOOKUP(A868,'ECN-ECO_DATA'!B:V,19,FALSE))),"")</f>
        <v/>
      </c>
      <c r="O868" s="9" t="str">
        <f>IFERROR((IF(VLOOKUP(A868,'ECN-ECO_DATA'!B:V,20,FALSE)=0/1/1900,"",VLOOKUP(A868,'ECN-ECO_DATA'!B:V,20,FALSE))),"")</f>
        <v/>
      </c>
      <c r="P868" s="9" t="str">
        <f>IFERROR((IF(VLOOKUP(A868,'ECN-ECO_DATA'!B:V,21,FALSE)=0/1/1900,"",VLOOKUP(A868,'ECN-ECO_DATA'!B:V,21,FALSE))),"")</f>
        <v/>
      </c>
      <c r="Q868" s="10" t="str">
        <f t="shared" ca="1" si="65"/>
        <v/>
      </c>
      <c r="R868" s="4" t="str">
        <f t="shared" si="66"/>
        <v/>
      </c>
      <c r="S868" s="4" t="str">
        <f t="shared" si="67"/>
        <v/>
      </c>
      <c r="T868" s="4" t="str">
        <f t="shared" si="68"/>
        <v/>
      </c>
      <c r="U868" s="10" t="str">
        <f t="shared" si="69"/>
        <v/>
      </c>
      <c r="V868" s="4"/>
    </row>
    <row r="869" spans="2:22" x14ac:dyDescent="0.25">
      <c r="B869" s="4" t="str">
        <f>IFERROR(VLOOKUP(A869,'ECN-ECO_DATA'!B:G,4,FALSE),"")</f>
        <v/>
      </c>
      <c r="C869" s="9" t="str">
        <f>IFERROR(VLOOKUP(A869,'ECN-ECO_DATA'!B:G,5,FALSE),"")</f>
        <v/>
      </c>
      <c r="D869" s="9" t="str">
        <f ca="1">IFERROR((IF(VLOOKUP(A869,'ECN-ECO_DATA'!B:G,6,FALSE)=0/1/1900,TODAY(),VLOOKUP(A869,'ECN-ECO_DATA'!B:G,6,FALSE))),"")</f>
        <v/>
      </c>
      <c r="E869" s="9" t="str">
        <f>IFERROR((IF(VLOOKUP(A869,'ECN-ECO_DATA'!B:G,6,FALSE)=0/1/1900,"",VLOOKUP(A869,'ECN-ECO_DATA'!B:G,6,FALSE))),"")</f>
        <v/>
      </c>
      <c r="F869" s="9" t="str">
        <f>IFERROR((IF(VLOOKUP(A869,'ECN-ECO_DATA'!B:J,7,FALSE)=0/1/1900,"",VLOOKUP(A869,'ECN-ECO_DATA'!B:J,7,FALSE))),"")</f>
        <v/>
      </c>
      <c r="G869" s="9" t="str">
        <f>IFERROR((IF(VLOOKUP(A869,'ECN-ECO_DATA'!B:J,8,FALSE)=0/1/1900,"",VLOOKUP(A869,'ECN-ECO_DATA'!B:J,8,FALSE))),"")</f>
        <v/>
      </c>
      <c r="H869" s="9" t="str">
        <f>IFERROR((IF(VLOOKUP(A869,'ECN-ECO_DATA'!B:J,9,FALSE)=0/1/1900,"",VLOOKUP(A869,'ECN-ECO_DATA'!B:J,9,FALSE))),"")</f>
        <v/>
      </c>
      <c r="I869" s="10" t="str">
        <f>IFERROR((IF(VLOOKUP(A869,'ECN-ECO_DATA'!B:Q,13,FALSE)="","",VLOOKUP(A869,'ECN-ECO_DATA'!B:Q,13,FALSE))),"")</f>
        <v/>
      </c>
      <c r="J869" s="10" t="str">
        <f>IFERROR((IF(VLOOKUP(A869,'ECN-ECO_DATA'!B:Q,14,FALSE)="","",VLOOKUP(A869,'ECN-ECO_DATA'!B:Q,14,FALSE))),"")</f>
        <v/>
      </c>
      <c r="K869" s="10" t="str">
        <f>IFERROR((IF(VLOOKUP(A869,'ECN-ECO_DATA'!B:Q,15,FALSE)="","",VLOOKUP(A869,'ECN-ECO_DATA'!B:Q,15,FALSE))),"")</f>
        <v/>
      </c>
      <c r="L869" s="10" t="str">
        <f>IFERROR((IF(VLOOKUP(A869,'ECN-ECO_DATA'!B:Q,16,FALSE)="","",VLOOKUP(A869,'ECN-ECO_DATA'!B:Q,16,FALSE))),"")</f>
        <v/>
      </c>
      <c r="M869" s="9" t="str">
        <f>IFERROR((IF(VLOOKUP(A869,'ECN-ECO_DATA'!B:V,18,FALSE)=0/1/1900,"",VLOOKUP(A869,'ECN-ECO_DATA'!B:V,18,FALSE))),"")</f>
        <v/>
      </c>
      <c r="N869" s="9" t="str">
        <f>IFERROR((IF(VLOOKUP(A869,'ECN-ECO_DATA'!B:V,19,FALSE)=0/1/1900,"",VLOOKUP(A869,'ECN-ECO_DATA'!B:V,19,FALSE))),"")</f>
        <v/>
      </c>
      <c r="O869" s="9" t="str">
        <f>IFERROR((IF(VLOOKUP(A869,'ECN-ECO_DATA'!B:V,20,FALSE)=0/1/1900,"",VLOOKUP(A869,'ECN-ECO_DATA'!B:V,20,FALSE))),"")</f>
        <v/>
      </c>
      <c r="P869" s="9" t="str">
        <f>IFERROR((IF(VLOOKUP(A869,'ECN-ECO_DATA'!B:V,21,FALSE)=0/1/1900,"",VLOOKUP(A869,'ECN-ECO_DATA'!B:V,21,FALSE))),"")</f>
        <v/>
      </c>
      <c r="Q869" s="10" t="str">
        <f t="shared" ca="1" si="65"/>
        <v/>
      </c>
      <c r="R869" s="4" t="str">
        <f t="shared" si="66"/>
        <v/>
      </c>
      <c r="S869" s="4" t="str">
        <f t="shared" si="67"/>
        <v/>
      </c>
      <c r="T869" s="4" t="str">
        <f t="shared" si="68"/>
        <v/>
      </c>
      <c r="U869" s="10" t="str">
        <f t="shared" si="69"/>
        <v/>
      </c>
      <c r="V869" s="4"/>
    </row>
    <row r="870" spans="2:22" x14ac:dyDescent="0.25">
      <c r="B870" s="4" t="str">
        <f>IFERROR(VLOOKUP(A870,'ECN-ECO_DATA'!B:G,4,FALSE),"")</f>
        <v/>
      </c>
      <c r="C870" s="9" t="str">
        <f>IFERROR(VLOOKUP(A870,'ECN-ECO_DATA'!B:G,5,FALSE),"")</f>
        <v/>
      </c>
      <c r="D870" s="9" t="str">
        <f ca="1">IFERROR((IF(VLOOKUP(A870,'ECN-ECO_DATA'!B:G,6,FALSE)=0/1/1900,TODAY(),VLOOKUP(A870,'ECN-ECO_DATA'!B:G,6,FALSE))),"")</f>
        <v/>
      </c>
      <c r="E870" s="9" t="str">
        <f>IFERROR((IF(VLOOKUP(A870,'ECN-ECO_DATA'!B:G,6,FALSE)=0/1/1900,"",VLOOKUP(A870,'ECN-ECO_DATA'!B:G,6,FALSE))),"")</f>
        <v/>
      </c>
      <c r="F870" s="9" t="str">
        <f>IFERROR((IF(VLOOKUP(A870,'ECN-ECO_DATA'!B:J,7,FALSE)=0/1/1900,"",VLOOKUP(A870,'ECN-ECO_DATA'!B:J,7,FALSE))),"")</f>
        <v/>
      </c>
      <c r="G870" s="9" t="str">
        <f>IFERROR((IF(VLOOKUP(A870,'ECN-ECO_DATA'!B:J,8,FALSE)=0/1/1900,"",VLOOKUP(A870,'ECN-ECO_DATA'!B:J,8,FALSE))),"")</f>
        <v/>
      </c>
      <c r="H870" s="9" t="str">
        <f>IFERROR((IF(VLOOKUP(A870,'ECN-ECO_DATA'!B:J,9,FALSE)=0/1/1900,"",VLOOKUP(A870,'ECN-ECO_DATA'!B:J,9,FALSE))),"")</f>
        <v/>
      </c>
      <c r="I870" s="10" t="str">
        <f>IFERROR((IF(VLOOKUP(A870,'ECN-ECO_DATA'!B:Q,13,FALSE)="","",VLOOKUP(A870,'ECN-ECO_DATA'!B:Q,13,FALSE))),"")</f>
        <v/>
      </c>
      <c r="J870" s="10" t="str">
        <f>IFERROR((IF(VLOOKUP(A870,'ECN-ECO_DATA'!B:Q,14,FALSE)="","",VLOOKUP(A870,'ECN-ECO_DATA'!B:Q,14,FALSE))),"")</f>
        <v/>
      </c>
      <c r="K870" s="10" t="str">
        <f>IFERROR((IF(VLOOKUP(A870,'ECN-ECO_DATA'!B:Q,15,FALSE)="","",VLOOKUP(A870,'ECN-ECO_DATA'!B:Q,15,FALSE))),"")</f>
        <v/>
      </c>
      <c r="L870" s="10" t="str">
        <f>IFERROR((IF(VLOOKUP(A870,'ECN-ECO_DATA'!B:Q,16,FALSE)="","",VLOOKUP(A870,'ECN-ECO_DATA'!B:Q,16,FALSE))),"")</f>
        <v/>
      </c>
      <c r="M870" s="9" t="str">
        <f>IFERROR((IF(VLOOKUP(A870,'ECN-ECO_DATA'!B:V,18,FALSE)=0/1/1900,"",VLOOKUP(A870,'ECN-ECO_DATA'!B:V,18,FALSE))),"")</f>
        <v/>
      </c>
      <c r="N870" s="9" t="str">
        <f>IFERROR((IF(VLOOKUP(A870,'ECN-ECO_DATA'!B:V,19,FALSE)=0/1/1900,"",VLOOKUP(A870,'ECN-ECO_DATA'!B:V,19,FALSE))),"")</f>
        <v/>
      </c>
      <c r="O870" s="9" t="str">
        <f>IFERROR((IF(VLOOKUP(A870,'ECN-ECO_DATA'!B:V,20,FALSE)=0/1/1900,"",VLOOKUP(A870,'ECN-ECO_DATA'!B:V,20,FALSE))),"")</f>
        <v/>
      </c>
      <c r="P870" s="9" t="str">
        <f>IFERROR((IF(VLOOKUP(A870,'ECN-ECO_DATA'!B:V,21,FALSE)=0/1/1900,"",VLOOKUP(A870,'ECN-ECO_DATA'!B:V,21,FALSE))),"")</f>
        <v/>
      </c>
      <c r="Q870" s="10" t="str">
        <f t="shared" ca="1" si="65"/>
        <v/>
      </c>
      <c r="R870" s="4" t="str">
        <f t="shared" si="66"/>
        <v/>
      </c>
      <c r="S870" s="4" t="str">
        <f t="shared" si="67"/>
        <v/>
      </c>
      <c r="T870" s="4" t="str">
        <f t="shared" si="68"/>
        <v/>
      </c>
      <c r="U870" s="10" t="str">
        <f t="shared" si="69"/>
        <v/>
      </c>
      <c r="V870" s="4"/>
    </row>
    <row r="871" spans="2:22" x14ac:dyDescent="0.25">
      <c r="B871" s="4" t="str">
        <f>IFERROR(VLOOKUP(A871,'ECN-ECO_DATA'!B:G,4,FALSE),"")</f>
        <v/>
      </c>
      <c r="C871" s="9" t="str">
        <f>IFERROR(VLOOKUP(A871,'ECN-ECO_DATA'!B:G,5,FALSE),"")</f>
        <v/>
      </c>
      <c r="D871" s="9" t="str">
        <f ca="1">IFERROR((IF(VLOOKUP(A871,'ECN-ECO_DATA'!B:G,6,FALSE)=0/1/1900,TODAY(),VLOOKUP(A871,'ECN-ECO_DATA'!B:G,6,FALSE))),"")</f>
        <v/>
      </c>
      <c r="E871" s="9" t="str">
        <f>IFERROR((IF(VLOOKUP(A871,'ECN-ECO_DATA'!B:G,6,FALSE)=0/1/1900,"",VLOOKUP(A871,'ECN-ECO_DATA'!B:G,6,FALSE))),"")</f>
        <v/>
      </c>
      <c r="F871" s="9" t="str">
        <f>IFERROR((IF(VLOOKUP(A871,'ECN-ECO_DATA'!B:J,7,FALSE)=0/1/1900,"",VLOOKUP(A871,'ECN-ECO_DATA'!B:J,7,FALSE))),"")</f>
        <v/>
      </c>
      <c r="G871" s="9" t="str">
        <f>IFERROR((IF(VLOOKUP(A871,'ECN-ECO_DATA'!B:J,8,FALSE)=0/1/1900,"",VLOOKUP(A871,'ECN-ECO_DATA'!B:J,8,FALSE))),"")</f>
        <v/>
      </c>
      <c r="H871" s="9" t="str">
        <f>IFERROR((IF(VLOOKUP(A871,'ECN-ECO_DATA'!B:J,9,FALSE)=0/1/1900,"",VLOOKUP(A871,'ECN-ECO_DATA'!B:J,9,FALSE))),"")</f>
        <v/>
      </c>
      <c r="I871" s="10" t="str">
        <f>IFERROR((IF(VLOOKUP(A871,'ECN-ECO_DATA'!B:Q,13,FALSE)="","",VLOOKUP(A871,'ECN-ECO_DATA'!B:Q,13,FALSE))),"")</f>
        <v/>
      </c>
      <c r="J871" s="10" t="str">
        <f>IFERROR((IF(VLOOKUP(A871,'ECN-ECO_DATA'!B:Q,14,FALSE)="","",VLOOKUP(A871,'ECN-ECO_DATA'!B:Q,14,FALSE))),"")</f>
        <v/>
      </c>
      <c r="K871" s="10" t="str">
        <f>IFERROR((IF(VLOOKUP(A871,'ECN-ECO_DATA'!B:Q,15,FALSE)="","",VLOOKUP(A871,'ECN-ECO_DATA'!B:Q,15,FALSE))),"")</f>
        <v/>
      </c>
      <c r="L871" s="10" t="str">
        <f>IFERROR((IF(VLOOKUP(A871,'ECN-ECO_DATA'!B:Q,16,FALSE)="","",VLOOKUP(A871,'ECN-ECO_DATA'!B:Q,16,FALSE))),"")</f>
        <v/>
      </c>
      <c r="M871" s="9" t="str">
        <f>IFERROR((IF(VLOOKUP(A871,'ECN-ECO_DATA'!B:V,18,FALSE)=0/1/1900,"",VLOOKUP(A871,'ECN-ECO_DATA'!B:V,18,FALSE))),"")</f>
        <v/>
      </c>
      <c r="N871" s="9" t="str">
        <f>IFERROR((IF(VLOOKUP(A871,'ECN-ECO_DATA'!B:V,19,FALSE)=0/1/1900,"",VLOOKUP(A871,'ECN-ECO_DATA'!B:V,19,FALSE))),"")</f>
        <v/>
      </c>
      <c r="O871" s="9" t="str">
        <f>IFERROR((IF(VLOOKUP(A871,'ECN-ECO_DATA'!B:V,20,FALSE)=0/1/1900,"",VLOOKUP(A871,'ECN-ECO_DATA'!B:V,20,FALSE))),"")</f>
        <v/>
      </c>
      <c r="P871" s="9" t="str">
        <f>IFERROR((IF(VLOOKUP(A871,'ECN-ECO_DATA'!B:V,21,FALSE)=0/1/1900,"",VLOOKUP(A871,'ECN-ECO_DATA'!B:V,21,FALSE))),"")</f>
        <v/>
      </c>
      <c r="Q871" s="10" t="str">
        <f t="shared" ca="1" si="65"/>
        <v/>
      </c>
      <c r="R871" s="4" t="str">
        <f t="shared" si="66"/>
        <v/>
      </c>
      <c r="S871" s="4" t="str">
        <f t="shared" si="67"/>
        <v/>
      </c>
      <c r="T871" s="4" t="str">
        <f t="shared" si="68"/>
        <v/>
      </c>
      <c r="U871" s="10" t="str">
        <f t="shared" si="69"/>
        <v/>
      </c>
      <c r="V871" s="4"/>
    </row>
    <row r="872" spans="2:22" x14ac:dyDescent="0.25">
      <c r="B872" s="4" t="str">
        <f>IFERROR(VLOOKUP(A872,'ECN-ECO_DATA'!B:G,4,FALSE),"")</f>
        <v/>
      </c>
      <c r="C872" s="9" t="str">
        <f>IFERROR(VLOOKUP(A872,'ECN-ECO_DATA'!B:G,5,FALSE),"")</f>
        <v/>
      </c>
      <c r="D872" s="9" t="str">
        <f ca="1">IFERROR((IF(VLOOKUP(A872,'ECN-ECO_DATA'!B:G,6,FALSE)=0/1/1900,TODAY(),VLOOKUP(A872,'ECN-ECO_DATA'!B:G,6,FALSE))),"")</f>
        <v/>
      </c>
      <c r="E872" s="9" t="str">
        <f>IFERROR((IF(VLOOKUP(A872,'ECN-ECO_DATA'!B:G,6,FALSE)=0/1/1900,"",VLOOKUP(A872,'ECN-ECO_DATA'!B:G,6,FALSE))),"")</f>
        <v/>
      </c>
      <c r="F872" s="9" t="str">
        <f>IFERROR((IF(VLOOKUP(A872,'ECN-ECO_DATA'!B:J,7,FALSE)=0/1/1900,"",VLOOKUP(A872,'ECN-ECO_DATA'!B:J,7,FALSE))),"")</f>
        <v/>
      </c>
      <c r="G872" s="9" t="str">
        <f>IFERROR((IF(VLOOKUP(A872,'ECN-ECO_DATA'!B:J,8,FALSE)=0/1/1900,"",VLOOKUP(A872,'ECN-ECO_DATA'!B:J,8,FALSE))),"")</f>
        <v/>
      </c>
      <c r="H872" s="9" t="str">
        <f>IFERROR((IF(VLOOKUP(A872,'ECN-ECO_DATA'!B:J,9,FALSE)=0/1/1900,"",VLOOKUP(A872,'ECN-ECO_DATA'!B:J,9,FALSE))),"")</f>
        <v/>
      </c>
      <c r="I872" s="10" t="str">
        <f>IFERROR((IF(VLOOKUP(A872,'ECN-ECO_DATA'!B:Q,13,FALSE)="","",VLOOKUP(A872,'ECN-ECO_DATA'!B:Q,13,FALSE))),"")</f>
        <v/>
      </c>
      <c r="J872" s="10" t="str">
        <f>IFERROR((IF(VLOOKUP(A872,'ECN-ECO_DATA'!B:Q,14,FALSE)="","",VLOOKUP(A872,'ECN-ECO_DATA'!B:Q,14,FALSE))),"")</f>
        <v/>
      </c>
      <c r="K872" s="10" t="str">
        <f>IFERROR((IF(VLOOKUP(A872,'ECN-ECO_DATA'!B:Q,15,FALSE)="","",VLOOKUP(A872,'ECN-ECO_DATA'!B:Q,15,FALSE))),"")</f>
        <v/>
      </c>
      <c r="L872" s="10" t="str">
        <f>IFERROR((IF(VLOOKUP(A872,'ECN-ECO_DATA'!B:Q,16,FALSE)="","",VLOOKUP(A872,'ECN-ECO_DATA'!B:Q,16,FALSE))),"")</f>
        <v/>
      </c>
      <c r="M872" s="9" t="str">
        <f>IFERROR((IF(VLOOKUP(A872,'ECN-ECO_DATA'!B:V,18,FALSE)=0/1/1900,"",VLOOKUP(A872,'ECN-ECO_DATA'!B:V,18,FALSE))),"")</f>
        <v/>
      </c>
      <c r="N872" s="9" t="str">
        <f>IFERROR((IF(VLOOKUP(A872,'ECN-ECO_DATA'!B:V,19,FALSE)=0/1/1900,"",VLOOKUP(A872,'ECN-ECO_DATA'!B:V,19,FALSE))),"")</f>
        <v/>
      </c>
      <c r="O872" s="9" t="str">
        <f>IFERROR((IF(VLOOKUP(A872,'ECN-ECO_DATA'!B:V,20,FALSE)=0/1/1900,"",VLOOKUP(A872,'ECN-ECO_DATA'!B:V,20,FALSE))),"")</f>
        <v/>
      </c>
      <c r="P872" s="9" t="str">
        <f>IFERROR((IF(VLOOKUP(A872,'ECN-ECO_DATA'!B:V,21,FALSE)=0/1/1900,"",VLOOKUP(A872,'ECN-ECO_DATA'!B:V,21,FALSE))),"")</f>
        <v/>
      </c>
      <c r="Q872" s="10" t="str">
        <f t="shared" ca="1" si="65"/>
        <v/>
      </c>
      <c r="R872" s="4" t="str">
        <f t="shared" si="66"/>
        <v/>
      </c>
      <c r="S872" s="4" t="str">
        <f t="shared" si="67"/>
        <v/>
      </c>
      <c r="T872" s="4" t="str">
        <f t="shared" si="68"/>
        <v/>
      </c>
      <c r="U872" s="10" t="str">
        <f t="shared" si="69"/>
        <v/>
      </c>
      <c r="V872" s="4"/>
    </row>
    <row r="873" spans="2:22" x14ac:dyDescent="0.25">
      <c r="B873" s="4" t="str">
        <f>IFERROR(VLOOKUP(A873,'ECN-ECO_DATA'!B:G,4,FALSE),"")</f>
        <v/>
      </c>
      <c r="C873" s="9" t="str">
        <f>IFERROR(VLOOKUP(A873,'ECN-ECO_DATA'!B:G,5,FALSE),"")</f>
        <v/>
      </c>
      <c r="D873" s="9" t="str">
        <f ca="1">IFERROR((IF(VLOOKUP(A873,'ECN-ECO_DATA'!B:G,6,FALSE)=0/1/1900,TODAY(),VLOOKUP(A873,'ECN-ECO_DATA'!B:G,6,FALSE))),"")</f>
        <v/>
      </c>
      <c r="E873" s="9" t="str">
        <f>IFERROR((IF(VLOOKUP(A873,'ECN-ECO_DATA'!B:G,6,FALSE)=0/1/1900,"",VLOOKUP(A873,'ECN-ECO_DATA'!B:G,6,FALSE))),"")</f>
        <v/>
      </c>
      <c r="F873" s="9" t="str">
        <f>IFERROR((IF(VLOOKUP(A873,'ECN-ECO_DATA'!B:J,7,FALSE)=0/1/1900,"",VLOOKUP(A873,'ECN-ECO_DATA'!B:J,7,FALSE))),"")</f>
        <v/>
      </c>
      <c r="G873" s="9" t="str">
        <f>IFERROR((IF(VLOOKUP(A873,'ECN-ECO_DATA'!B:J,8,FALSE)=0/1/1900,"",VLOOKUP(A873,'ECN-ECO_DATA'!B:J,8,FALSE))),"")</f>
        <v/>
      </c>
      <c r="H873" s="9" t="str">
        <f>IFERROR((IF(VLOOKUP(A873,'ECN-ECO_DATA'!B:J,9,FALSE)=0/1/1900,"",VLOOKUP(A873,'ECN-ECO_DATA'!B:J,9,FALSE))),"")</f>
        <v/>
      </c>
      <c r="I873" s="10" t="str">
        <f>IFERROR((IF(VLOOKUP(A873,'ECN-ECO_DATA'!B:Q,13,FALSE)="","",VLOOKUP(A873,'ECN-ECO_DATA'!B:Q,13,FALSE))),"")</f>
        <v/>
      </c>
      <c r="J873" s="10" t="str">
        <f>IFERROR((IF(VLOOKUP(A873,'ECN-ECO_DATA'!B:Q,14,FALSE)="","",VLOOKUP(A873,'ECN-ECO_DATA'!B:Q,14,FALSE))),"")</f>
        <v/>
      </c>
      <c r="K873" s="10" t="str">
        <f>IFERROR((IF(VLOOKUP(A873,'ECN-ECO_DATA'!B:Q,15,FALSE)="","",VLOOKUP(A873,'ECN-ECO_DATA'!B:Q,15,FALSE))),"")</f>
        <v/>
      </c>
      <c r="L873" s="10" t="str">
        <f>IFERROR((IF(VLOOKUP(A873,'ECN-ECO_DATA'!B:Q,16,FALSE)="","",VLOOKUP(A873,'ECN-ECO_DATA'!B:Q,16,FALSE))),"")</f>
        <v/>
      </c>
      <c r="M873" s="9" t="str">
        <f>IFERROR((IF(VLOOKUP(A873,'ECN-ECO_DATA'!B:V,18,FALSE)=0/1/1900,"",VLOOKUP(A873,'ECN-ECO_DATA'!B:V,18,FALSE))),"")</f>
        <v/>
      </c>
      <c r="N873" s="9" t="str">
        <f>IFERROR((IF(VLOOKUP(A873,'ECN-ECO_DATA'!B:V,19,FALSE)=0/1/1900,"",VLOOKUP(A873,'ECN-ECO_DATA'!B:V,19,FALSE))),"")</f>
        <v/>
      </c>
      <c r="O873" s="9" t="str">
        <f>IFERROR((IF(VLOOKUP(A873,'ECN-ECO_DATA'!B:V,20,FALSE)=0/1/1900,"",VLOOKUP(A873,'ECN-ECO_DATA'!B:V,20,FALSE))),"")</f>
        <v/>
      </c>
      <c r="P873" s="9" t="str">
        <f>IFERROR((IF(VLOOKUP(A873,'ECN-ECO_DATA'!B:V,21,FALSE)=0/1/1900,"",VLOOKUP(A873,'ECN-ECO_DATA'!B:V,21,FALSE))),"")</f>
        <v/>
      </c>
      <c r="Q873" s="10" t="str">
        <f t="shared" ca="1" si="65"/>
        <v/>
      </c>
      <c r="R873" s="4" t="str">
        <f t="shared" si="66"/>
        <v/>
      </c>
      <c r="S873" s="4" t="str">
        <f t="shared" si="67"/>
        <v/>
      </c>
      <c r="T873" s="4" t="str">
        <f t="shared" si="68"/>
        <v/>
      </c>
      <c r="U873" s="10" t="str">
        <f t="shared" si="69"/>
        <v/>
      </c>
      <c r="V873" s="4"/>
    </row>
    <row r="874" spans="2:22" x14ac:dyDescent="0.25">
      <c r="B874" s="4" t="str">
        <f>IFERROR(VLOOKUP(A874,'ECN-ECO_DATA'!B:G,4,FALSE),"")</f>
        <v/>
      </c>
      <c r="C874" s="9" t="str">
        <f>IFERROR(VLOOKUP(A874,'ECN-ECO_DATA'!B:G,5,FALSE),"")</f>
        <v/>
      </c>
      <c r="D874" s="9" t="str">
        <f ca="1">IFERROR((IF(VLOOKUP(A874,'ECN-ECO_DATA'!B:G,6,FALSE)=0/1/1900,TODAY(),VLOOKUP(A874,'ECN-ECO_DATA'!B:G,6,FALSE))),"")</f>
        <v/>
      </c>
      <c r="E874" s="9" t="str">
        <f>IFERROR((IF(VLOOKUP(A874,'ECN-ECO_DATA'!B:G,6,FALSE)=0/1/1900,"",VLOOKUP(A874,'ECN-ECO_DATA'!B:G,6,FALSE))),"")</f>
        <v/>
      </c>
      <c r="F874" s="9" t="str">
        <f>IFERROR((IF(VLOOKUP(A874,'ECN-ECO_DATA'!B:J,7,FALSE)=0/1/1900,"",VLOOKUP(A874,'ECN-ECO_DATA'!B:J,7,FALSE))),"")</f>
        <v/>
      </c>
      <c r="G874" s="9" t="str">
        <f>IFERROR((IF(VLOOKUP(A874,'ECN-ECO_DATA'!B:J,8,FALSE)=0/1/1900,"",VLOOKUP(A874,'ECN-ECO_DATA'!B:J,8,FALSE))),"")</f>
        <v/>
      </c>
      <c r="H874" s="9" t="str">
        <f>IFERROR((IF(VLOOKUP(A874,'ECN-ECO_DATA'!B:J,9,FALSE)=0/1/1900,"",VLOOKUP(A874,'ECN-ECO_DATA'!B:J,9,FALSE))),"")</f>
        <v/>
      </c>
      <c r="I874" s="10" t="str">
        <f>IFERROR((IF(VLOOKUP(A874,'ECN-ECO_DATA'!B:Q,13,FALSE)="","",VLOOKUP(A874,'ECN-ECO_DATA'!B:Q,13,FALSE))),"")</f>
        <v/>
      </c>
      <c r="J874" s="10" t="str">
        <f>IFERROR((IF(VLOOKUP(A874,'ECN-ECO_DATA'!B:Q,14,FALSE)="","",VLOOKUP(A874,'ECN-ECO_DATA'!B:Q,14,FALSE))),"")</f>
        <v/>
      </c>
      <c r="K874" s="10" t="str">
        <f>IFERROR((IF(VLOOKUP(A874,'ECN-ECO_DATA'!B:Q,15,FALSE)="","",VLOOKUP(A874,'ECN-ECO_DATA'!B:Q,15,FALSE))),"")</f>
        <v/>
      </c>
      <c r="L874" s="10" t="str">
        <f>IFERROR((IF(VLOOKUP(A874,'ECN-ECO_DATA'!B:Q,16,FALSE)="","",VLOOKUP(A874,'ECN-ECO_DATA'!B:Q,16,FALSE))),"")</f>
        <v/>
      </c>
      <c r="M874" s="9" t="str">
        <f>IFERROR((IF(VLOOKUP(A874,'ECN-ECO_DATA'!B:V,18,FALSE)=0/1/1900,"",VLOOKUP(A874,'ECN-ECO_DATA'!B:V,18,FALSE))),"")</f>
        <v/>
      </c>
      <c r="N874" s="9" t="str">
        <f>IFERROR((IF(VLOOKUP(A874,'ECN-ECO_DATA'!B:V,19,FALSE)=0/1/1900,"",VLOOKUP(A874,'ECN-ECO_DATA'!B:V,19,FALSE))),"")</f>
        <v/>
      </c>
      <c r="O874" s="9" t="str">
        <f>IFERROR((IF(VLOOKUP(A874,'ECN-ECO_DATA'!B:V,20,FALSE)=0/1/1900,"",VLOOKUP(A874,'ECN-ECO_DATA'!B:V,20,FALSE))),"")</f>
        <v/>
      </c>
      <c r="P874" s="9" t="str">
        <f>IFERROR((IF(VLOOKUP(A874,'ECN-ECO_DATA'!B:V,21,FALSE)=0/1/1900,"",VLOOKUP(A874,'ECN-ECO_DATA'!B:V,21,FALSE))),"")</f>
        <v/>
      </c>
      <c r="Q874" s="10" t="str">
        <f t="shared" ca="1" si="65"/>
        <v/>
      </c>
      <c r="R874" s="4" t="str">
        <f t="shared" si="66"/>
        <v/>
      </c>
      <c r="S874" s="4" t="str">
        <f t="shared" si="67"/>
        <v/>
      </c>
      <c r="T874" s="4" t="str">
        <f t="shared" si="68"/>
        <v/>
      </c>
      <c r="U874" s="10" t="str">
        <f t="shared" si="69"/>
        <v/>
      </c>
      <c r="V874" s="4"/>
    </row>
    <row r="875" spans="2:22" x14ac:dyDescent="0.25">
      <c r="B875" s="4" t="str">
        <f>IFERROR(VLOOKUP(A875,'ECN-ECO_DATA'!B:G,4,FALSE),"")</f>
        <v/>
      </c>
      <c r="C875" s="9" t="str">
        <f>IFERROR(VLOOKUP(A875,'ECN-ECO_DATA'!B:G,5,FALSE),"")</f>
        <v/>
      </c>
      <c r="D875" s="9" t="str">
        <f ca="1">IFERROR((IF(VLOOKUP(A875,'ECN-ECO_DATA'!B:G,6,FALSE)=0/1/1900,TODAY(),VLOOKUP(A875,'ECN-ECO_DATA'!B:G,6,FALSE))),"")</f>
        <v/>
      </c>
      <c r="E875" s="9" t="str">
        <f>IFERROR((IF(VLOOKUP(A875,'ECN-ECO_DATA'!B:G,6,FALSE)=0/1/1900,"",VLOOKUP(A875,'ECN-ECO_DATA'!B:G,6,FALSE))),"")</f>
        <v/>
      </c>
      <c r="F875" s="9" t="str">
        <f>IFERROR((IF(VLOOKUP(A875,'ECN-ECO_DATA'!B:J,7,FALSE)=0/1/1900,"",VLOOKUP(A875,'ECN-ECO_DATA'!B:J,7,FALSE))),"")</f>
        <v/>
      </c>
      <c r="G875" s="9" t="str">
        <f>IFERROR((IF(VLOOKUP(A875,'ECN-ECO_DATA'!B:J,8,FALSE)=0/1/1900,"",VLOOKUP(A875,'ECN-ECO_DATA'!B:J,8,FALSE))),"")</f>
        <v/>
      </c>
      <c r="H875" s="9" t="str">
        <f>IFERROR((IF(VLOOKUP(A875,'ECN-ECO_DATA'!B:J,9,FALSE)=0/1/1900,"",VLOOKUP(A875,'ECN-ECO_DATA'!B:J,9,FALSE))),"")</f>
        <v/>
      </c>
      <c r="I875" s="10" t="str">
        <f>IFERROR((IF(VLOOKUP(A875,'ECN-ECO_DATA'!B:Q,13,FALSE)="","",VLOOKUP(A875,'ECN-ECO_DATA'!B:Q,13,FALSE))),"")</f>
        <v/>
      </c>
      <c r="J875" s="10" t="str">
        <f>IFERROR((IF(VLOOKUP(A875,'ECN-ECO_DATA'!B:Q,14,FALSE)="","",VLOOKUP(A875,'ECN-ECO_DATA'!B:Q,14,FALSE))),"")</f>
        <v/>
      </c>
      <c r="K875" s="10" t="str">
        <f>IFERROR((IF(VLOOKUP(A875,'ECN-ECO_DATA'!B:Q,15,FALSE)="","",VLOOKUP(A875,'ECN-ECO_DATA'!B:Q,15,FALSE))),"")</f>
        <v/>
      </c>
      <c r="L875" s="10" t="str">
        <f>IFERROR((IF(VLOOKUP(A875,'ECN-ECO_DATA'!B:Q,16,FALSE)="","",VLOOKUP(A875,'ECN-ECO_DATA'!B:Q,16,FALSE))),"")</f>
        <v/>
      </c>
      <c r="M875" s="9" t="str">
        <f>IFERROR((IF(VLOOKUP(A875,'ECN-ECO_DATA'!B:V,18,FALSE)=0/1/1900,"",VLOOKUP(A875,'ECN-ECO_DATA'!B:V,18,FALSE))),"")</f>
        <v/>
      </c>
      <c r="N875" s="9" t="str">
        <f>IFERROR((IF(VLOOKUP(A875,'ECN-ECO_DATA'!B:V,19,FALSE)=0/1/1900,"",VLOOKUP(A875,'ECN-ECO_DATA'!B:V,19,FALSE))),"")</f>
        <v/>
      </c>
      <c r="O875" s="9" t="str">
        <f>IFERROR((IF(VLOOKUP(A875,'ECN-ECO_DATA'!B:V,20,FALSE)=0/1/1900,"",VLOOKUP(A875,'ECN-ECO_DATA'!B:V,20,FALSE))),"")</f>
        <v/>
      </c>
      <c r="P875" s="9" t="str">
        <f>IFERROR((IF(VLOOKUP(A875,'ECN-ECO_DATA'!B:V,21,FALSE)=0/1/1900,"",VLOOKUP(A875,'ECN-ECO_DATA'!B:V,21,FALSE))),"")</f>
        <v/>
      </c>
      <c r="Q875" s="10" t="str">
        <f t="shared" ca="1" si="65"/>
        <v/>
      </c>
      <c r="R875" s="4" t="str">
        <f t="shared" si="66"/>
        <v/>
      </c>
      <c r="S875" s="4" t="str">
        <f t="shared" si="67"/>
        <v/>
      </c>
      <c r="T875" s="4" t="str">
        <f t="shared" si="68"/>
        <v/>
      </c>
      <c r="U875" s="10" t="str">
        <f t="shared" si="69"/>
        <v/>
      </c>
      <c r="V875" s="4"/>
    </row>
    <row r="876" spans="2:22" x14ac:dyDescent="0.25">
      <c r="B876" s="4" t="str">
        <f>IFERROR(VLOOKUP(A876,'ECN-ECO_DATA'!B:G,4,FALSE),"")</f>
        <v/>
      </c>
      <c r="C876" s="9" t="str">
        <f>IFERROR(VLOOKUP(A876,'ECN-ECO_DATA'!B:G,5,FALSE),"")</f>
        <v/>
      </c>
      <c r="D876" s="9" t="str">
        <f ca="1">IFERROR((IF(VLOOKUP(A876,'ECN-ECO_DATA'!B:G,6,FALSE)=0/1/1900,TODAY(),VLOOKUP(A876,'ECN-ECO_DATA'!B:G,6,FALSE))),"")</f>
        <v/>
      </c>
      <c r="E876" s="9" t="str">
        <f>IFERROR((IF(VLOOKUP(A876,'ECN-ECO_DATA'!B:G,6,FALSE)=0/1/1900,"",VLOOKUP(A876,'ECN-ECO_DATA'!B:G,6,FALSE))),"")</f>
        <v/>
      </c>
      <c r="F876" s="9" t="str">
        <f>IFERROR((IF(VLOOKUP(A876,'ECN-ECO_DATA'!B:J,7,FALSE)=0/1/1900,"",VLOOKUP(A876,'ECN-ECO_DATA'!B:J,7,FALSE))),"")</f>
        <v/>
      </c>
      <c r="G876" s="9" t="str">
        <f>IFERROR((IF(VLOOKUP(A876,'ECN-ECO_DATA'!B:J,8,FALSE)=0/1/1900,"",VLOOKUP(A876,'ECN-ECO_DATA'!B:J,8,FALSE))),"")</f>
        <v/>
      </c>
      <c r="H876" s="9" t="str">
        <f>IFERROR((IF(VLOOKUP(A876,'ECN-ECO_DATA'!B:J,9,FALSE)=0/1/1900,"",VLOOKUP(A876,'ECN-ECO_DATA'!B:J,9,FALSE))),"")</f>
        <v/>
      </c>
      <c r="I876" s="10" t="str">
        <f>IFERROR((IF(VLOOKUP(A876,'ECN-ECO_DATA'!B:Q,13,FALSE)="","",VLOOKUP(A876,'ECN-ECO_DATA'!B:Q,13,FALSE))),"")</f>
        <v/>
      </c>
      <c r="J876" s="10" t="str">
        <f>IFERROR((IF(VLOOKUP(A876,'ECN-ECO_DATA'!B:Q,14,FALSE)="","",VLOOKUP(A876,'ECN-ECO_DATA'!B:Q,14,FALSE))),"")</f>
        <v/>
      </c>
      <c r="K876" s="10" t="str">
        <f>IFERROR((IF(VLOOKUP(A876,'ECN-ECO_DATA'!B:Q,15,FALSE)="","",VLOOKUP(A876,'ECN-ECO_DATA'!B:Q,15,FALSE))),"")</f>
        <v/>
      </c>
      <c r="L876" s="10" t="str">
        <f>IFERROR((IF(VLOOKUP(A876,'ECN-ECO_DATA'!B:Q,16,FALSE)="","",VLOOKUP(A876,'ECN-ECO_DATA'!B:Q,16,FALSE))),"")</f>
        <v/>
      </c>
      <c r="M876" s="9" t="str">
        <f>IFERROR((IF(VLOOKUP(A876,'ECN-ECO_DATA'!B:V,18,FALSE)=0/1/1900,"",VLOOKUP(A876,'ECN-ECO_DATA'!B:V,18,FALSE))),"")</f>
        <v/>
      </c>
      <c r="N876" s="9" t="str">
        <f>IFERROR((IF(VLOOKUP(A876,'ECN-ECO_DATA'!B:V,19,FALSE)=0/1/1900,"",VLOOKUP(A876,'ECN-ECO_DATA'!B:V,19,FALSE))),"")</f>
        <v/>
      </c>
      <c r="O876" s="9" t="str">
        <f>IFERROR((IF(VLOOKUP(A876,'ECN-ECO_DATA'!B:V,20,FALSE)=0/1/1900,"",VLOOKUP(A876,'ECN-ECO_DATA'!B:V,20,FALSE))),"")</f>
        <v/>
      </c>
      <c r="P876" s="9" t="str">
        <f>IFERROR((IF(VLOOKUP(A876,'ECN-ECO_DATA'!B:V,21,FALSE)=0/1/1900,"",VLOOKUP(A876,'ECN-ECO_DATA'!B:V,21,FALSE))),"")</f>
        <v/>
      </c>
      <c r="Q876" s="10" t="str">
        <f t="shared" ca="1" si="65"/>
        <v/>
      </c>
      <c r="R876" s="4" t="str">
        <f t="shared" si="66"/>
        <v/>
      </c>
      <c r="S876" s="4" t="str">
        <f t="shared" si="67"/>
        <v/>
      </c>
      <c r="T876" s="4" t="str">
        <f t="shared" si="68"/>
        <v/>
      </c>
      <c r="U876" s="10" t="str">
        <f t="shared" si="69"/>
        <v/>
      </c>
      <c r="V876" s="4"/>
    </row>
    <row r="877" spans="2:22" x14ac:dyDescent="0.25">
      <c r="B877" s="4" t="str">
        <f>IFERROR(VLOOKUP(A877,'ECN-ECO_DATA'!B:G,4,FALSE),"")</f>
        <v/>
      </c>
      <c r="C877" s="9" t="str">
        <f>IFERROR(VLOOKUP(A877,'ECN-ECO_DATA'!B:G,5,FALSE),"")</f>
        <v/>
      </c>
      <c r="D877" s="9" t="str">
        <f ca="1">IFERROR((IF(VLOOKUP(A877,'ECN-ECO_DATA'!B:G,6,FALSE)=0/1/1900,TODAY(),VLOOKUP(A877,'ECN-ECO_DATA'!B:G,6,FALSE))),"")</f>
        <v/>
      </c>
      <c r="E877" s="9" t="str">
        <f>IFERROR((IF(VLOOKUP(A877,'ECN-ECO_DATA'!B:G,6,FALSE)=0/1/1900,"",VLOOKUP(A877,'ECN-ECO_DATA'!B:G,6,FALSE))),"")</f>
        <v/>
      </c>
      <c r="F877" s="9" t="str">
        <f>IFERROR((IF(VLOOKUP(A877,'ECN-ECO_DATA'!B:J,7,FALSE)=0/1/1900,"",VLOOKUP(A877,'ECN-ECO_DATA'!B:J,7,FALSE))),"")</f>
        <v/>
      </c>
      <c r="G877" s="9" t="str">
        <f>IFERROR((IF(VLOOKUP(A877,'ECN-ECO_DATA'!B:J,8,FALSE)=0/1/1900,"",VLOOKUP(A877,'ECN-ECO_DATA'!B:J,8,FALSE))),"")</f>
        <v/>
      </c>
      <c r="H877" s="9" t="str">
        <f>IFERROR((IF(VLOOKUP(A877,'ECN-ECO_DATA'!B:J,9,FALSE)=0/1/1900,"",VLOOKUP(A877,'ECN-ECO_DATA'!B:J,9,FALSE))),"")</f>
        <v/>
      </c>
      <c r="I877" s="10" t="str">
        <f>IFERROR((IF(VLOOKUP(A877,'ECN-ECO_DATA'!B:Q,13,FALSE)="","",VLOOKUP(A877,'ECN-ECO_DATA'!B:Q,13,FALSE))),"")</f>
        <v/>
      </c>
      <c r="J877" s="10" t="str">
        <f>IFERROR((IF(VLOOKUP(A877,'ECN-ECO_DATA'!B:Q,14,FALSE)="","",VLOOKUP(A877,'ECN-ECO_DATA'!B:Q,14,FALSE))),"")</f>
        <v/>
      </c>
      <c r="K877" s="10" t="str">
        <f>IFERROR((IF(VLOOKUP(A877,'ECN-ECO_DATA'!B:Q,15,FALSE)="","",VLOOKUP(A877,'ECN-ECO_DATA'!B:Q,15,FALSE))),"")</f>
        <v/>
      </c>
      <c r="L877" s="10" t="str">
        <f>IFERROR((IF(VLOOKUP(A877,'ECN-ECO_DATA'!B:Q,16,FALSE)="","",VLOOKUP(A877,'ECN-ECO_DATA'!B:Q,16,FALSE))),"")</f>
        <v/>
      </c>
      <c r="M877" s="9" t="str">
        <f>IFERROR((IF(VLOOKUP(A877,'ECN-ECO_DATA'!B:V,18,FALSE)=0/1/1900,"",VLOOKUP(A877,'ECN-ECO_DATA'!B:V,18,FALSE))),"")</f>
        <v/>
      </c>
      <c r="N877" s="9" t="str">
        <f>IFERROR((IF(VLOOKUP(A877,'ECN-ECO_DATA'!B:V,19,FALSE)=0/1/1900,"",VLOOKUP(A877,'ECN-ECO_DATA'!B:V,19,FALSE))),"")</f>
        <v/>
      </c>
      <c r="O877" s="9" t="str">
        <f>IFERROR((IF(VLOOKUP(A877,'ECN-ECO_DATA'!B:V,20,FALSE)=0/1/1900,"",VLOOKUP(A877,'ECN-ECO_DATA'!B:V,20,FALSE))),"")</f>
        <v/>
      </c>
      <c r="P877" s="9" t="str">
        <f>IFERROR((IF(VLOOKUP(A877,'ECN-ECO_DATA'!B:V,21,FALSE)=0/1/1900,"",VLOOKUP(A877,'ECN-ECO_DATA'!B:V,21,FALSE))),"")</f>
        <v/>
      </c>
      <c r="Q877" s="10" t="str">
        <f t="shared" ca="1" si="65"/>
        <v/>
      </c>
      <c r="R877" s="4" t="str">
        <f t="shared" si="66"/>
        <v/>
      </c>
      <c r="S877" s="4" t="str">
        <f t="shared" si="67"/>
        <v/>
      </c>
      <c r="T877" s="4" t="str">
        <f t="shared" si="68"/>
        <v/>
      </c>
      <c r="U877" s="10" t="str">
        <f t="shared" si="69"/>
        <v/>
      </c>
      <c r="V877" s="4"/>
    </row>
    <row r="878" spans="2:22" x14ac:dyDescent="0.25">
      <c r="B878" s="4" t="str">
        <f>IFERROR(VLOOKUP(A878,'ECN-ECO_DATA'!B:G,4,FALSE),"")</f>
        <v/>
      </c>
      <c r="C878" s="9" t="str">
        <f>IFERROR(VLOOKUP(A878,'ECN-ECO_DATA'!B:G,5,FALSE),"")</f>
        <v/>
      </c>
      <c r="D878" s="9" t="str">
        <f ca="1">IFERROR((IF(VLOOKUP(A878,'ECN-ECO_DATA'!B:G,6,FALSE)=0/1/1900,TODAY(),VLOOKUP(A878,'ECN-ECO_DATA'!B:G,6,FALSE))),"")</f>
        <v/>
      </c>
      <c r="E878" s="9" t="str">
        <f>IFERROR((IF(VLOOKUP(A878,'ECN-ECO_DATA'!B:G,6,FALSE)=0/1/1900,"",VLOOKUP(A878,'ECN-ECO_DATA'!B:G,6,FALSE))),"")</f>
        <v/>
      </c>
      <c r="F878" s="9" t="str">
        <f>IFERROR((IF(VLOOKUP(A878,'ECN-ECO_DATA'!B:J,7,FALSE)=0/1/1900,"",VLOOKUP(A878,'ECN-ECO_DATA'!B:J,7,FALSE))),"")</f>
        <v/>
      </c>
      <c r="G878" s="9" t="str">
        <f>IFERROR((IF(VLOOKUP(A878,'ECN-ECO_DATA'!B:J,8,FALSE)=0/1/1900,"",VLOOKUP(A878,'ECN-ECO_DATA'!B:J,8,FALSE))),"")</f>
        <v/>
      </c>
      <c r="H878" s="9" t="str">
        <f>IFERROR((IF(VLOOKUP(A878,'ECN-ECO_DATA'!B:J,9,FALSE)=0/1/1900,"",VLOOKUP(A878,'ECN-ECO_DATA'!B:J,9,FALSE))),"")</f>
        <v/>
      </c>
      <c r="I878" s="10" t="str">
        <f>IFERROR((IF(VLOOKUP(A878,'ECN-ECO_DATA'!B:Q,13,FALSE)="","",VLOOKUP(A878,'ECN-ECO_DATA'!B:Q,13,FALSE))),"")</f>
        <v/>
      </c>
      <c r="J878" s="10" t="str">
        <f>IFERROR((IF(VLOOKUP(A878,'ECN-ECO_DATA'!B:Q,14,FALSE)="","",VLOOKUP(A878,'ECN-ECO_DATA'!B:Q,14,FALSE))),"")</f>
        <v/>
      </c>
      <c r="K878" s="10" t="str">
        <f>IFERROR((IF(VLOOKUP(A878,'ECN-ECO_DATA'!B:Q,15,FALSE)="","",VLOOKUP(A878,'ECN-ECO_DATA'!B:Q,15,FALSE))),"")</f>
        <v/>
      </c>
      <c r="L878" s="10" t="str">
        <f>IFERROR((IF(VLOOKUP(A878,'ECN-ECO_DATA'!B:Q,16,FALSE)="","",VLOOKUP(A878,'ECN-ECO_DATA'!B:Q,16,FALSE))),"")</f>
        <v/>
      </c>
      <c r="M878" s="9" t="str">
        <f>IFERROR((IF(VLOOKUP(A878,'ECN-ECO_DATA'!B:V,18,FALSE)=0/1/1900,"",VLOOKUP(A878,'ECN-ECO_DATA'!B:V,18,FALSE))),"")</f>
        <v/>
      </c>
      <c r="N878" s="9" t="str">
        <f>IFERROR((IF(VLOOKUP(A878,'ECN-ECO_DATA'!B:V,19,FALSE)=0/1/1900,"",VLOOKUP(A878,'ECN-ECO_DATA'!B:V,19,FALSE))),"")</f>
        <v/>
      </c>
      <c r="O878" s="9" t="str">
        <f>IFERROR((IF(VLOOKUP(A878,'ECN-ECO_DATA'!B:V,20,FALSE)=0/1/1900,"",VLOOKUP(A878,'ECN-ECO_DATA'!B:V,20,FALSE))),"")</f>
        <v/>
      </c>
      <c r="P878" s="9" t="str">
        <f>IFERROR((IF(VLOOKUP(A878,'ECN-ECO_DATA'!B:V,21,FALSE)=0/1/1900,"",VLOOKUP(A878,'ECN-ECO_DATA'!B:V,21,FALSE))),"")</f>
        <v/>
      </c>
      <c r="Q878" s="10" t="str">
        <f t="shared" ca="1" si="65"/>
        <v/>
      </c>
      <c r="R878" s="4" t="str">
        <f t="shared" si="66"/>
        <v/>
      </c>
      <c r="S878" s="4" t="str">
        <f t="shared" si="67"/>
        <v/>
      </c>
      <c r="T878" s="4" t="str">
        <f t="shared" si="68"/>
        <v/>
      </c>
      <c r="U878" s="10" t="str">
        <f t="shared" si="69"/>
        <v/>
      </c>
      <c r="V878" s="4"/>
    </row>
    <row r="879" spans="2:22" x14ac:dyDescent="0.25">
      <c r="B879" s="4" t="str">
        <f>IFERROR(VLOOKUP(A879,'ECN-ECO_DATA'!B:G,4,FALSE),"")</f>
        <v/>
      </c>
      <c r="C879" s="9" t="str">
        <f>IFERROR(VLOOKUP(A879,'ECN-ECO_DATA'!B:G,5,FALSE),"")</f>
        <v/>
      </c>
      <c r="D879" s="9" t="str">
        <f ca="1">IFERROR((IF(VLOOKUP(A879,'ECN-ECO_DATA'!B:G,6,FALSE)=0/1/1900,TODAY(),VLOOKUP(A879,'ECN-ECO_DATA'!B:G,6,FALSE))),"")</f>
        <v/>
      </c>
      <c r="E879" s="9" t="str">
        <f>IFERROR((IF(VLOOKUP(A879,'ECN-ECO_DATA'!B:G,6,FALSE)=0/1/1900,"",VLOOKUP(A879,'ECN-ECO_DATA'!B:G,6,FALSE))),"")</f>
        <v/>
      </c>
      <c r="F879" s="9" t="str">
        <f>IFERROR((IF(VLOOKUP(A879,'ECN-ECO_DATA'!B:J,7,FALSE)=0/1/1900,"",VLOOKUP(A879,'ECN-ECO_DATA'!B:J,7,FALSE))),"")</f>
        <v/>
      </c>
      <c r="G879" s="9" t="str">
        <f>IFERROR((IF(VLOOKUP(A879,'ECN-ECO_DATA'!B:J,8,FALSE)=0/1/1900,"",VLOOKUP(A879,'ECN-ECO_DATA'!B:J,8,FALSE))),"")</f>
        <v/>
      </c>
      <c r="H879" s="9" t="str">
        <f>IFERROR((IF(VLOOKUP(A879,'ECN-ECO_DATA'!B:J,9,FALSE)=0/1/1900,"",VLOOKUP(A879,'ECN-ECO_DATA'!B:J,9,FALSE))),"")</f>
        <v/>
      </c>
      <c r="I879" s="10" t="str">
        <f>IFERROR((IF(VLOOKUP(A879,'ECN-ECO_DATA'!B:Q,13,FALSE)="","",VLOOKUP(A879,'ECN-ECO_DATA'!B:Q,13,FALSE))),"")</f>
        <v/>
      </c>
      <c r="J879" s="10" t="str">
        <f>IFERROR((IF(VLOOKUP(A879,'ECN-ECO_DATA'!B:Q,14,FALSE)="","",VLOOKUP(A879,'ECN-ECO_DATA'!B:Q,14,FALSE))),"")</f>
        <v/>
      </c>
      <c r="K879" s="10" t="str">
        <f>IFERROR((IF(VLOOKUP(A879,'ECN-ECO_DATA'!B:Q,15,FALSE)="","",VLOOKUP(A879,'ECN-ECO_DATA'!B:Q,15,FALSE))),"")</f>
        <v/>
      </c>
      <c r="L879" s="10" t="str">
        <f>IFERROR((IF(VLOOKUP(A879,'ECN-ECO_DATA'!B:Q,16,FALSE)="","",VLOOKUP(A879,'ECN-ECO_DATA'!B:Q,16,FALSE))),"")</f>
        <v/>
      </c>
      <c r="M879" s="9" t="str">
        <f>IFERROR((IF(VLOOKUP(A879,'ECN-ECO_DATA'!B:V,18,FALSE)=0/1/1900,"",VLOOKUP(A879,'ECN-ECO_DATA'!B:V,18,FALSE))),"")</f>
        <v/>
      </c>
      <c r="N879" s="9" t="str">
        <f>IFERROR((IF(VLOOKUP(A879,'ECN-ECO_DATA'!B:V,19,FALSE)=0/1/1900,"",VLOOKUP(A879,'ECN-ECO_DATA'!B:V,19,FALSE))),"")</f>
        <v/>
      </c>
      <c r="O879" s="9" t="str">
        <f>IFERROR((IF(VLOOKUP(A879,'ECN-ECO_DATA'!B:V,20,FALSE)=0/1/1900,"",VLOOKUP(A879,'ECN-ECO_DATA'!B:V,20,FALSE))),"")</f>
        <v/>
      </c>
      <c r="P879" s="9" t="str">
        <f>IFERROR((IF(VLOOKUP(A879,'ECN-ECO_DATA'!B:V,21,FALSE)=0/1/1900,"",VLOOKUP(A879,'ECN-ECO_DATA'!B:V,21,FALSE))),"")</f>
        <v/>
      </c>
      <c r="Q879" s="10" t="str">
        <f t="shared" ca="1" si="65"/>
        <v/>
      </c>
      <c r="R879" s="4" t="str">
        <f t="shared" si="66"/>
        <v/>
      </c>
      <c r="S879" s="4" t="str">
        <f t="shared" si="67"/>
        <v/>
      </c>
      <c r="T879" s="4" t="str">
        <f t="shared" si="68"/>
        <v/>
      </c>
      <c r="U879" s="10" t="str">
        <f t="shared" si="69"/>
        <v/>
      </c>
      <c r="V879" s="4"/>
    </row>
    <row r="880" spans="2:22" x14ac:dyDescent="0.25">
      <c r="B880" s="4" t="str">
        <f>IFERROR(VLOOKUP(A880,'ECN-ECO_DATA'!B:G,4,FALSE),"")</f>
        <v/>
      </c>
      <c r="C880" s="9" t="str">
        <f>IFERROR(VLOOKUP(A880,'ECN-ECO_DATA'!B:G,5,FALSE),"")</f>
        <v/>
      </c>
      <c r="D880" s="9" t="str">
        <f ca="1">IFERROR((IF(VLOOKUP(A880,'ECN-ECO_DATA'!B:G,6,FALSE)=0/1/1900,TODAY(),VLOOKUP(A880,'ECN-ECO_DATA'!B:G,6,FALSE))),"")</f>
        <v/>
      </c>
      <c r="E880" s="9" t="str">
        <f>IFERROR((IF(VLOOKUP(A880,'ECN-ECO_DATA'!B:G,6,FALSE)=0/1/1900,"",VLOOKUP(A880,'ECN-ECO_DATA'!B:G,6,FALSE))),"")</f>
        <v/>
      </c>
      <c r="F880" s="9" t="str">
        <f>IFERROR((IF(VLOOKUP(A880,'ECN-ECO_DATA'!B:J,7,FALSE)=0/1/1900,"",VLOOKUP(A880,'ECN-ECO_DATA'!B:J,7,FALSE))),"")</f>
        <v/>
      </c>
      <c r="G880" s="9" t="str">
        <f>IFERROR((IF(VLOOKUP(A880,'ECN-ECO_DATA'!B:J,8,FALSE)=0/1/1900,"",VLOOKUP(A880,'ECN-ECO_DATA'!B:J,8,FALSE))),"")</f>
        <v/>
      </c>
      <c r="H880" s="9" t="str">
        <f>IFERROR((IF(VLOOKUP(A880,'ECN-ECO_DATA'!B:J,9,FALSE)=0/1/1900,"",VLOOKUP(A880,'ECN-ECO_DATA'!B:J,9,FALSE))),"")</f>
        <v/>
      </c>
      <c r="I880" s="10" t="str">
        <f>IFERROR((IF(VLOOKUP(A880,'ECN-ECO_DATA'!B:Q,13,FALSE)="","",VLOOKUP(A880,'ECN-ECO_DATA'!B:Q,13,FALSE))),"")</f>
        <v/>
      </c>
      <c r="J880" s="10" t="str">
        <f>IFERROR((IF(VLOOKUP(A880,'ECN-ECO_DATA'!B:Q,14,FALSE)="","",VLOOKUP(A880,'ECN-ECO_DATA'!B:Q,14,FALSE))),"")</f>
        <v/>
      </c>
      <c r="K880" s="10" t="str">
        <f>IFERROR((IF(VLOOKUP(A880,'ECN-ECO_DATA'!B:Q,15,FALSE)="","",VLOOKUP(A880,'ECN-ECO_DATA'!B:Q,15,FALSE))),"")</f>
        <v/>
      </c>
      <c r="L880" s="10" t="str">
        <f>IFERROR((IF(VLOOKUP(A880,'ECN-ECO_DATA'!B:Q,16,FALSE)="","",VLOOKUP(A880,'ECN-ECO_DATA'!B:Q,16,FALSE))),"")</f>
        <v/>
      </c>
      <c r="M880" s="9" t="str">
        <f>IFERROR((IF(VLOOKUP(A880,'ECN-ECO_DATA'!B:V,18,FALSE)=0/1/1900,"",VLOOKUP(A880,'ECN-ECO_DATA'!B:V,18,FALSE))),"")</f>
        <v/>
      </c>
      <c r="N880" s="9" t="str">
        <f>IFERROR((IF(VLOOKUP(A880,'ECN-ECO_DATA'!B:V,19,FALSE)=0/1/1900,"",VLOOKUP(A880,'ECN-ECO_DATA'!B:V,19,FALSE))),"")</f>
        <v/>
      </c>
      <c r="O880" s="9" t="str">
        <f>IFERROR((IF(VLOOKUP(A880,'ECN-ECO_DATA'!B:V,20,FALSE)=0/1/1900,"",VLOOKUP(A880,'ECN-ECO_DATA'!B:V,20,FALSE))),"")</f>
        <v/>
      </c>
      <c r="P880" s="9" t="str">
        <f>IFERROR((IF(VLOOKUP(A880,'ECN-ECO_DATA'!B:V,21,FALSE)=0/1/1900,"",VLOOKUP(A880,'ECN-ECO_DATA'!B:V,21,FALSE))),"")</f>
        <v/>
      </c>
      <c r="Q880" s="10" t="str">
        <f t="shared" ca="1" si="65"/>
        <v/>
      </c>
      <c r="R880" s="4" t="str">
        <f t="shared" si="66"/>
        <v/>
      </c>
      <c r="S880" s="4" t="str">
        <f t="shared" si="67"/>
        <v/>
      </c>
      <c r="T880" s="4" t="str">
        <f t="shared" si="68"/>
        <v/>
      </c>
      <c r="U880" s="10" t="str">
        <f t="shared" si="69"/>
        <v/>
      </c>
      <c r="V880" s="4"/>
    </row>
    <row r="881" spans="2:22" x14ac:dyDescent="0.25">
      <c r="B881" s="4" t="str">
        <f>IFERROR(VLOOKUP(A881,'ECN-ECO_DATA'!B:G,4,FALSE),"")</f>
        <v/>
      </c>
      <c r="C881" s="9" t="str">
        <f>IFERROR(VLOOKUP(A881,'ECN-ECO_DATA'!B:G,5,FALSE),"")</f>
        <v/>
      </c>
      <c r="D881" s="9" t="str">
        <f ca="1">IFERROR((IF(VLOOKUP(A881,'ECN-ECO_DATA'!B:G,6,FALSE)=0/1/1900,TODAY(),VLOOKUP(A881,'ECN-ECO_DATA'!B:G,6,FALSE))),"")</f>
        <v/>
      </c>
      <c r="E881" s="9" t="str">
        <f>IFERROR((IF(VLOOKUP(A881,'ECN-ECO_DATA'!B:G,6,FALSE)=0/1/1900,"",VLOOKUP(A881,'ECN-ECO_DATA'!B:G,6,FALSE))),"")</f>
        <v/>
      </c>
      <c r="F881" s="9" t="str">
        <f>IFERROR((IF(VLOOKUP(A881,'ECN-ECO_DATA'!B:J,7,FALSE)=0/1/1900,"",VLOOKUP(A881,'ECN-ECO_DATA'!B:J,7,FALSE))),"")</f>
        <v/>
      </c>
      <c r="G881" s="9" t="str">
        <f>IFERROR((IF(VLOOKUP(A881,'ECN-ECO_DATA'!B:J,8,FALSE)=0/1/1900,"",VLOOKUP(A881,'ECN-ECO_DATA'!B:J,8,FALSE))),"")</f>
        <v/>
      </c>
      <c r="H881" s="9" t="str">
        <f>IFERROR((IF(VLOOKUP(A881,'ECN-ECO_DATA'!B:J,9,FALSE)=0/1/1900,"",VLOOKUP(A881,'ECN-ECO_DATA'!B:J,9,FALSE))),"")</f>
        <v/>
      </c>
      <c r="I881" s="10" t="str">
        <f>IFERROR((IF(VLOOKUP(A881,'ECN-ECO_DATA'!B:Q,13,FALSE)="","",VLOOKUP(A881,'ECN-ECO_DATA'!B:Q,13,FALSE))),"")</f>
        <v/>
      </c>
      <c r="J881" s="10" t="str">
        <f>IFERROR((IF(VLOOKUP(A881,'ECN-ECO_DATA'!B:Q,14,FALSE)="","",VLOOKUP(A881,'ECN-ECO_DATA'!B:Q,14,FALSE))),"")</f>
        <v/>
      </c>
      <c r="K881" s="10" t="str">
        <f>IFERROR((IF(VLOOKUP(A881,'ECN-ECO_DATA'!B:Q,15,FALSE)="","",VLOOKUP(A881,'ECN-ECO_DATA'!B:Q,15,FALSE))),"")</f>
        <v/>
      </c>
      <c r="L881" s="10" t="str">
        <f>IFERROR((IF(VLOOKUP(A881,'ECN-ECO_DATA'!B:Q,16,FALSE)="","",VLOOKUP(A881,'ECN-ECO_DATA'!B:Q,16,FALSE))),"")</f>
        <v/>
      </c>
      <c r="M881" s="9" t="str">
        <f>IFERROR((IF(VLOOKUP(A881,'ECN-ECO_DATA'!B:V,18,FALSE)=0/1/1900,"",VLOOKUP(A881,'ECN-ECO_DATA'!B:V,18,FALSE))),"")</f>
        <v/>
      </c>
      <c r="N881" s="9" t="str">
        <f>IFERROR((IF(VLOOKUP(A881,'ECN-ECO_DATA'!B:V,19,FALSE)=0/1/1900,"",VLOOKUP(A881,'ECN-ECO_DATA'!B:V,19,FALSE))),"")</f>
        <v/>
      </c>
      <c r="O881" s="9" t="str">
        <f>IFERROR((IF(VLOOKUP(A881,'ECN-ECO_DATA'!B:V,20,FALSE)=0/1/1900,"",VLOOKUP(A881,'ECN-ECO_DATA'!B:V,20,FALSE))),"")</f>
        <v/>
      </c>
      <c r="P881" s="9" t="str">
        <f>IFERROR((IF(VLOOKUP(A881,'ECN-ECO_DATA'!B:V,21,FALSE)=0/1/1900,"",VLOOKUP(A881,'ECN-ECO_DATA'!B:V,21,FALSE))),"")</f>
        <v/>
      </c>
      <c r="Q881" s="10" t="str">
        <f t="shared" ca="1" si="65"/>
        <v/>
      </c>
      <c r="R881" s="4" t="str">
        <f t="shared" si="66"/>
        <v/>
      </c>
      <c r="S881" s="4" t="str">
        <f t="shared" si="67"/>
        <v/>
      </c>
      <c r="T881" s="4" t="str">
        <f t="shared" si="68"/>
        <v/>
      </c>
      <c r="U881" s="10" t="str">
        <f t="shared" si="69"/>
        <v/>
      </c>
      <c r="V881" s="4"/>
    </row>
    <row r="882" spans="2:22" x14ac:dyDescent="0.25">
      <c r="B882" s="4" t="str">
        <f>IFERROR(VLOOKUP(A882,'ECN-ECO_DATA'!B:G,4,FALSE),"")</f>
        <v/>
      </c>
      <c r="C882" s="9" t="str">
        <f>IFERROR(VLOOKUP(A882,'ECN-ECO_DATA'!B:G,5,FALSE),"")</f>
        <v/>
      </c>
      <c r="D882" s="9" t="str">
        <f ca="1">IFERROR((IF(VLOOKUP(A882,'ECN-ECO_DATA'!B:G,6,FALSE)=0/1/1900,TODAY(),VLOOKUP(A882,'ECN-ECO_DATA'!B:G,6,FALSE))),"")</f>
        <v/>
      </c>
      <c r="E882" s="9" t="str">
        <f>IFERROR((IF(VLOOKUP(A882,'ECN-ECO_DATA'!B:G,6,FALSE)=0/1/1900,"",VLOOKUP(A882,'ECN-ECO_DATA'!B:G,6,FALSE))),"")</f>
        <v/>
      </c>
      <c r="F882" s="9" t="str">
        <f>IFERROR((IF(VLOOKUP(A882,'ECN-ECO_DATA'!B:J,7,FALSE)=0/1/1900,"",VLOOKUP(A882,'ECN-ECO_DATA'!B:J,7,FALSE))),"")</f>
        <v/>
      </c>
      <c r="G882" s="9" t="str">
        <f>IFERROR((IF(VLOOKUP(A882,'ECN-ECO_DATA'!B:J,8,FALSE)=0/1/1900,"",VLOOKUP(A882,'ECN-ECO_DATA'!B:J,8,FALSE))),"")</f>
        <v/>
      </c>
      <c r="H882" s="9" t="str">
        <f>IFERROR((IF(VLOOKUP(A882,'ECN-ECO_DATA'!B:J,9,FALSE)=0/1/1900,"",VLOOKUP(A882,'ECN-ECO_DATA'!B:J,9,FALSE))),"")</f>
        <v/>
      </c>
      <c r="I882" s="10" t="str">
        <f>IFERROR((IF(VLOOKUP(A882,'ECN-ECO_DATA'!B:Q,13,FALSE)="","",VLOOKUP(A882,'ECN-ECO_DATA'!B:Q,13,FALSE))),"")</f>
        <v/>
      </c>
      <c r="J882" s="10" t="str">
        <f>IFERROR((IF(VLOOKUP(A882,'ECN-ECO_DATA'!B:Q,14,FALSE)="","",VLOOKUP(A882,'ECN-ECO_DATA'!B:Q,14,FALSE))),"")</f>
        <v/>
      </c>
      <c r="K882" s="10" t="str">
        <f>IFERROR((IF(VLOOKUP(A882,'ECN-ECO_DATA'!B:Q,15,FALSE)="","",VLOOKUP(A882,'ECN-ECO_DATA'!B:Q,15,FALSE))),"")</f>
        <v/>
      </c>
      <c r="L882" s="10" t="str">
        <f>IFERROR((IF(VLOOKUP(A882,'ECN-ECO_DATA'!B:Q,16,FALSE)="","",VLOOKUP(A882,'ECN-ECO_DATA'!B:Q,16,FALSE))),"")</f>
        <v/>
      </c>
      <c r="M882" s="9" t="str">
        <f>IFERROR((IF(VLOOKUP(A882,'ECN-ECO_DATA'!B:V,18,FALSE)=0/1/1900,"",VLOOKUP(A882,'ECN-ECO_DATA'!B:V,18,FALSE))),"")</f>
        <v/>
      </c>
      <c r="N882" s="9" t="str">
        <f>IFERROR((IF(VLOOKUP(A882,'ECN-ECO_DATA'!B:V,19,FALSE)=0/1/1900,"",VLOOKUP(A882,'ECN-ECO_DATA'!B:V,19,FALSE))),"")</f>
        <v/>
      </c>
      <c r="O882" s="9" t="str">
        <f>IFERROR((IF(VLOOKUP(A882,'ECN-ECO_DATA'!B:V,20,FALSE)=0/1/1900,"",VLOOKUP(A882,'ECN-ECO_DATA'!B:V,20,FALSE))),"")</f>
        <v/>
      </c>
      <c r="P882" s="9" t="str">
        <f>IFERROR((IF(VLOOKUP(A882,'ECN-ECO_DATA'!B:V,21,FALSE)=0/1/1900,"",VLOOKUP(A882,'ECN-ECO_DATA'!B:V,21,FALSE))),"")</f>
        <v/>
      </c>
      <c r="Q882" s="10" t="str">
        <f t="shared" ca="1" si="65"/>
        <v/>
      </c>
      <c r="R882" s="4" t="str">
        <f t="shared" si="66"/>
        <v/>
      </c>
      <c r="S882" s="4" t="str">
        <f t="shared" si="67"/>
        <v/>
      </c>
      <c r="T882" s="4" t="str">
        <f t="shared" si="68"/>
        <v/>
      </c>
      <c r="U882" s="10" t="str">
        <f t="shared" si="69"/>
        <v/>
      </c>
      <c r="V882" s="4"/>
    </row>
    <row r="883" spans="2:22" x14ac:dyDescent="0.25">
      <c r="B883" s="4" t="str">
        <f>IFERROR(VLOOKUP(A883,'ECN-ECO_DATA'!B:G,4,FALSE),"")</f>
        <v/>
      </c>
      <c r="C883" s="9" t="str">
        <f>IFERROR(VLOOKUP(A883,'ECN-ECO_DATA'!B:G,5,FALSE),"")</f>
        <v/>
      </c>
      <c r="D883" s="9" t="str">
        <f ca="1">IFERROR((IF(VLOOKUP(A883,'ECN-ECO_DATA'!B:G,6,FALSE)=0/1/1900,TODAY(),VLOOKUP(A883,'ECN-ECO_DATA'!B:G,6,FALSE))),"")</f>
        <v/>
      </c>
      <c r="E883" s="9" t="str">
        <f>IFERROR((IF(VLOOKUP(A883,'ECN-ECO_DATA'!B:G,6,FALSE)=0/1/1900,"",VLOOKUP(A883,'ECN-ECO_DATA'!B:G,6,FALSE))),"")</f>
        <v/>
      </c>
      <c r="F883" s="9" t="str">
        <f>IFERROR((IF(VLOOKUP(A883,'ECN-ECO_DATA'!B:J,7,FALSE)=0/1/1900,"",VLOOKUP(A883,'ECN-ECO_DATA'!B:J,7,FALSE))),"")</f>
        <v/>
      </c>
      <c r="G883" s="9" t="str">
        <f>IFERROR((IF(VLOOKUP(A883,'ECN-ECO_DATA'!B:J,8,FALSE)=0/1/1900,"",VLOOKUP(A883,'ECN-ECO_DATA'!B:J,8,FALSE))),"")</f>
        <v/>
      </c>
      <c r="H883" s="9" t="str">
        <f>IFERROR((IF(VLOOKUP(A883,'ECN-ECO_DATA'!B:J,9,FALSE)=0/1/1900,"",VLOOKUP(A883,'ECN-ECO_DATA'!B:J,9,FALSE))),"")</f>
        <v/>
      </c>
      <c r="I883" s="10" t="str">
        <f>IFERROR((IF(VLOOKUP(A883,'ECN-ECO_DATA'!B:Q,13,FALSE)="","",VLOOKUP(A883,'ECN-ECO_DATA'!B:Q,13,FALSE))),"")</f>
        <v/>
      </c>
      <c r="J883" s="10" t="str">
        <f>IFERROR((IF(VLOOKUP(A883,'ECN-ECO_DATA'!B:Q,14,FALSE)="","",VLOOKUP(A883,'ECN-ECO_DATA'!B:Q,14,FALSE))),"")</f>
        <v/>
      </c>
      <c r="K883" s="10" t="str">
        <f>IFERROR((IF(VLOOKUP(A883,'ECN-ECO_DATA'!B:Q,15,FALSE)="","",VLOOKUP(A883,'ECN-ECO_DATA'!B:Q,15,FALSE))),"")</f>
        <v/>
      </c>
      <c r="L883" s="10" t="str">
        <f>IFERROR((IF(VLOOKUP(A883,'ECN-ECO_DATA'!B:Q,16,FALSE)="","",VLOOKUP(A883,'ECN-ECO_DATA'!B:Q,16,FALSE))),"")</f>
        <v/>
      </c>
      <c r="M883" s="9" t="str">
        <f>IFERROR((IF(VLOOKUP(A883,'ECN-ECO_DATA'!B:V,18,FALSE)=0/1/1900,"",VLOOKUP(A883,'ECN-ECO_DATA'!B:V,18,FALSE))),"")</f>
        <v/>
      </c>
      <c r="N883" s="9" t="str">
        <f>IFERROR((IF(VLOOKUP(A883,'ECN-ECO_DATA'!B:V,19,FALSE)=0/1/1900,"",VLOOKUP(A883,'ECN-ECO_DATA'!B:V,19,FALSE))),"")</f>
        <v/>
      </c>
      <c r="O883" s="9" t="str">
        <f>IFERROR((IF(VLOOKUP(A883,'ECN-ECO_DATA'!B:V,20,FALSE)=0/1/1900,"",VLOOKUP(A883,'ECN-ECO_DATA'!B:V,20,FALSE))),"")</f>
        <v/>
      </c>
      <c r="P883" s="9" t="str">
        <f>IFERROR((IF(VLOOKUP(A883,'ECN-ECO_DATA'!B:V,21,FALSE)=0/1/1900,"",VLOOKUP(A883,'ECN-ECO_DATA'!B:V,21,FALSE))),"")</f>
        <v/>
      </c>
      <c r="Q883" s="10" t="str">
        <f t="shared" ca="1" si="65"/>
        <v/>
      </c>
      <c r="R883" s="4" t="str">
        <f t="shared" si="66"/>
        <v/>
      </c>
      <c r="S883" s="4" t="str">
        <f t="shared" si="67"/>
        <v/>
      </c>
      <c r="T883" s="4" t="str">
        <f t="shared" si="68"/>
        <v/>
      </c>
      <c r="U883" s="10" t="str">
        <f t="shared" si="69"/>
        <v/>
      </c>
      <c r="V883" s="4"/>
    </row>
    <row r="884" spans="2:22" x14ac:dyDescent="0.25">
      <c r="B884" s="4" t="str">
        <f>IFERROR(VLOOKUP(A884,'ECN-ECO_DATA'!B:G,4,FALSE),"")</f>
        <v/>
      </c>
      <c r="C884" s="9" t="str">
        <f>IFERROR(VLOOKUP(A884,'ECN-ECO_DATA'!B:G,5,FALSE),"")</f>
        <v/>
      </c>
      <c r="D884" s="9" t="str">
        <f ca="1">IFERROR((IF(VLOOKUP(A884,'ECN-ECO_DATA'!B:G,6,FALSE)=0/1/1900,TODAY(),VLOOKUP(A884,'ECN-ECO_DATA'!B:G,6,FALSE))),"")</f>
        <v/>
      </c>
      <c r="E884" s="9" t="str">
        <f>IFERROR((IF(VLOOKUP(A884,'ECN-ECO_DATA'!B:G,6,FALSE)=0/1/1900,"",VLOOKUP(A884,'ECN-ECO_DATA'!B:G,6,FALSE))),"")</f>
        <v/>
      </c>
      <c r="F884" s="9" t="str">
        <f>IFERROR((IF(VLOOKUP(A884,'ECN-ECO_DATA'!B:J,7,FALSE)=0/1/1900,"",VLOOKUP(A884,'ECN-ECO_DATA'!B:J,7,FALSE))),"")</f>
        <v/>
      </c>
      <c r="G884" s="9" t="str">
        <f>IFERROR((IF(VLOOKUP(A884,'ECN-ECO_DATA'!B:J,8,FALSE)=0/1/1900,"",VLOOKUP(A884,'ECN-ECO_DATA'!B:J,8,FALSE))),"")</f>
        <v/>
      </c>
      <c r="H884" s="9" t="str">
        <f>IFERROR((IF(VLOOKUP(A884,'ECN-ECO_DATA'!B:J,9,FALSE)=0/1/1900,"",VLOOKUP(A884,'ECN-ECO_DATA'!B:J,9,FALSE))),"")</f>
        <v/>
      </c>
      <c r="I884" s="10" t="str">
        <f>IFERROR((IF(VLOOKUP(A884,'ECN-ECO_DATA'!B:Q,13,FALSE)="","",VLOOKUP(A884,'ECN-ECO_DATA'!B:Q,13,FALSE))),"")</f>
        <v/>
      </c>
      <c r="J884" s="10" t="str">
        <f>IFERROR((IF(VLOOKUP(A884,'ECN-ECO_DATA'!B:Q,14,FALSE)="","",VLOOKUP(A884,'ECN-ECO_DATA'!B:Q,14,FALSE))),"")</f>
        <v/>
      </c>
      <c r="K884" s="10" t="str">
        <f>IFERROR((IF(VLOOKUP(A884,'ECN-ECO_DATA'!B:Q,15,FALSE)="","",VLOOKUP(A884,'ECN-ECO_DATA'!B:Q,15,FALSE))),"")</f>
        <v/>
      </c>
      <c r="L884" s="10" t="str">
        <f>IFERROR((IF(VLOOKUP(A884,'ECN-ECO_DATA'!B:Q,16,FALSE)="","",VLOOKUP(A884,'ECN-ECO_DATA'!B:Q,16,FALSE))),"")</f>
        <v/>
      </c>
      <c r="M884" s="9" t="str">
        <f>IFERROR((IF(VLOOKUP(A884,'ECN-ECO_DATA'!B:V,18,FALSE)=0/1/1900,"",VLOOKUP(A884,'ECN-ECO_DATA'!B:V,18,FALSE))),"")</f>
        <v/>
      </c>
      <c r="N884" s="9" t="str">
        <f>IFERROR((IF(VLOOKUP(A884,'ECN-ECO_DATA'!B:V,19,FALSE)=0/1/1900,"",VLOOKUP(A884,'ECN-ECO_DATA'!B:V,19,FALSE))),"")</f>
        <v/>
      </c>
      <c r="O884" s="9" t="str">
        <f>IFERROR((IF(VLOOKUP(A884,'ECN-ECO_DATA'!B:V,20,FALSE)=0/1/1900,"",VLOOKUP(A884,'ECN-ECO_DATA'!B:V,20,FALSE))),"")</f>
        <v/>
      </c>
      <c r="P884" s="9" t="str">
        <f>IFERROR((IF(VLOOKUP(A884,'ECN-ECO_DATA'!B:V,21,FALSE)=0/1/1900,"",VLOOKUP(A884,'ECN-ECO_DATA'!B:V,21,FALSE))),"")</f>
        <v/>
      </c>
      <c r="Q884" s="10" t="str">
        <f t="shared" ca="1" si="65"/>
        <v/>
      </c>
      <c r="R884" s="4" t="str">
        <f t="shared" si="66"/>
        <v/>
      </c>
      <c r="S884" s="4" t="str">
        <f t="shared" si="67"/>
        <v/>
      </c>
      <c r="T884" s="4" t="str">
        <f t="shared" si="68"/>
        <v/>
      </c>
      <c r="U884" s="10" t="str">
        <f t="shared" si="69"/>
        <v/>
      </c>
      <c r="V884" s="4"/>
    </row>
    <row r="885" spans="2:22" x14ac:dyDescent="0.25">
      <c r="B885" s="4" t="str">
        <f>IFERROR(VLOOKUP(A885,'ECN-ECO_DATA'!B:G,4,FALSE),"")</f>
        <v/>
      </c>
      <c r="C885" s="9" t="str">
        <f>IFERROR(VLOOKUP(A885,'ECN-ECO_DATA'!B:G,5,FALSE),"")</f>
        <v/>
      </c>
      <c r="D885" s="9" t="str">
        <f ca="1">IFERROR((IF(VLOOKUP(A885,'ECN-ECO_DATA'!B:G,6,FALSE)=0/1/1900,TODAY(),VLOOKUP(A885,'ECN-ECO_DATA'!B:G,6,FALSE))),"")</f>
        <v/>
      </c>
      <c r="E885" s="9" t="str">
        <f>IFERROR((IF(VLOOKUP(A885,'ECN-ECO_DATA'!B:G,6,FALSE)=0/1/1900,"",VLOOKUP(A885,'ECN-ECO_DATA'!B:G,6,FALSE))),"")</f>
        <v/>
      </c>
      <c r="F885" s="9" t="str">
        <f>IFERROR((IF(VLOOKUP(A885,'ECN-ECO_DATA'!B:J,7,FALSE)=0/1/1900,"",VLOOKUP(A885,'ECN-ECO_DATA'!B:J,7,FALSE))),"")</f>
        <v/>
      </c>
      <c r="G885" s="9" t="str">
        <f>IFERROR((IF(VLOOKUP(A885,'ECN-ECO_DATA'!B:J,8,FALSE)=0/1/1900,"",VLOOKUP(A885,'ECN-ECO_DATA'!B:J,8,FALSE))),"")</f>
        <v/>
      </c>
      <c r="H885" s="9" t="str">
        <f>IFERROR((IF(VLOOKUP(A885,'ECN-ECO_DATA'!B:J,9,FALSE)=0/1/1900,"",VLOOKUP(A885,'ECN-ECO_DATA'!B:J,9,FALSE))),"")</f>
        <v/>
      </c>
      <c r="I885" s="10" t="str">
        <f>IFERROR((IF(VLOOKUP(A885,'ECN-ECO_DATA'!B:Q,13,FALSE)="","",VLOOKUP(A885,'ECN-ECO_DATA'!B:Q,13,FALSE))),"")</f>
        <v/>
      </c>
      <c r="J885" s="10" t="str">
        <f>IFERROR((IF(VLOOKUP(A885,'ECN-ECO_DATA'!B:Q,14,FALSE)="","",VLOOKUP(A885,'ECN-ECO_DATA'!B:Q,14,FALSE))),"")</f>
        <v/>
      </c>
      <c r="K885" s="10" t="str">
        <f>IFERROR((IF(VLOOKUP(A885,'ECN-ECO_DATA'!B:Q,15,FALSE)="","",VLOOKUP(A885,'ECN-ECO_DATA'!B:Q,15,FALSE))),"")</f>
        <v/>
      </c>
      <c r="L885" s="10" t="str">
        <f>IFERROR((IF(VLOOKUP(A885,'ECN-ECO_DATA'!B:Q,16,FALSE)="","",VLOOKUP(A885,'ECN-ECO_DATA'!B:Q,16,FALSE))),"")</f>
        <v/>
      </c>
      <c r="M885" s="9" t="str">
        <f>IFERROR((IF(VLOOKUP(A885,'ECN-ECO_DATA'!B:V,18,FALSE)=0/1/1900,"",VLOOKUP(A885,'ECN-ECO_DATA'!B:V,18,FALSE))),"")</f>
        <v/>
      </c>
      <c r="N885" s="9" t="str">
        <f>IFERROR((IF(VLOOKUP(A885,'ECN-ECO_DATA'!B:V,19,FALSE)=0/1/1900,"",VLOOKUP(A885,'ECN-ECO_DATA'!B:V,19,FALSE))),"")</f>
        <v/>
      </c>
      <c r="O885" s="9" t="str">
        <f>IFERROR((IF(VLOOKUP(A885,'ECN-ECO_DATA'!B:V,20,FALSE)=0/1/1900,"",VLOOKUP(A885,'ECN-ECO_DATA'!B:V,20,FALSE))),"")</f>
        <v/>
      </c>
      <c r="P885" s="9" t="str">
        <f>IFERROR((IF(VLOOKUP(A885,'ECN-ECO_DATA'!B:V,21,FALSE)=0/1/1900,"",VLOOKUP(A885,'ECN-ECO_DATA'!B:V,21,FALSE))),"")</f>
        <v/>
      </c>
      <c r="Q885" s="10" t="str">
        <f t="shared" ca="1" si="65"/>
        <v/>
      </c>
      <c r="R885" s="4" t="str">
        <f t="shared" si="66"/>
        <v/>
      </c>
      <c r="S885" s="4" t="str">
        <f t="shared" si="67"/>
        <v/>
      </c>
      <c r="T885" s="4" t="str">
        <f t="shared" si="68"/>
        <v/>
      </c>
      <c r="U885" s="10" t="str">
        <f t="shared" si="69"/>
        <v/>
      </c>
      <c r="V885" s="4"/>
    </row>
    <row r="886" spans="2:22" x14ac:dyDescent="0.25">
      <c r="B886" s="4" t="str">
        <f>IFERROR(VLOOKUP(A886,'ECN-ECO_DATA'!B:G,4,FALSE),"")</f>
        <v/>
      </c>
      <c r="C886" s="9" t="str">
        <f>IFERROR(VLOOKUP(A886,'ECN-ECO_DATA'!B:G,5,FALSE),"")</f>
        <v/>
      </c>
      <c r="D886" s="9" t="str">
        <f ca="1">IFERROR((IF(VLOOKUP(A886,'ECN-ECO_DATA'!B:G,6,FALSE)=0/1/1900,TODAY(),VLOOKUP(A886,'ECN-ECO_DATA'!B:G,6,FALSE))),"")</f>
        <v/>
      </c>
      <c r="E886" s="9" t="str">
        <f>IFERROR((IF(VLOOKUP(A886,'ECN-ECO_DATA'!B:G,6,FALSE)=0/1/1900,"",VLOOKUP(A886,'ECN-ECO_DATA'!B:G,6,FALSE))),"")</f>
        <v/>
      </c>
      <c r="F886" s="9" t="str">
        <f>IFERROR((IF(VLOOKUP(A886,'ECN-ECO_DATA'!B:J,7,FALSE)=0/1/1900,"",VLOOKUP(A886,'ECN-ECO_DATA'!B:J,7,FALSE))),"")</f>
        <v/>
      </c>
      <c r="G886" s="9" t="str">
        <f>IFERROR((IF(VLOOKUP(A886,'ECN-ECO_DATA'!B:J,8,FALSE)=0/1/1900,"",VLOOKUP(A886,'ECN-ECO_DATA'!B:J,8,FALSE))),"")</f>
        <v/>
      </c>
      <c r="H886" s="9" t="str">
        <f>IFERROR((IF(VLOOKUP(A886,'ECN-ECO_DATA'!B:J,9,FALSE)=0/1/1900,"",VLOOKUP(A886,'ECN-ECO_DATA'!B:J,9,FALSE))),"")</f>
        <v/>
      </c>
      <c r="I886" s="10" t="str">
        <f>IFERROR((IF(VLOOKUP(A886,'ECN-ECO_DATA'!B:Q,13,FALSE)="","",VLOOKUP(A886,'ECN-ECO_DATA'!B:Q,13,FALSE))),"")</f>
        <v/>
      </c>
      <c r="J886" s="10" t="str">
        <f>IFERROR((IF(VLOOKUP(A886,'ECN-ECO_DATA'!B:Q,14,FALSE)="","",VLOOKUP(A886,'ECN-ECO_DATA'!B:Q,14,FALSE))),"")</f>
        <v/>
      </c>
      <c r="K886" s="10" t="str">
        <f>IFERROR((IF(VLOOKUP(A886,'ECN-ECO_DATA'!B:Q,15,FALSE)="","",VLOOKUP(A886,'ECN-ECO_DATA'!B:Q,15,FALSE))),"")</f>
        <v/>
      </c>
      <c r="L886" s="10" t="str">
        <f>IFERROR((IF(VLOOKUP(A886,'ECN-ECO_DATA'!B:Q,16,FALSE)="","",VLOOKUP(A886,'ECN-ECO_DATA'!B:Q,16,FALSE))),"")</f>
        <v/>
      </c>
      <c r="M886" s="9" t="str">
        <f>IFERROR((IF(VLOOKUP(A886,'ECN-ECO_DATA'!B:V,18,FALSE)=0/1/1900,"",VLOOKUP(A886,'ECN-ECO_DATA'!B:V,18,FALSE))),"")</f>
        <v/>
      </c>
      <c r="N886" s="9" t="str">
        <f>IFERROR((IF(VLOOKUP(A886,'ECN-ECO_DATA'!B:V,19,FALSE)=0/1/1900,"",VLOOKUP(A886,'ECN-ECO_DATA'!B:V,19,FALSE))),"")</f>
        <v/>
      </c>
      <c r="O886" s="9" t="str">
        <f>IFERROR((IF(VLOOKUP(A886,'ECN-ECO_DATA'!B:V,20,FALSE)=0/1/1900,"",VLOOKUP(A886,'ECN-ECO_DATA'!B:V,20,FALSE))),"")</f>
        <v/>
      </c>
      <c r="P886" s="9" t="str">
        <f>IFERROR((IF(VLOOKUP(A886,'ECN-ECO_DATA'!B:V,21,FALSE)=0/1/1900,"",VLOOKUP(A886,'ECN-ECO_DATA'!B:V,21,FALSE))),"")</f>
        <v/>
      </c>
      <c r="Q886" s="10" t="str">
        <f t="shared" ca="1" si="65"/>
        <v/>
      </c>
      <c r="R886" s="4" t="str">
        <f t="shared" si="66"/>
        <v/>
      </c>
      <c r="S886" s="4" t="str">
        <f t="shared" si="67"/>
        <v/>
      </c>
      <c r="T886" s="4" t="str">
        <f t="shared" si="68"/>
        <v/>
      </c>
      <c r="U886" s="10" t="str">
        <f t="shared" si="69"/>
        <v/>
      </c>
      <c r="V886" s="4"/>
    </row>
    <row r="887" spans="2:22" x14ac:dyDescent="0.25">
      <c r="B887" s="4" t="str">
        <f>IFERROR(VLOOKUP(A887,'ECN-ECO_DATA'!B:G,4,FALSE),"")</f>
        <v/>
      </c>
      <c r="C887" s="9" t="str">
        <f>IFERROR(VLOOKUP(A887,'ECN-ECO_DATA'!B:G,5,FALSE),"")</f>
        <v/>
      </c>
      <c r="D887" s="9" t="str">
        <f ca="1">IFERROR((IF(VLOOKUP(A887,'ECN-ECO_DATA'!B:G,6,FALSE)=0/1/1900,TODAY(),VLOOKUP(A887,'ECN-ECO_DATA'!B:G,6,FALSE))),"")</f>
        <v/>
      </c>
      <c r="E887" s="9" t="str">
        <f>IFERROR((IF(VLOOKUP(A887,'ECN-ECO_DATA'!B:G,6,FALSE)=0/1/1900,"",VLOOKUP(A887,'ECN-ECO_DATA'!B:G,6,FALSE))),"")</f>
        <v/>
      </c>
      <c r="F887" s="9" t="str">
        <f>IFERROR((IF(VLOOKUP(A887,'ECN-ECO_DATA'!B:J,7,FALSE)=0/1/1900,"",VLOOKUP(A887,'ECN-ECO_DATA'!B:J,7,FALSE))),"")</f>
        <v/>
      </c>
      <c r="G887" s="9" t="str">
        <f>IFERROR((IF(VLOOKUP(A887,'ECN-ECO_DATA'!B:J,8,FALSE)=0/1/1900,"",VLOOKUP(A887,'ECN-ECO_DATA'!B:J,8,FALSE))),"")</f>
        <v/>
      </c>
      <c r="H887" s="9" t="str">
        <f>IFERROR((IF(VLOOKUP(A887,'ECN-ECO_DATA'!B:J,9,FALSE)=0/1/1900,"",VLOOKUP(A887,'ECN-ECO_DATA'!B:J,9,FALSE))),"")</f>
        <v/>
      </c>
      <c r="I887" s="10" t="str">
        <f>IFERROR((IF(VLOOKUP(A887,'ECN-ECO_DATA'!B:Q,13,FALSE)="","",VLOOKUP(A887,'ECN-ECO_DATA'!B:Q,13,FALSE))),"")</f>
        <v/>
      </c>
      <c r="J887" s="10" t="str">
        <f>IFERROR((IF(VLOOKUP(A887,'ECN-ECO_DATA'!B:Q,14,FALSE)="","",VLOOKUP(A887,'ECN-ECO_DATA'!B:Q,14,FALSE))),"")</f>
        <v/>
      </c>
      <c r="K887" s="10" t="str">
        <f>IFERROR((IF(VLOOKUP(A887,'ECN-ECO_DATA'!B:Q,15,FALSE)="","",VLOOKUP(A887,'ECN-ECO_DATA'!B:Q,15,FALSE))),"")</f>
        <v/>
      </c>
      <c r="L887" s="10" t="str">
        <f>IFERROR((IF(VLOOKUP(A887,'ECN-ECO_DATA'!B:Q,16,FALSE)="","",VLOOKUP(A887,'ECN-ECO_DATA'!B:Q,16,FALSE))),"")</f>
        <v/>
      </c>
      <c r="M887" s="9" t="str">
        <f>IFERROR((IF(VLOOKUP(A887,'ECN-ECO_DATA'!B:V,18,FALSE)=0/1/1900,"",VLOOKUP(A887,'ECN-ECO_DATA'!B:V,18,FALSE))),"")</f>
        <v/>
      </c>
      <c r="N887" s="9" t="str">
        <f>IFERROR((IF(VLOOKUP(A887,'ECN-ECO_DATA'!B:V,19,FALSE)=0/1/1900,"",VLOOKUP(A887,'ECN-ECO_DATA'!B:V,19,FALSE))),"")</f>
        <v/>
      </c>
      <c r="O887" s="9" t="str">
        <f>IFERROR((IF(VLOOKUP(A887,'ECN-ECO_DATA'!B:V,20,FALSE)=0/1/1900,"",VLOOKUP(A887,'ECN-ECO_DATA'!B:V,20,FALSE))),"")</f>
        <v/>
      </c>
      <c r="P887" s="9" t="str">
        <f>IFERROR((IF(VLOOKUP(A887,'ECN-ECO_DATA'!B:V,21,FALSE)=0/1/1900,"",VLOOKUP(A887,'ECN-ECO_DATA'!B:V,21,FALSE))),"")</f>
        <v/>
      </c>
      <c r="Q887" s="10" t="str">
        <f t="shared" ca="1" si="65"/>
        <v/>
      </c>
      <c r="R887" s="4" t="str">
        <f t="shared" si="66"/>
        <v/>
      </c>
      <c r="S887" s="4" t="str">
        <f t="shared" si="67"/>
        <v/>
      </c>
      <c r="T887" s="4" t="str">
        <f t="shared" si="68"/>
        <v/>
      </c>
      <c r="U887" s="10" t="str">
        <f t="shared" si="69"/>
        <v/>
      </c>
      <c r="V887" s="4"/>
    </row>
    <row r="888" spans="2:22" x14ac:dyDescent="0.25">
      <c r="B888" s="4" t="str">
        <f>IFERROR(VLOOKUP(A888,'ECN-ECO_DATA'!B:G,4,FALSE),"")</f>
        <v/>
      </c>
      <c r="C888" s="9" t="str">
        <f>IFERROR(VLOOKUP(A888,'ECN-ECO_DATA'!B:G,5,FALSE),"")</f>
        <v/>
      </c>
      <c r="D888" s="9" t="str">
        <f ca="1">IFERROR((IF(VLOOKUP(A888,'ECN-ECO_DATA'!B:G,6,FALSE)=0/1/1900,TODAY(),VLOOKUP(A888,'ECN-ECO_DATA'!B:G,6,FALSE))),"")</f>
        <v/>
      </c>
      <c r="E888" s="9" t="str">
        <f>IFERROR((IF(VLOOKUP(A888,'ECN-ECO_DATA'!B:G,6,FALSE)=0/1/1900,"",VLOOKUP(A888,'ECN-ECO_DATA'!B:G,6,FALSE))),"")</f>
        <v/>
      </c>
      <c r="F888" s="9" t="str">
        <f>IFERROR((IF(VLOOKUP(A888,'ECN-ECO_DATA'!B:J,7,FALSE)=0/1/1900,"",VLOOKUP(A888,'ECN-ECO_DATA'!B:J,7,FALSE))),"")</f>
        <v/>
      </c>
      <c r="G888" s="9" t="str">
        <f>IFERROR((IF(VLOOKUP(A888,'ECN-ECO_DATA'!B:J,8,FALSE)=0/1/1900,"",VLOOKUP(A888,'ECN-ECO_DATA'!B:J,8,FALSE))),"")</f>
        <v/>
      </c>
      <c r="H888" s="9" t="str">
        <f>IFERROR((IF(VLOOKUP(A888,'ECN-ECO_DATA'!B:J,9,FALSE)=0/1/1900,"",VLOOKUP(A888,'ECN-ECO_DATA'!B:J,9,FALSE))),"")</f>
        <v/>
      </c>
      <c r="I888" s="10" t="str">
        <f>IFERROR((IF(VLOOKUP(A888,'ECN-ECO_DATA'!B:Q,13,FALSE)="","",VLOOKUP(A888,'ECN-ECO_DATA'!B:Q,13,FALSE))),"")</f>
        <v/>
      </c>
      <c r="J888" s="10" t="str">
        <f>IFERROR((IF(VLOOKUP(A888,'ECN-ECO_DATA'!B:Q,14,FALSE)="","",VLOOKUP(A888,'ECN-ECO_DATA'!B:Q,14,FALSE))),"")</f>
        <v/>
      </c>
      <c r="K888" s="10" t="str">
        <f>IFERROR((IF(VLOOKUP(A888,'ECN-ECO_DATA'!B:Q,15,FALSE)="","",VLOOKUP(A888,'ECN-ECO_DATA'!B:Q,15,FALSE))),"")</f>
        <v/>
      </c>
      <c r="L888" s="10" t="str">
        <f>IFERROR((IF(VLOOKUP(A888,'ECN-ECO_DATA'!B:Q,16,FALSE)="","",VLOOKUP(A888,'ECN-ECO_DATA'!B:Q,16,FALSE))),"")</f>
        <v/>
      </c>
      <c r="M888" s="9" t="str">
        <f>IFERROR((IF(VLOOKUP(A888,'ECN-ECO_DATA'!B:V,18,FALSE)=0/1/1900,"",VLOOKUP(A888,'ECN-ECO_DATA'!B:V,18,FALSE))),"")</f>
        <v/>
      </c>
      <c r="N888" s="9" t="str">
        <f>IFERROR((IF(VLOOKUP(A888,'ECN-ECO_DATA'!B:V,19,FALSE)=0/1/1900,"",VLOOKUP(A888,'ECN-ECO_DATA'!B:V,19,FALSE))),"")</f>
        <v/>
      </c>
      <c r="O888" s="9" t="str">
        <f>IFERROR((IF(VLOOKUP(A888,'ECN-ECO_DATA'!B:V,20,FALSE)=0/1/1900,"",VLOOKUP(A888,'ECN-ECO_DATA'!B:V,20,FALSE))),"")</f>
        <v/>
      </c>
      <c r="P888" s="9" t="str">
        <f>IFERROR((IF(VLOOKUP(A888,'ECN-ECO_DATA'!B:V,21,FALSE)=0/1/1900,"",VLOOKUP(A888,'ECN-ECO_DATA'!B:V,21,FALSE))),"")</f>
        <v/>
      </c>
      <c r="Q888" s="10" t="str">
        <f t="shared" ca="1" si="65"/>
        <v/>
      </c>
      <c r="R888" s="4" t="str">
        <f t="shared" si="66"/>
        <v/>
      </c>
      <c r="S888" s="4" t="str">
        <f t="shared" si="67"/>
        <v/>
      </c>
      <c r="T888" s="4" t="str">
        <f t="shared" si="68"/>
        <v/>
      </c>
      <c r="U888" s="10" t="str">
        <f t="shared" si="69"/>
        <v/>
      </c>
      <c r="V888" s="4"/>
    </row>
    <row r="889" spans="2:22" x14ac:dyDescent="0.25">
      <c r="B889" s="4" t="str">
        <f>IFERROR(VLOOKUP(A889,'ECN-ECO_DATA'!B:G,4,FALSE),"")</f>
        <v/>
      </c>
      <c r="C889" s="9" t="str">
        <f>IFERROR(VLOOKUP(A889,'ECN-ECO_DATA'!B:G,5,FALSE),"")</f>
        <v/>
      </c>
      <c r="D889" s="9" t="str">
        <f ca="1">IFERROR((IF(VLOOKUP(A889,'ECN-ECO_DATA'!B:G,6,FALSE)=0/1/1900,TODAY(),VLOOKUP(A889,'ECN-ECO_DATA'!B:G,6,FALSE))),"")</f>
        <v/>
      </c>
      <c r="E889" s="9" t="str">
        <f>IFERROR((IF(VLOOKUP(A889,'ECN-ECO_DATA'!B:G,6,FALSE)=0/1/1900,"",VLOOKUP(A889,'ECN-ECO_DATA'!B:G,6,FALSE))),"")</f>
        <v/>
      </c>
      <c r="F889" s="9" t="str">
        <f>IFERROR((IF(VLOOKUP(A889,'ECN-ECO_DATA'!B:J,7,FALSE)=0/1/1900,"",VLOOKUP(A889,'ECN-ECO_DATA'!B:J,7,FALSE))),"")</f>
        <v/>
      </c>
      <c r="G889" s="9" t="str">
        <f>IFERROR((IF(VLOOKUP(A889,'ECN-ECO_DATA'!B:J,8,FALSE)=0/1/1900,"",VLOOKUP(A889,'ECN-ECO_DATA'!B:J,8,FALSE))),"")</f>
        <v/>
      </c>
      <c r="H889" s="9" t="str">
        <f>IFERROR((IF(VLOOKUP(A889,'ECN-ECO_DATA'!B:J,9,FALSE)=0/1/1900,"",VLOOKUP(A889,'ECN-ECO_DATA'!B:J,9,FALSE))),"")</f>
        <v/>
      </c>
      <c r="I889" s="10" t="str">
        <f>IFERROR((IF(VLOOKUP(A889,'ECN-ECO_DATA'!B:Q,13,FALSE)="","",VLOOKUP(A889,'ECN-ECO_DATA'!B:Q,13,FALSE))),"")</f>
        <v/>
      </c>
      <c r="J889" s="10" t="str">
        <f>IFERROR((IF(VLOOKUP(A889,'ECN-ECO_DATA'!B:Q,14,FALSE)="","",VLOOKUP(A889,'ECN-ECO_DATA'!B:Q,14,FALSE))),"")</f>
        <v/>
      </c>
      <c r="K889" s="10" t="str">
        <f>IFERROR((IF(VLOOKUP(A889,'ECN-ECO_DATA'!B:Q,15,FALSE)="","",VLOOKUP(A889,'ECN-ECO_DATA'!B:Q,15,FALSE))),"")</f>
        <v/>
      </c>
      <c r="L889" s="10" t="str">
        <f>IFERROR((IF(VLOOKUP(A889,'ECN-ECO_DATA'!B:Q,16,FALSE)="","",VLOOKUP(A889,'ECN-ECO_DATA'!B:Q,16,FALSE))),"")</f>
        <v/>
      </c>
      <c r="M889" s="9" t="str">
        <f>IFERROR((IF(VLOOKUP(A889,'ECN-ECO_DATA'!B:V,18,FALSE)=0/1/1900,"",VLOOKUP(A889,'ECN-ECO_DATA'!B:V,18,FALSE))),"")</f>
        <v/>
      </c>
      <c r="N889" s="9" t="str">
        <f>IFERROR((IF(VLOOKUP(A889,'ECN-ECO_DATA'!B:V,19,FALSE)=0/1/1900,"",VLOOKUP(A889,'ECN-ECO_DATA'!B:V,19,FALSE))),"")</f>
        <v/>
      </c>
      <c r="O889" s="9" t="str">
        <f>IFERROR((IF(VLOOKUP(A889,'ECN-ECO_DATA'!B:V,20,FALSE)=0/1/1900,"",VLOOKUP(A889,'ECN-ECO_DATA'!B:V,20,FALSE))),"")</f>
        <v/>
      </c>
      <c r="P889" s="9" t="str">
        <f>IFERROR((IF(VLOOKUP(A889,'ECN-ECO_DATA'!B:V,21,FALSE)=0/1/1900,"",VLOOKUP(A889,'ECN-ECO_DATA'!B:V,21,FALSE))),"")</f>
        <v/>
      </c>
      <c r="Q889" s="10" t="str">
        <f t="shared" ca="1" si="65"/>
        <v/>
      </c>
      <c r="R889" s="4" t="str">
        <f t="shared" si="66"/>
        <v/>
      </c>
      <c r="S889" s="4" t="str">
        <f t="shared" si="67"/>
        <v/>
      </c>
      <c r="T889" s="4" t="str">
        <f t="shared" si="68"/>
        <v/>
      </c>
      <c r="U889" s="10" t="str">
        <f t="shared" si="69"/>
        <v/>
      </c>
      <c r="V889" s="4"/>
    </row>
    <row r="890" spans="2:22" x14ac:dyDescent="0.25">
      <c r="B890" s="4" t="str">
        <f>IFERROR(VLOOKUP(A890,'ECN-ECO_DATA'!B:G,4,FALSE),"")</f>
        <v/>
      </c>
      <c r="C890" s="9" t="str">
        <f>IFERROR(VLOOKUP(A890,'ECN-ECO_DATA'!B:G,5,FALSE),"")</f>
        <v/>
      </c>
      <c r="D890" s="9" t="str">
        <f ca="1">IFERROR((IF(VLOOKUP(A890,'ECN-ECO_DATA'!B:G,6,FALSE)=0/1/1900,TODAY(),VLOOKUP(A890,'ECN-ECO_DATA'!B:G,6,FALSE))),"")</f>
        <v/>
      </c>
      <c r="E890" s="9" t="str">
        <f>IFERROR((IF(VLOOKUP(A890,'ECN-ECO_DATA'!B:G,6,FALSE)=0/1/1900,"",VLOOKUP(A890,'ECN-ECO_DATA'!B:G,6,FALSE))),"")</f>
        <v/>
      </c>
      <c r="F890" s="9" t="str">
        <f>IFERROR((IF(VLOOKUP(A890,'ECN-ECO_DATA'!B:J,7,FALSE)=0/1/1900,"",VLOOKUP(A890,'ECN-ECO_DATA'!B:J,7,FALSE))),"")</f>
        <v/>
      </c>
      <c r="G890" s="9" t="str">
        <f>IFERROR((IF(VLOOKUP(A890,'ECN-ECO_DATA'!B:J,8,FALSE)=0/1/1900,"",VLOOKUP(A890,'ECN-ECO_DATA'!B:J,8,FALSE))),"")</f>
        <v/>
      </c>
      <c r="H890" s="9" t="str">
        <f>IFERROR((IF(VLOOKUP(A890,'ECN-ECO_DATA'!B:J,9,FALSE)=0/1/1900,"",VLOOKUP(A890,'ECN-ECO_DATA'!B:J,9,FALSE))),"")</f>
        <v/>
      </c>
      <c r="I890" s="10" t="str">
        <f>IFERROR((IF(VLOOKUP(A890,'ECN-ECO_DATA'!B:Q,13,FALSE)="","",VLOOKUP(A890,'ECN-ECO_DATA'!B:Q,13,FALSE))),"")</f>
        <v/>
      </c>
      <c r="J890" s="10" t="str">
        <f>IFERROR((IF(VLOOKUP(A890,'ECN-ECO_DATA'!B:Q,14,FALSE)="","",VLOOKUP(A890,'ECN-ECO_DATA'!B:Q,14,FALSE))),"")</f>
        <v/>
      </c>
      <c r="K890" s="10" t="str">
        <f>IFERROR((IF(VLOOKUP(A890,'ECN-ECO_DATA'!B:Q,15,FALSE)="","",VLOOKUP(A890,'ECN-ECO_DATA'!B:Q,15,FALSE))),"")</f>
        <v/>
      </c>
      <c r="L890" s="10" t="str">
        <f>IFERROR((IF(VLOOKUP(A890,'ECN-ECO_DATA'!B:Q,16,FALSE)="","",VLOOKUP(A890,'ECN-ECO_DATA'!B:Q,16,FALSE))),"")</f>
        <v/>
      </c>
      <c r="M890" s="9" t="str">
        <f>IFERROR((IF(VLOOKUP(A890,'ECN-ECO_DATA'!B:V,18,FALSE)=0/1/1900,"",VLOOKUP(A890,'ECN-ECO_DATA'!B:V,18,FALSE))),"")</f>
        <v/>
      </c>
      <c r="N890" s="9" t="str">
        <f>IFERROR((IF(VLOOKUP(A890,'ECN-ECO_DATA'!B:V,19,FALSE)=0/1/1900,"",VLOOKUP(A890,'ECN-ECO_DATA'!B:V,19,FALSE))),"")</f>
        <v/>
      </c>
      <c r="O890" s="9" t="str">
        <f>IFERROR((IF(VLOOKUP(A890,'ECN-ECO_DATA'!B:V,20,FALSE)=0/1/1900,"",VLOOKUP(A890,'ECN-ECO_DATA'!B:V,20,FALSE))),"")</f>
        <v/>
      </c>
      <c r="P890" s="9" t="str">
        <f>IFERROR((IF(VLOOKUP(A890,'ECN-ECO_DATA'!B:V,21,FALSE)=0/1/1900,"",VLOOKUP(A890,'ECN-ECO_DATA'!B:V,21,FALSE))),"")</f>
        <v/>
      </c>
      <c r="Q890" s="10" t="str">
        <f t="shared" ca="1" si="65"/>
        <v/>
      </c>
      <c r="R890" s="4" t="str">
        <f t="shared" si="66"/>
        <v/>
      </c>
      <c r="S890" s="4" t="str">
        <f t="shared" si="67"/>
        <v/>
      </c>
      <c r="T890" s="4" t="str">
        <f t="shared" si="68"/>
        <v/>
      </c>
      <c r="U890" s="10" t="str">
        <f t="shared" si="69"/>
        <v/>
      </c>
      <c r="V890" s="4"/>
    </row>
    <row r="891" spans="2:22" x14ac:dyDescent="0.25">
      <c r="B891" s="4" t="str">
        <f>IFERROR(VLOOKUP(A891,'ECN-ECO_DATA'!B:G,4,FALSE),"")</f>
        <v/>
      </c>
      <c r="C891" s="9" t="str">
        <f>IFERROR(VLOOKUP(A891,'ECN-ECO_DATA'!B:G,5,FALSE),"")</f>
        <v/>
      </c>
      <c r="D891" s="9" t="str">
        <f ca="1">IFERROR((IF(VLOOKUP(A891,'ECN-ECO_DATA'!B:G,6,FALSE)=0/1/1900,TODAY(),VLOOKUP(A891,'ECN-ECO_DATA'!B:G,6,FALSE))),"")</f>
        <v/>
      </c>
      <c r="E891" s="9" t="str">
        <f>IFERROR((IF(VLOOKUP(A891,'ECN-ECO_DATA'!B:G,6,FALSE)=0/1/1900,"",VLOOKUP(A891,'ECN-ECO_DATA'!B:G,6,FALSE))),"")</f>
        <v/>
      </c>
      <c r="F891" s="9" t="str">
        <f>IFERROR((IF(VLOOKUP(A891,'ECN-ECO_DATA'!B:J,7,FALSE)=0/1/1900,"",VLOOKUP(A891,'ECN-ECO_DATA'!B:J,7,FALSE))),"")</f>
        <v/>
      </c>
      <c r="G891" s="9" t="str">
        <f>IFERROR((IF(VLOOKUP(A891,'ECN-ECO_DATA'!B:J,8,FALSE)=0/1/1900,"",VLOOKUP(A891,'ECN-ECO_DATA'!B:J,8,FALSE))),"")</f>
        <v/>
      </c>
      <c r="H891" s="9" t="str">
        <f>IFERROR((IF(VLOOKUP(A891,'ECN-ECO_DATA'!B:J,9,FALSE)=0/1/1900,"",VLOOKUP(A891,'ECN-ECO_DATA'!B:J,9,FALSE))),"")</f>
        <v/>
      </c>
      <c r="I891" s="10" t="str">
        <f>IFERROR((IF(VLOOKUP(A891,'ECN-ECO_DATA'!B:Q,13,FALSE)="","",VLOOKUP(A891,'ECN-ECO_DATA'!B:Q,13,FALSE))),"")</f>
        <v/>
      </c>
      <c r="J891" s="10" t="str">
        <f>IFERROR((IF(VLOOKUP(A891,'ECN-ECO_DATA'!B:Q,14,FALSE)="","",VLOOKUP(A891,'ECN-ECO_DATA'!B:Q,14,FALSE))),"")</f>
        <v/>
      </c>
      <c r="K891" s="10" t="str">
        <f>IFERROR((IF(VLOOKUP(A891,'ECN-ECO_DATA'!B:Q,15,FALSE)="","",VLOOKUP(A891,'ECN-ECO_DATA'!B:Q,15,FALSE))),"")</f>
        <v/>
      </c>
      <c r="L891" s="10" t="str">
        <f>IFERROR((IF(VLOOKUP(A891,'ECN-ECO_DATA'!B:Q,16,FALSE)="","",VLOOKUP(A891,'ECN-ECO_DATA'!B:Q,16,FALSE))),"")</f>
        <v/>
      </c>
      <c r="M891" s="9" t="str">
        <f>IFERROR((IF(VLOOKUP(A891,'ECN-ECO_DATA'!B:V,18,FALSE)=0/1/1900,"",VLOOKUP(A891,'ECN-ECO_DATA'!B:V,18,FALSE))),"")</f>
        <v/>
      </c>
      <c r="N891" s="9" t="str">
        <f>IFERROR((IF(VLOOKUP(A891,'ECN-ECO_DATA'!B:V,19,FALSE)=0/1/1900,"",VLOOKUP(A891,'ECN-ECO_DATA'!B:V,19,FALSE))),"")</f>
        <v/>
      </c>
      <c r="O891" s="9" t="str">
        <f>IFERROR((IF(VLOOKUP(A891,'ECN-ECO_DATA'!B:V,20,FALSE)=0/1/1900,"",VLOOKUP(A891,'ECN-ECO_DATA'!B:V,20,FALSE))),"")</f>
        <v/>
      </c>
      <c r="P891" s="9" t="str">
        <f>IFERROR((IF(VLOOKUP(A891,'ECN-ECO_DATA'!B:V,21,FALSE)=0/1/1900,"",VLOOKUP(A891,'ECN-ECO_DATA'!B:V,21,FALSE))),"")</f>
        <v/>
      </c>
      <c r="Q891" s="10" t="str">
        <f t="shared" ca="1" si="65"/>
        <v/>
      </c>
      <c r="R891" s="4" t="str">
        <f t="shared" si="66"/>
        <v/>
      </c>
      <c r="S891" s="4" t="str">
        <f t="shared" si="67"/>
        <v/>
      </c>
      <c r="T891" s="4" t="str">
        <f t="shared" si="68"/>
        <v/>
      </c>
      <c r="U891" s="10" t="str">
        <f t="shared" si="69"/>
        <v/>
      </c>
      <c r="V891" s="4"/>
    </row>
    <row r="892" spans="2:22" x14ac:dyDescent="0.25">
      <c r="B892" s="4" t="str">
        <f>IFERROR(VLOOKUP(A892,'ECN-ECO_DATA'!B:G,4,FALSE),"")</f>
        <v/>
      </c>
      <c r="C892" s="9" t="str">
        <f>IFERROR(VLOOKUP(A892,'ECN-ECO_DATA'!B:G,5,FALSE),"")</f>
        <v/>
      </c>
      <c r="D892" s="9" t="str">
        <f ca="1">IFERROR((IF(VLOOKUP(A892,'ECN-ECO_DATA'!B:G,6,FALSE)=0/1/1900,TODAY(),VLOOKUP(A892,'ECN-ECO_DATA'!B:G,6,FALSE))),"")</f>
        <v/>
      </c>
      <c r="E892" s="9" t="str">
        <f>IFERROR((IF(VLOOKUP(A892,'ECN-ECO_DATA'!B:G,6,FALSE)=0/1/1900,"",VLOOKUP(A892,'ECN-ECO_DATA'!B:G,6,FALSE))),"")</f>
        <v/>
      </c>
      <c r="F892" s="9" t="str">
        <f>IFERROR((IF(VLOOKUP(A892,'ECN-ECO_DATA'!B:J,7,FALSE)=0/1/1900,"",VLOOKUP(A892,'ECN-ECO_DATA'!B:J,7,FALSE))),"")</f>
        <v/>
      </c>
      <c r="G892" s="9" t="str">
        <f>IFERROR((IF(VLOOKUP(A892,'ECN-ECO_DATA'!B:J,8,FALSE)=0/1/1900,"",VLOOKUP(A892,'ECN-ECO_DATA'!B:J,8,FALSE))),"")</f>
        <v/>
      </c>
      <c r="H892" s="9" t="str">
        <f>IFERROR((IF(VLOOKUP(A892,'ECN-ECO_DATA'!B:J,9,FALSE)=0/1/1900,"",VLOOKUP(A892,'ECN-ECO_DATA'!B:J,9,FALSE))),"")</f>
        <v/>
      </c>
      <c r="I892" s="10" t="str">
        <f>IFERROR((IF(VLOOKUP(A892,'ECN-ECO_DATA'!B:Q,13,FALSE)="","",VLOOKUP(A892,'ECN-ECO_DATA'!B:Q,13,FALSE))),"")</f>
        <v/>
      </c>
      <c r="J892" s="10" t="str">
        <f>IFERROR((IF(VLOOKUP(A892,'ECN-ECO_DATA'!B:Q,14,FALSE)="","",VLOOKUP(A892,'ECN-ECO_DATA'!B:Q,14,FALSE))),"")</f>
        <v/>
      </c>
      <c r="K892" s="10" t="str">
        <f>IFERROR((IF(VLOOKUP(A892,'ECN-ECO_DATA'!B:Q,15,FALSE)="","",VLOOKUP(A892,'ECN-ECO_DATA'!B:Q,15,FALSE))),"")</f>
        <v/>
      </c>
      <c r="L892" s="10" t="str">
        <f>IFERROR((IF(VLOOKUP(A892,'ECN-ECO_DATA'!B:Q,16,FALSE)="","",VLOOKUP(A892,'ECN-ECO_DATA'!B:Q,16,FALSE))),"")</f>
        <v/>
      </c>
      <c r="M892" s="9" t="str">
        <f>IFERROR((IF(VLOOKUP(A892,'ECN-ECO_DATA'!B:V,18,FALSE)=0/1/1900,"",VLOOKUP(A892,'ECN-ECO_DATA'!B:V,18,FALSE))),"")</f>
        <v/>
      </c>
      <c r="N892" s="9" t="str">
        <f>IFERROR((IF(VLOOKUP(A892,'ECN-ECO_DATA'!B:V,19,FALSE)=0/1/1900,"",VLOOKUP(A892,'ECN-ECO_DATA'!B:V,19,FALSE))),"")</f>
        <v/>
      </c>
      <c r="O892" s="9" t="str">
        <f>IFERROR((IF(VLOOKUP(A892,'ECN-ECO_DATA'!B:V,20,FALSE)=0/1/1900,"",VLOOKUP(A892,'ECN-ECO_DATA'!B:V,20,FALSE))),"")</f>
        <v/>
      </c>
      <c r="P892" s="9" t="str">
        <f>IFERROR((IF(VLOOKUP(A892,'ECN-ECO_DATA'!B:V,21,FALSE)=0/1/1900,"",VLOOKUP(A892,'ECN-ECO_DATA'!B:V,21,FALSE))),"")</f>
        <v/>
      </c>
      <c r="Q892" s="10" t="str">
        <f t="shared" ca="1" si="65"/>
        <v/>
      </c>
      <c r="R892" s="4" t="str">
        <f t="shared" si="66"/>
        <v/>
      </c>
      <c r="S892" s="4" t="str">
        <f t="shared" si="67"/>
        <v/>
      </c>
      <c r="T892" s="4" t="str">
        <f t="shared" si="68"/>
        <v/>
      </c>
      <c r="U892" s="10" t="str">
        <f t="shared" si="69"/>
        <v/>
      </c>
      <c r="V892" s="4"/>
    </row>
    <row r="893" spans="2:22" x14ac:dyDescent="0.25">
      <c r="B893" s="4" t="str">
        <f>IFERROR(VLOOKUP(A893,'ECN-ECO_DATA'!B:G,4,FALSE),"")</f>
        <v/>
      </c>
      <c r="C893" s="9" t="str">
        <f>IFERROR(VLOOKUP(A893,'ECN-ECO_DATA'!B:G,5,FALSE),"")</f>
        <v/>
      </c>
      <c r="D893" s="9" t="str">
        <f ca="1">IFERROR((IF(VLOOKUP(A893,'ECN-ECO_DATA'!B:G,6,FALSE)=0/1/1900,TODAY(),VLOOKUP(A893,'ECN-ECO_DATA'!B:G,6,FALSE))),"")</f>
        <v/>
      </c>
      <c r="E893" s="9" t="str">
        <f>IFERROR((IF(VLOOKUP(A893,'ECN-ECO_DATA'!B:G,6,FALSE)=0/1/1900,"",VLOOKUP(A893,'ECN-ECO_DATA'!B:G,6,FALSE))),"")</f>
        <v/>
      </c>
      <c r="F893" s="9" t="str">
        <f>IFERROR((IF(VLOOKUP(A893,'ECN-ECO_DATA'!B:J,7,FALSE)=0/1/1900,"",VLOOKUP(A893,'ECN-ECO_DATA'!B:J,7,FALSE))),"")</f>
        <v/>
      </c>
      <c r="G893" s="9" t="str">
        <f>IFERROR((IF(VLOOKUP(A893,'ECN-ECO_DATA'!B:J,8,FALSE)=0/1/1900,"",VLOOKUP(A893,'ECN-ECO_DATA'!B:J,8,FALSE))),"")</f>
        <v/>
      </c>
      <c r="H893" s="9" t="str">
        <f>IFERROR((IF(VLOOKUP(A893,'ECN-ECO_DATA'!B:J,9,FALSE)=0/1/1900,"",VLOOKUP(A893,'ECN-ECO_DATA'!B:J,9,FALSE))),"")</f>
        <v/>
      </c>
      <c r="I893" s="10" t="str">
        <f>IFERROR((IF(VLOOKUP(A893,'ECN-ECO_DATA'!B:Q,13,FALSE)="","",VLOOKUP(A893,'ECN-ECO_DATA'!B:Q,13,FALSE))),"")</f>
        <v/>
      </c>
      <c r="J893" s="10" t="str">
        <f>IFERROR((IF(VLOOKUP(A893,'ECN-ECO_DATA'!B:Q,14,FALSE)="","",VLOOKUP(A893,'ECN-ECO_DATA'!B:Q,14,FALSE))),"")</f>
        <v/>
      </c>
      <c r="K893" s="10" t="str">
        <f>IFERROR((IF(VLOOKUP(A893,'ECN-ECO_DATA'!B:Q,15,FALSE)="","",VLOOKUP(A893,'ECN-ECO_DATA'!B:Q,15,FALSE))),"")</f>
        <v/>
      </c>
      <c r="L893" s="10" t="str">
        <f>IFERROR((IF(VLOOKUP(A893,'ECN-ECO_DATA'!B:Q,16,FALSE)="","",VLOOKUP(A893,'ECN-ECO_DATA'!B:Q,16,FALSE))),"")</f>
        <v/>
      </c>
      <c r="M893" s="9" t="str">
        <f>IFERROR((IF(VLOOKUP(A893,'ECN-ECO_DATA'!B:V,18,FALSE)=0/1/1900,"",VLOOKUP(A893,'ECN-ECO_DATA'!B:V,18,FALSE))),"")</f>
        <v/>
      </c>
      <c r="N893" s="9" t="str">
        <f>IFERROR((IF(VLOOKUP(A893,'ECN-ECO_DATA'!B:V,19,FALSE)=0/1/1900,"",VLOOKUP(A893,'ECN-ECO_DATA'!B:V,19,FALSE))),"")</f>
        <v/>
      </c>
      <c r="O893" s="9" t="str">
        <f>IFERROR((IF(VLOOKUP(A893,'ECN-ECO_DATA'!B:V,20,FALSE)=0/1/1900,"",VLOOKUP(A893,'ECN-ECO_DATA'!B:V,20,FALSE))),"")</f>
        <v/>
      </c>
      <c r="P893" s="9" t="str">
        <f>IFERROR((IF(VLOOKUP(A893,'ECN-ECO_DATA'!B:V,21,FALSE)=0/1/1900,"",VLOOKUP(A893,'ECN-ECO_DATA'!B:V,21,FALSE))),"")</f>
        <v/>
      </c>
      <c r="Q893" s="10" t="str">
        <f t="shared" ca="1" si="65"/>
        <v/>
      </c>
      <c r="R893" s="4" t="str">
        <f t="shared" si="66"/>
        <v/>
      </c>
      <c r="S893" s="4" t="str">
        <f t="shared" si="67"/>
        <v/>
      </c>
      <c r="T893" s="4" t="str">
        <f t="shared" si="68"/>
        <v/>
      </c>
      <c r="U893" s="10" t="str">
        <f t="shared" si="69"/>
        <v/>
      </c>
      <c r="V893" s="4"/>
    </row>
    <row r="894" spans="2:22" x14ac:dyDescent="0.25">
      <c r="B894" s="4" t="str">
        <f>IFERROR(VLOOKUP(A894,'ECN-ECO_DATA'!B:G,4,FALSE),"")</f>
        <v/>
      </c>
      <c r="C894" s="9" t="str">
        <f>IFERROR(VLOOKUP(A894,'ECN-ECO_DATA'!B:G,5,FALSE),"")</f>
        <v/>
      </c>
      <c r="D894" s="9" t="str">
        <f ca="1">IFERROR((IF(VLOOKUP(A894,'ECN-ECO_DATA'!B:G,6,FALSE)=0/1/1900,TODAY(),VLOOKUP(A894,'ECN-ECO_DATA'!B:G,6,FALSE))),"")</f>
        <v/>
      </c>
      <c r="E894" s="9" t="str">
        <f>IFERROR((IF(VLOOKUP(A894,'ECN-ECO_DATA'!B:G,6,FALSE)=0/1/1900,"",VLOOKUP(A894,'ECN-ECO_DATA'!B:G,6,FALSE))),"")</f>
        <v/>
      </c>
      <c r="F894" s="9" t="str">
        <f>IFERROR((IF(VLOOKUP(A894,'ECN-ECO_DATA'!B:J,7,FALSE)=0/1/1900,"",VLOOKUP(A894,'ECN-ECO_DATA'!B:J,7,FALSE))),"")</f>
        <v/>
      </c>
      <c r="G894" s="9" t="str">
        <f>IFERROR((IF(VLOOKUP(A894,'ECN-ECO_DATA'!B:J,8,FALSE)=0/1/1900,"",VLOOKUP(A894,'ECN-ECO_DATA'!B:J,8,FALSE))),"")</f>
        <v/>
      </c>
      <c r="H894" s="9" t="str">
        <f>IFERROR((IF(VLOOKUP(A894,'ECN-ECO_DATA'!B:J,9,FALSE)=0/1/1900,"",VLOOKUP(A894,'ECN-ECO_DATA'!B:J,9,FALSE))),"")</f>
        <v/>
      </c>
      <c r="I894" s="10" t="str">
        <f>IFERROR((IF(VLOOKUP(A894,'ECN-ECO_DATA'!B:Q,13,FALSE)="","",VLOOKUP(A894,'ECN-ECO_DATA'!B:Q,13,FALSE))),"")</f>
        <v/>
      </c>
      <c r="J894" s="10" t="str">
        <f>IFERROR((IF(VLOOKUP(A894,'ECN-ECO_DATA'!B:Q,14,FALSE)="","",VLOOKUP(A894,'ECN-ECO_DATA'!B:Q,14,FALSE))),"")</f>
        <v/>
      </c>
      <c r="K894" s="10" t="str">
        <f>IFERROR((IF(VLOOKUP(A894,'ECN-ECO_DATA'!B:Q,15,FALSE)="","",VLOOKUP(A894,'ECN-ECO_DATA'!B:Q,15,FALSE))),"")</f>
        <v/>
      </c>
      <c r="L894" s="10" t="str">
        <f>IFERROR((IF(VLOOKUP(A894,'ECN-ECO_DATA'!B:Q,16,FALSE)="","",VLOOKUP(A894,'ECN-ECO_DATA'!B:Q,16,FALSE))),"")</f>
        <v/>
      </c>
      <c r="M894" s="9" t="str">
        <f>IFERROR((IF(VLOOKUP(A894,'ECN-ECO_DATA'!B:V,18,FALSE)=0/1/1900,"",VLOOKUP(A894,'ECN-ECO_DATA'!B:V,18,FALSE))),"")</f>
        <v/>
      </c>
      <c r="N894" s="9" t="str">
        <f>IFERROR((IF(VLOOKUP(A894,'ECN-ECO_DATA'!B:V,19,FALSE)=0/1/1900,"",VLOOKUP(A894,'ECN-ECO_DATA'!B:V,19,FALSE))),"")</f>
        <v/>
      </c>
      <c r="O894" s="9" t="str">
        <f>IFERROR((IF(VLOOKUP(A894,'ECN-ECO_DATA'!B:V,20,FALSE)=0/1/1900,"",VLOOKUP(A894,'ECN-ECO_DATA'!B:V,20,FALSE))),"")</f>
        <v/>
      </c>
      <c r="P894" s="9" t="str">
        <f>IFERROR((IF(VLOOKUP(A894,'ECN-ECO_DATA'!B:V,21,FALSE)=0/1/1900,"",VLOOKUP(A894,'ECN-ECO_DATA'!B:V,21,FALSE))),"")</f>
        <v/>
      </c>
      <c r="Q894" s="10" t="str">
        <f t="shared" ca="1" si="65"/>
        <v/>
      </c>
      <c r="R894" s="4" t="str">
        <f t="shared" si="66"/>
        <v/>
      </c>
      <c r="S894" s="4" t="str">
        <f t="shared" si="67"/>
        <v/>
      </c>
      <c r="T894" s="4" t="str">
        <f t="shared" si="68"/>
        <v/>
      </c>
      <c r="U894" s="10" t="str">
        <f t="shared" si="69"/>
        <v/>
      </c>
      <c r="V894" s="4"/>
    </row>
    <row r="895" spans="2:22" x14ac:dyDescent="0.25">
      <c r="B895" s="4" t="str">
        <f>IFERROR(VLOOKUP(A895,'ECN-ECO_DATA'!B:G,4,FALSE),"")</f>
        <v/>
      </c>
      <c r="C895" s="9" t="str">
        <f>IFERROR(VLOOKUP(A895,'ECN-ECO_DATA'!B:G,5,FALSE),"")</f>
        <v/>
      </c>
      <c r="D895" s="9" t="str">
        <f ca="1">IFERROR((IF(VLOOKUP(A895,'ECN-ECO_DATA'!B:G,6,FALSE)=0/1/1900,TODAY(),VLOOKUP(A895,'ECN-ECO_DATA'!B:G,6,FALSE))),"")</f>
        <v/>
      </c>
      <c r="E895" s="9" t="str">
        <f>IFERROR((IF(VLOOKUP(A895,'ECN-ECO_DATA'!B:G,6,FALSE)=0/1/1900,"",VLOOKUP(A895,'ECN-ECO_DATA'!B:G,6,FALSE))),"")</f>
        <v/>
      </c>
      <c r="F895" s="9" t="str">
        <f>IFERROR((IF(VLOOKUP(A895,'ECN-ECO_DATA'!B:J,7,FALSE)=0/1/1900,"",VLOOKUP(A895,'ECN-ECO_DATA'!B:J,7,FALSE))),"")</f>
        <v/>
      </c>
      <c r="G895" s="9" t="str">
        <f>IFERROR((IF(VLOOKUP(A895,'ECN-ECO_DATA'!B:J,8,FALSE)=0/1/1900,"",VLOOKUP(A895,'ECN-ECO_DATA'!B:J,8,FALSE))),"")</f>
        <v/>
      </c>
      <c r="H895" s="9" t="str">
        <f>IFERROR((IF(VLOOKUP(A895,'ECN-ECO_DATA'!B:J,9,FALSE)=0/1/1900,"",VLOOKUP(A895,'ECN-ECO_DATA'!B:J,9,FALSE))),"")</f>
        <v/>
      </c>
      <c r="I895" s="10" t="str">
        <f>IFERROR((IF(VLOOKUP(A895,'ECN-ECO_DATA'!B:Q,13,FALSE)="","",VLOOKUP(A895,'ECN-ECO_DATA'!B:Q,13,FALSE))),"")</f>
        <v/>
      </c>
      <c r="J895" s="10" t="str">
        <f>IFERROR((IF(VLOOKUP(A895,'ECN-ECO_DATA'!B:Q,14,FALSE)="","",VLOOKUP(A895,'ECN-ECO_DATA'!B:Q,14,FALSE))),"")</f>
        <v/>
      </c>
      <c r="K895" s="10" t="str">
        <f>IFERROR((IF(VLOOKUP(A895,'ECN-ECO_DATA'!B:Q,15,FALSE)="","",VLOOKUP(A895,'ECN-ECO_DATA'!B:Q,15,FALSE))),"")</f>
        <v/>
      </c>
      <c r="L895" s="10" t="str">
        <f>IFERROR((IF(VLOOKUP(A895,'ECN-ECO_DATA'!B:Q,16,FALSE)="","",VLOOKUP(A895,'ECN-ECO_DATA'!B:Q,16,FALSE))),"")</f>
        <v/>
      </c>
      <c r="M895" s="9" t="str">
        <f>IFERROR((IF(VLOOKUP(A895,'ECN-ECO_DATA'!B:V,18,FALSE)=0/1/1900,"",VLOOKUP(A895,'ECN-ECO_DATA'!B:V,18,FALSE))),"")</f>
        <v/>
      </c>
      <c r="N895" s="9" t="str">
        <f>IFERROR((IF(VLOOKUP(A895,'ECN-ECO_DATA'!B:V,19,FALSE)=0/1/1900,"",VLOOKUP(A895,'ECN-ECO_DATA'!B:V,19,FALSE))),"")</f>
        <v/>
      </c>
      <c r="O895" s="9" t="str">
        <f>IFERROR((IF(VLOOKUP(A895,'ECN-ECO_DATA'!B:V,20,FALSE)=0/1/1900,"",VLOOKUP(A895,'ECN-ECO_DATA'!B:V,20,FALSE))),"")</f>
        <v/>
      </c>
      <c r="P895" s="9" t="str">
        <f>IFERROR((IF(VLOOKUP(A895,'ECN-ECO_DATA'!B:V,21,FALSE)=0/1/1900,"",VLOOKUP(A895,'ECN-ECO_DATA'!B:V,21,FALSE))),"")</f>
        <v/>
      </c>
      <c r="Q895" s="10" t="str">
        <f t="shared" ca="1" si="65"/>
        <v/>
      </c>
      <c r="R895" s="4" t="str">
        <f t="shared" si="66"/>
        <v/>
      </c>
      <c r="S895" s="4" t="str">
        <f t="shared" si="67"/>
        <v/>
      </c>
      <c r="T895" s="4" t="str">
        <f t="shared" si="68"/>
        <v/>
      </c>
      <c r="U895" s="10" t="str">
        <f t="shared" si="69"/>
        <v/>
      </c>
      <c r="V895" s="4"/>
    </row>
    <row r="896" spans="2:22" x14ac:dyDescent="0.25">
      <c r="B896" s="4" t="str">
        <f>IFERROR(VLOOKUP(A896,'ECN-ECO_DATA'!B:G,4,FALSE),"")</f>
        <v/>
      </c>
      <c r="C896" s="9" t="str">
        <f>IFERROR(VLOOKUP(A896,'ECN-ECO_DATA'!B:G,5,FALSE),"")</f>
        <v/>
      </c>
      <c r="D896" s="9" t="str">
        <f ca="1">IFERROR((IF(VLOOKUP(A896,'ECN-ECO_DATA'!B:G,6,FALSE)=0/1/1900,TODAY(),VLOOKUP(A896,'ECN-ECO_DATA'!B:G,6,FALSE))),"")</f>
        <v/>
      </c>
      <c r="E896" s="9" t="str">
        <f>IFERROR((IF(VLOOKUP(A896,'ECN-ECO_DATA'!B:G,6,FALSE)=0/1/1900,"",VLOOKUP(A896,'ECN-ECO_DATA'!B:G,6,FALSE))),"")</f>
        <v/>
      </c>
      <c r="F896" s="9" t="str">
        <f>IFERROR((IF(VLOOKUP(A896,'ECN-ECO_DATA'!B:J,7,FALSE)=0/1/1900,"",VLOOKUP(A896,'ECN-ECO_DATA'!B:J,7,FALSE))),"")</f>
        <v/>
      </c>
      <c r="G896" s="9" t="str">
        <f>IFERROR((IF(VLOOKUP(A896,'ECN-ECO_DATA'!B:J,8,FALSE)=0/1/1900,"",VLOOKUP(A896,'ECN-ECO_DATA'!B:J,8,FALSE))),"")</f>
        <v/>
      </c>
      <c r="H896" s="9" t="str">
        <f>IFERROR((IF(VLOOKUP(A896,'ECN-ECO_DATA'!B:J,9,FALSE)=0/1/1900,"",VLOOKUP(A896,'ECN-ECO_DATA'!B:J,9,FALSE))),"")</f>
        <v/>
      </c>
      <c r="I896" s="10" t="str">
        <f>IFERROR((IF(VLOOKUP(A896,'ECN-ECO_DATA'!B:Q,13,FALSE)="","",VLOOKUP(A896,'ECN-ECO_DATA'!B:Q,13,FALSE))),"")</f>
        <v/>
      </c>
      <c r="J896" s="10" t="str">
        <f>IFERROR((IF(VLOOKUP(A896,'ECN-ECO_DATA'!B:Q,14,FALSE)="","",VLOOKUP(A896,'ECN-ECO_DATA'!B:Q,14,FALSE))),"")</f>
        <v/>
      </c>
      <c r="K896" s="10" t="str">
        <f>IFERROR((IF(VLOOKUP(A896,'ECN-ECO_DATA'!B:Q,15,FALSE)="","",VLOOKUP(A896,'ECN-ECO_DATA'!B:Q,15,FALSE))),"")</f>
        <v/>
      </c>
      <c r="L896" s="10" t="str">
        <f>IFERROR((IF(VLOOKUP(A896,'ECN-ECO_DATA'!B:Q,16,FALSE)="","",VLOOKUP(A896,'ECN-ECO_DATA'!B:Q,16,FALSE))),"")</f>
        <v/>
      </c>
      <c r="M896" s="9" t="str">
        <f>IFERROR((IF(VLOOKUP(A896,'ECN-ECO_DATA'!B:V,18,FALSE)=0/1/1900,"",VLOOKUP(A896,'ECN-ECO_DATA'!B:V,18,FALSE))),"")</f>
        <v/>
      </c>
      <c r="N896" s="9" t="str">
        <f>IFERROR((IF(VLOOKUP(A896,'ECN-ECO_DATA'!B:V,19,FALSE)=0/1/1900,"",VLOOKUP(A896,'ECN-ECO_DATA'!B:V,19,FALSE))),"")</f>
        <v/>
      </c>
      <c r="O896" s="9" t="str">
        <f>IFERROR((IF(VLOOKUP(A896,'ECN-ECO_DATA'!B:V,20,FALSE)=0/1/1900,"",VLOOKUP(A896,'ECN-ECO_DATA'!B:V,20,FALSE))),"")</f>
        <v/>
      </c>
      <c r="P896" s="9" t="str">
        <f>IFERROR((IF(VLOOKUP(A896,'ECN-ECO_DATA'!B:V,21,FALSE)=0/1/1900,"",VLOOKUP(A896,'ECN-ECO_DATA'!B:V,21,FALSE))),"")</f>
        <v/>
      </c>
      <c r="Q896" s="10" t="str">
        <f t="shared" ca="1" si="65"/>
        <v/>
      </c>
      <c r="R896" s="4" t="str">
        <f t="shared" si="66"/>
        <v/>
      </c>
      <c r="S896" s="4" t="str">
        <f t="shared" si="67"/>
        <v/>
      </c>
      <c r="T896" s="4" t="str">
        <f t="shared" si="68"/>
        <v/>
      </c>
      <c r="U896" s="10" t="str">
        <f t="shared" si="69"/>
        <v/>
      </c>
      <c r="V896" s="4"/>
    </row>
    <row r="897" spans="2:22" x14ac:dyDescent="0.25">
      <c r="B897" s="4" t="str">
        <f>IFERROR(VLOOKUP(A897,'ECN-ECO_DATA'!B:G,4,FALSE),"")</f>
        <v/>
      </c>
      <c r="C897" s="9" t="str">
        <f>IFERROR(VLOOKUP(A897,'ECN-ECO_DATA'!B:G,5,FALSE),"")</f>
        <v/>
      </c>
      <c r="D897" s="9" t="str">
        <f ca="1">IFERROR((IF(VLOOKUP(A897,'ECN-ECO_DATA'!B:G,6,FALSE)=0/1/1900,TODAY(),VLOOKUP(A897,'ECN-ECO_DATA'!B:G,6,FALSE))),"")</f>
        <v/>
      </c>
      <c r="E897" s="9" t="str">
        <f>IFERROR((IF(VLOOKUP(A897,'ECN-ECO_DATA'!B:G,6,FALSE)=0/1/1900,"",VLOOKUP(A897,'ECN-ECO_DATA'!B:G,6,FALSE))),"")</f>
        <v/>
      </c>
      <c r="F897" s="9" t="str">
        <f>IFERROR((IF(VLOOKUP(A897,'ECN-ECO_DATA'!B:J,7,FALSE)=0/1/1900,"",VLOOKUP(A897,'ECN-ECO_DATA'!B:J,7,FALSE))),"")</f>
        <v/>
      </c>
      <c r="G897" s="9" t="str">
        <f>IFERROR((IF(VLOOKUP(A897,'ECN-ECO_DATA'!B:J,8,FALSE)=0/1/1900,"",VLOOKUP(A897,'ECN-ECO_DATA'!B:J,8,FALSE))),"")</f>
        <v/>
      </c>
      <c r="H897" s="9" t="str">
        <f>IFERROR((IF(VLOOKUP(A897,'ECN-ECO_DATA'!B:J,9,FALSE)=0/1/1900,"",VLOOKUP(A897,'ECN-ECO_DATA'!B:J,9,FALSE))),"")</f>
        <v/>
      </c>
      <c r="I897" s="10" t="str">
        <f>IFERROR((IF(VLOOKUP(A897,'ECN-ECO_DATA'!B:Q,13,FALSE)="","",VLOOKUP(A897,'ECN-ECO_DATA'!B:Q,13,FALSE))),"")</f>
        <v/>
      </c>
      <c r="J897" s="10" t="str">
        <f>IFERROR((IF(VLOOKUP(A897,'ECN-ECO_DATA'!B:Q,14,FALSE)="","",VLOOKUP(A897,'ECN-ECO_DATA'!B:Q,14,FALSE))),"")</f>
        <v/>
      </c>
      <c r="K897" s="10" t="str">
        <f>IFERROR((IF(VLOOKUP(A897,'ECN-ECO_DATA'!B:Q,15,FALSE)="","",VLOOKUP(A897,'ECN-ECO_DATA'!B:Q,15,FALSE))),"")</f>
        <v/>
      </c>
      <c r="L897" s="10" t="str">
        <f>IFERROR((IF(VLOOKUP(A897,'ECN-ECO_DATA'!B:Q,16,FALSE)="","",VLOOKUP(A897,'ECN-ECO_DATA'!B:Q,16,FALSE))),"")</f>
        <v/>
      </c>
      <c r="M897" s="9" t="str">
        <f>IFERROR((IF(VLOOKUP(A897,'ECN-ECO_DATA'!B:V,18,FALSE)=0/1/1900,"",VLOOKUP(A897,'ECN-ECO_DATA'!B:V,18,FALSE))),"")</f>
        <v/>
      </c>
      <c r="N897" s="9" t="str">
        <f>IFERROR((IF(VLOOKUP(A897,'ECN-ECO_DATA'!B:V,19,FALSE)=0/1/1900,"",VLOOKUP(A897,'ECN-ECO_DATA'!B:V,19,FALSE))),"")</f>
        <v/>
      </c>
      <c r="O897" s="9" t="str">
        <f>IFERROR((IF(VLOOKUP(A897,'ECN-ECO_DATA'!B:V,20,FALSE)=0/1/1900,"",VLOOKUP(A897,'ECN-ECO_DATA'!B:V,20,FALSE))),"")</f>
        <v/>
      </c>
      <c r="P897" s="9" t="str">
        <f>IFERROR((IF(VLOOKUP(A897,'ECN-ECO_DATA'!B:V,21,FALSE)=0/1/1900,"",VLOOKUP(A897,'ECN-ECO_DATA'!B:V,21,FALSE))),"")</f>
        <v/>
      </c>
      <c r="Q897" s="10" t="str">
        <f t="shared" ca="1" si="65"/>
        <v/>
      </c>
      <c r="R897" s="4" t="str">
        <f t="shared" si="66"/>
        <v/>
      </c>
      <c r="S897" s="4" t="str">
        <f t="shared" si="67"/>
        <v/>
      </c>
      <c r="T897" s="4" t="str">
        <f t="shared" si="68"/>
        <v/>
      </c>
      <c r="U897" s="10" t="str">
        <f t="shared" si="69"/>
        <v/>
      </c>
      <c r="V897" s="4"/>
    </row>
    <row r="898" spans="2:22" x14ac:dyDescent="0.25">
      <c r="B898" s="4" t="str">
        <f>IFERROR(VLOOKUP(A898,'ECN-ECO_DATA'!B:G,4,FALSE),"")</f>
        <v/>
      </c>
      <c r="C898" s="9" t="str">
        <f>IFERROR(VLOOKUP(A898,'ECN-ECO_DATA'!B:G,5,FALSE),"")</f>
        <v/>
      </c>
      <c r="D898" s="9" t="str">
        <f ca="1">IFERROR((IF(VLOOKUP(A898,'ECN-ECO_DATA'!B:G,6,FALSE)=0/1/1900,TODAY(),VLOOKUP(A898,'ECN-ECO_DATA'!B:G,6,FALSE))),"")</f>
        <v/>
      </c>
      <c r="E898" s="9" t="str">
        <f>IFERROR((IF(VLOOKUP(A898,'ECN-ECO_DATA'!B:G,6,FALSE)=0/1/1900,"",VLOOKUP(A898,'ECN-ECO_DATA'!B:G,6,FALSE))),"")</f>
        <v/>
      </c>
      <c r="F898" s="9" t="str">
        <f>IFERROR((IF(VLOOKUP(A898,'ECN-ECO_DATA'!B:J,7,FALSE)=0/1/1900,"",VLOOKUP(A898,'ECN-ECO_DATA'!B:J,7,FALSE))),"")</f>
        <v/>
      </c>
      <c r="G898" s="9" t="str">
        <f>IFERROR((IF(VLOOKUP(A898,'ECN-ECO_DATA'!B:J,8,FALSE)=0/1/1900,"",VLOOKUP(A898,'ECN-ECO_DATA'!B:J,8,FALSE))),"")</f>
        <v/>
      </c>
      <c r="H898" s="9" t="str">
        <f>IFERROR((IF(VLOOKUP(A898,'ECN-ECO_DATA'!B:J,9,FALSE)=0/1/1900,"",VLOOKUP(A898,'ECN-ECO_DATA'!B:J,9,FALSE))),"")</f>
        <v/>
      </c>
      <c r="I898" s="10" t="str">
        <f>IFERROR((IF(VLOOKUP(A898,'ECN-ECO_DATA'!B:Q,13,FALSE)="","",VLOOKUP(A898,'ECN-ECO_DATA'!B:Q,13,FALSE))),"")</f>
        <v/>
      </c>
      <c r="J898" s="10" t="str">
        <f>IFERROR((IF(VLOOKUP(A898,'ECN-ECO_DATA'!B:Q,14,FALSE)="","",VLOOKUP(A898,'ECN-ECO_DATA'!B:Q,14,FALSE))),"")</f>
        <v/>
      </c>
      <c r="K898" s="10" t="str">
        <f>IFERROR((IF(VLOOKUP(A898,'ECN-ECO_DATA'!B:Q,15,FALSE)="","",VLOOKUP(A898,'ECN-ECO_DATA'!B:Q,15,FALSE))),"")</f>
        <v/>
      </c>
      <c r="L898" s="10" t="str">
        <f>IFERROR((IF(VLOOKUP(A898,'ECN-ECO_DATA'!B:Q,16,FALSE)="","",VLOOKUP(A898,'ECN-ECO_DATA'!B:Q,16,FALSE))),"")</f>
        <v/>
      </c>
      <c r="M898" s="9" t="str">
        <f>IFERROR((IF(VLOOKUP(A898,'ECN-ECO_DATA'!B:V,18,FALSE)=0/1/1900,"",VLOOKUP(A898,'ECN-ECO_DATA'!B:V,18,FALSE))),"")</f>
        <v/>
      </c>
      <c r="N898" s="9" t="str">
        <f>IFERROR((IF(VLOOKUP(A898,'ECN-ECO_DATA'!B:V,19,FALSE)=0/1/1900,"",VLOOKUP(A898,'ECN-ECO_DATA'!B:V,19,FALSE))),"")</f>
        <v/>
      </c>
      <c r="O898" s="9" t="str">
        <f>IFERROR((IF(VLOOKUP(A898,'ECN-ECO_DATA'!B:V,20,FALSE)=0/1/1900,"",VLOOKUP(A898,'ECN-ECO_DATA'!B:V,20,FALSE))),"")</f>
        <v/>
      </c>
      <c r="P898" s="9" t="str">
        <f>IFERROR((IF(VLOOKUP(A898,'ECN-ECO_DATA'!B:V,21,FALSE)=0/1/1900,"",VLOOKUP(A898,'ECN-ECO_DATA'!B:V,21,FALSE))),"")</f>
        <v/>
      </c>
      <c r="Q898" s="10" t="str">
        <f t="shared" ca="1" si="65"/>
        <v/>
      </c>
      <c r="R898" s="4" t="str">
        <f t="shared" si="66"/>
        <v/>
      </c>
      <c r="S898" s="4" t="str">
        <f t="shared" si="67"/>
        <v/>
      </c>
      <c r="T898" s="4" t="str">
        <f t="shared" si="68"/>
        <v/>
      </c>
      <c r="U898" s="10" t="str">
        <f t="shared" si="69"/>
        <v/>
      </c>
      <c r="V898" s="4"/>
    </row>
    <row r="899" spans="2:22" x14ac:dyDescent="0.25">
      <c r="B899" s="4" t="str">
        <f>IFERROR(VLOOKUP(A899,'ECN-ECO_DATA'!B:G,4,FALSE),"")</f>
        <v/>
      </c>
      <c r="C899" s="9" t="str">
        <f>IFERROR(VLOOKUP(A899,'ECN-ECO_DATA'!B:G,5,FALSE),"")</f>
        <v/>
      </c>
      <c r="D899" s="9" t="str">
        <f ca="1">IFERROR((IF(VLOOKUP(A899,'ECN-ECO_DATA'!B:G,6,FALSE)=0/1/1900,TODAY(),VLOOKUP(A899,'ECN-ECO_DATA'!B:G,6,FALSE))),"")</f>
        <v/>
      </c>
      <c r="E899" s="9" t="str">
        <f>IFERROR((IF(VLOOKUP(A899,'ECN-ECO_DATA'!B:G,6,FALSE)=0/1/1900,"",VLOOKUP(A899,'ECN-ECO_DATA'!B:G,6,FALSE))),"")</f>
        <v/>
      </c>
      <c r="F899" s="9" t="str">
        <f>IFERROR((IF(VLOOKUP(A899,'ECN-ECO_DATA'!B:J,7,FALSE)=0/1/1900,"",VLOOKUP(A899,'ECN-ECO_DATA'!B:J,7,FALSE))),"")</f>
        <v/>
      </c>
      <c r="G899" s="9" t="str">
        <f>IFERROR((IF(VLOOKUP(A899,'ECN-ECO_DATA'!B:J,8,FALSE)=0/1/1900,"",VLOOKUP(A899,'ECN-ECO_DATA'!B:J,8,FALSE))),"")</f>
        <v/>
      </c>
      <c r="H899" s="9" t="str">
        <f>IFERROR((IF(VLOOKUP(A899,'ECN-ECO_DATA'!B:J,9,FALSE)=0/1/1900,"",VLOOKUP(A899,'ECN-ECO_DATA'!B:J,9,FALSE))),"")</f>
        <v/>
      </c>
      <c r="I899" s="10" t="str">
        <f>IFERROR((IF(VLOOKUP(A899,'ECN-ECO_DATA'!B:Q,13,FALSE)="","",VLOOKUP(A899,'ECN-ECO_DATA'!B:Q,13,FALSE))),"")</f>
        <v/>
      </c>
      <c r="J899" s="10" t="str">
        <f>IFERROR((IF(VLOOKUP(A899,'ECN-ECO_DATA'!B:Q,14,FALSE)="","",VLOOKUP(A899,'ECN-ECO_DATA'!B:Q,14,FALSE))),"")</f>
        <v/>
      </c>
      <c r="K899" s="10" t="str">
        <f>IFERROR((IF(VLOOKUP(A899,'ECN-ECO_DATA'!B:Q,15,FALSE)="","",VLOOKUP(A899,'ECN-ECO_DATA'!B:Q,15,FALSE))),"")</f>
        <v/>
      </c>
      <c r="L899" s="10" t="str">
        <f>IFERROR((IF(VLOOKUP(A899,'ECN-ECO_DATA'!B:Q,16,FALSE)="","",VLOOKUP(A899,'ECN-ECO_DATA'!B:Q,16,FALSE))),"")</f>
        <v/>
      </c>
      <c r="M899" s="9" t="str">
        <f>IFERROR((IF(VLOOKUP(A899,'ECN-ECO_DATA'!B:V,18,FALSE)=0/1/1900,"",VLOOKUP(A899,'ECN-ECO_DATA'!B:V,18,FALSE))),"")</f>
        <v/>
      </c>
      <c r="N899" s="9" t="str">
        <f>IFERROR((IF(VLOOKUP(A899,'ECN-ECO_DATA'!B:V,19,FALSE)=0/1/1900,"",VLOOKUP(A899,'ECN-ECO_DATA'!B:V,19,FALSE))),"")</f>
        <v/>
      </c>
      <c r="O899" s="9" t="str">
        <f>IFERROR((IF(VLOOKUP(A899,'ECN-ECO_DATA'!B:V,20,FALSE)=0/1/1900,"",VLOOKUP(A899,'ECN-ECO_DATA'!B:V,20,FALSE))),"")</f>
        <v/>
      </c>
      <c r="P899" s="9" t="str">
        <f>IFERROR((IF(VLOOKUP(A899,'ECN-ECO_DATA'!B:V,21,FALSE)=0/1/1900,"",VLOOKUP(A899,'ECN-ECO_DATA'!B:V,21,FALSE))),"")</f>
        <v/>
      </c>
      <c r="Q899" s="10" t="str">
        <f t="shared" ref="Q899:Q962" ca="1" si="70">IFERROR(D899-C899,"")</f>
        <v/>
      </c>
      <c r="R899" s="4" t="str">
        <f t="shared" ref="R899:R962" si="71">IFERROR(H899-E899,"")</f>
        <v/>
      </c>
      <c r="S899" s="4" t="str">
        <f t="shared" ref="S899:S962" si="72">IFERROR(N899-H899,"")</f>
        <v/>
      </c>
      <c r="T899" s="4" t="str">
        <f t="shared" ref="T899:T962" si="73">IFERROR(O899-N899,"")</f>
        <v/>
      </c>
      <c r="U899" s="10" t="str">
        <f t="shared" ref="U899:U962" si="74">IF(O899="","",IF(SUM(Q899:T899)=0,"",SUM(Q899:T899)))</f>
        <v/>
      </c>
      <c r="V899" s="4"/>
    </row>
    <row r="900" spans="2:22" x14ac:dyDescent="0.25">
      <c r="B900" s="4" t="str">
        <f>IFERROR(VLOOKUP(A900,'ECN-ECO_DATA'!B:G,4,FALSE),"")</f>
        <v/>
      </c>
      <c r="C900" s="9" t="str">
        <f>IFERROR(VLOOKUP(A900,'ECN-ECO_DATA'!B:G,5,FALSE),"")</f>
        <v/>
      </c>
      <c r="D900" s="9" t="str">
        <f ca="1">IFERROR((IF(VLOOKUP(A900,'ECN-ECO_DATA'!B:G,6,FALSE)=0/1/1900,TODAY(),VLOOKUP(A900,'ECN-ECO_DATA'!B:G,6,FALSE))),"")</f>
        <v/>
      </c>
      <c r="E900" s="9" t="str">
        <f>IFERROR((IF(VLOOKUP(A900,'ECN-ECO_DATA'!B:G,6,FALSE)=0/1/1900,"",VLOOKUP(A900,'ECN-ECO_DATA'!B:G,6,FALSE))),"")</f>
        <v/>
      </c>
      <c r="F900" s="9" t="str">
        <f>IFERROR((IF(VLOOKUP(A900,'ECN-ECO_DATA'!B:J,7,FALSE)=0/1/1900,"",VLOOKUP(A900,'ECN-ECO_DATA'!B:J,7,FALSE))),"")</f>
        <v/>
      </c>
      <c r="G900" s="9" t="str">
        <f>IFERROR((IF(VLOOKUP(A900,'ECN-ECO_DATA'!B:J,8,FALSE)=0/1/1900,"",VLOOKUP(A900,'ECN-ECO_DATA'!B:J,8,FALSE))),"")</f>
        <v/>
      </c>
      <c r="H900" s="9" t="str">
        <f>IFERROR((IF(VLOOKUP(A900,'ECN-ECO_DATA'!B:J,9,FALSE)=0/1/1900,"",VLOOKUP(A900,'ECN-ECO_DATA'!B:J,9,FALSE))),"")</f>
        <v/>
      </c>
      <c r="I900" s="10" t="str">
        <f>IFERROR((IF(VLOOKUP(A900,'ECN-ECO_DATA'!B:Q,13,FALSE)="","",VLOOKUP(A900,'ECN-ECO_DATA'!B:Q,13,FALSE))),"")</f>
        <v/>
      </c>
      <c r="J900" s="10" t="str">
        <f>IFERROR((IF(VLOOKUP(A900,'ECN-ECO_DATA'!B:Q,14,FALSE)="","",VLOOKUP(A900,'ECN-ECO_DATA'!B:Q,14,FALSE))),"")</f>
        <v/>
      </c>
      <c r="K900" s="10" t="str">
        <f>IFERROR((IF(VLOOKUP(A900,'ECN-ECO_DATA'!B:Q,15,FALSE)="","",VLOOKUP(A900,'ECN-ECO_DATA'!B:Q,15,FALSE))),"")</f>
        <v/>
      </c>
      <c r="L900" s="10" t="str">
        <f>IFERROR((IF(VLOOKUP(A900,'ECN-ECO_DATA'!B:Q,16,FALSE)="","",VLOOKUP(A900,'ECN-ECO_DATA'!B:Q,16,FALSE))),"")</f>
        <v/>
      </c>
      <c r="M900" s="9" t="str">
        <f>IFERROR((IF(VLOOKUP(A900,'ECN-ECO_DATA'!B:V,18,FALSE)=0/1/1900,"",VLOOKUP(A900,'ECN-ECO_DATA'!B:V,18,FALSE))),"")</f>
        <v/>
      </c>
      <c r="N900" s="9" t="str">
        <f>IFERROR((IF(VLOOKUP(A900,'ECN-ECO_DATA'!B:V,19,FALSE)=0/1/1900,"",VLOOKUP(A900,'ECN-ECO_DATA'!B:V,19,FALSE))),"")</f>
        <v/>
      </c>
      <c r="O900" s="9" t="str">
        <f>IFERROR((IF(VLOOKUP(A900,'ECN-ECO_DATA'!B:V,20,FALSE)=0/1/1900,"",VLOOKUP(A900,'ECN-ECO_DATA'!B:V,20,FALSE))),"")</f>
        <v/>
      </c>
      <c r="P900" s="9" t="str">
        <f>IFERROR((IF(VLOOKUP(A900,'ECN-ECO_DATA'!B:V,21,FALSE)=0/1/1900,"",VLOOKUP(A900,'ECN-ECO_DATA'!B:V,21,FALSE))),"")</f>
        <v/>
      </c>
      <c r="Q900" s="10" t="str">
        <f t="shared" ca="1" si="70"/>
        <v/>
      </c>
      <c r="R900" s="4" t="str">
        <f t="shared" si="71"/>
        <v/>
      </c>
      <c r="S900" s="4" t="str">
        <f t="shared" si="72"/>
        <v/>
      </c>
      <c r="T900" s="4" t="str">
        <f t="shared" si="73"/>
        <v/>
      </c>
      <c r="U900" s="10" t="str">
        <f t="shared" si="74"/>
        <v/>
      </c>
      <c r="V900" s="4"/>
    </row>
    <row r="901" spans="2:22" x14ac:dyDescent="0.25">
      <c r="B901" s="4" t="str">
        <f>IFERROR(VLOOKUP(A901,'ECN-ECO_DATA'!B:G,4,FALSE),"")</f>
        <v/>
      </c>
      <c r="C901" s="9" t="str">
        <f>IFERROR(VLOOKUP(A901,'ECN-ECO_DATA'!B:G,5,FALSE),"")</f>
        <v/>
      </c>
      <c r="D901" s="9" t="str">
        <f ca="1">IFERROR((IF(VLOOKUP(A901,'ECN-ECO_DATA'!B:G,6,FALSE)=0/1/1900,TODAY(),VLOOKUP(A901,'ECN-ECO_DATA'!B:G,6,FALSE))),"")</f>
        <v/>
      </c>
      <c r="E901" s="9" t="str">
        <f>IFERROR((IF(VLOOKUP(A901,'ECN-ECO_DATA'!B:G,6,FALSE)=0/1/1900,"",VLOOKUP(A901,'ECN-ECO_DATA'!B:G,6,FALSE))),"")</f>
        <v/>
      </c>
      <c r="F901" s="9" t="str">
        <f>IFERROR((IF(VLOOKUP(A901,'ECN-ECO_DATA'!B:J,7,FALSE)=0/1/1900,"",VLOOKUP(A901,'ECN-ECO_DATA'!B:J,7,FALSE))),"")</f>
        <v/>
      </c>
      <c r="G901" s="9" t="str">
        <f>IFERROR((IF(VLOOKUP(A901,'ECN-ECO_DATA'!B:J,8,FALSE)=0/1/1900,"",VLOOKUP(A901,'ECN-ECO_DATA'!B:J,8,FALSE))),"")</f>
        <v/>
      </c>
      <c r="H901" s="9" t="str">
        <f>IFERROR((IF(VLOOKUP(A901,'ECN-ECO_DATA'!B:J,9,FALSE)=0/1/1900,"",VLOOKUP(A901,'ECN-ECO_DATA'!B:J,9,FALSE))),"")</f>
        <v/>
      </c>
      <c r="I901" s="10" t="str">
        <f>IFERROR((IF(VLOOKUP(A901,'ECN-ECO_DATA'!B:Q,13,FALSE)="","",VLOOKUP(A901,'ECN-ECO_DATA'!B:Q,13,FALSE))),"")</f>
        <v/>
      </c>
      <c r="J901" s="10" t="str">
        <f>IFERROR((IF(VLOOKUP(A901,'ECN-ECO_DATA'!B:Q,14,FALSE)="","",VLOOKUP(A901,'ECN-ECO_DATA'!B:Q,14,FALSE))),"")</f>
        <v/>
      </c>
      <c r="K901" s="10" t="str">
        <f>IFERROR((IF(VLOOKUP(A901,'ECN-ECO_DATA'!B:Q,15,FALSE)="","",VLOOKUP(A901,'ECN-ECO_DATA'!B:Q,15,FALSE))),"")</f>
        <v/>
      </c>
      <c r="L901" s="10" t="str">
        <f>IFERROR((IF(VLOOKUP(A901,'ECN-ECO_DATA'!B:Q,16,FALSE)="","",VLOOKUP(A901,'ECN-ECO_DATA'!B:Q,16,FALSE))),"")</f>
        <v/>
      </c>
      <c r="M901" s="9" t="str">
        <f>IFERROR((IF(VLOOKUP(A901,'ECN-ECO_DATA'!B:V,18,FALSE)=0/1/1900,"",VLOOKUP(A901,'ECN-ECO_DATA'!B:V,18,FALSE))),"")</f>
        <v/>
      </c>
      <c r="N901" s="9" t="str">
        <f>IFERROR((IF(VLOOKUP(A901,'ECN-ECO_DATA'!B:V,19,FALSE)=0/1/1900,"",VLOOKUP(A901,'ECN-ECO_DATA'!B:V,19,FALSE))),"")</f>
        <v/>
      </c>
      <c r="O901" s="9" t="str">
        <f>IFERROR((IF(VLOOKUP(A901,'ECN-ECO_DATA'!B:V,20,FALSE)=0/1/1900,"",VLOOKUP(A901,'ECN-ECO_DATA'!B:V,20,FALSE))),"")</f>
        <v/>
      </c>
      <c r="P901" s="9" t="str">
        <f>IFERROR((IF(VLOOKUP(A901,'ECN-ECO_DATA'!B:V,21,FALSE)=0/1/1900,"",VLOOKUP(A901,'ECN-ECO_DATA'!B:V,21,FALSE))),"")</f>
        <v/>
      </c>
      <c r="Q901" s="10" t="str">
        <f t="shared" ca="1" si="70"/>
        <v/>
      </c>
      <c r="R901" s="4" t="str">
        <f t="shared" si="71"/>
        <v/>
      </c>
      <c r="S901" s="4" t="str">
        <f t="shared" si="72"/>
        <v/>
      </c>
      <c r="T901" s="4" t="str">
        <f t="shared" si="73"/>
        <v/>
      </c>
      <c r="U901" s="10" t="str">
        <f t="shared" si="74"/>
        <v/>
      </c>
      <c r="V901" s="4"/>
    </row>
    <row r="902" spans="2:22" x14ac:dyDescent="0.25">
      <c r="B902" s="4" t="str">
        <f>IFERROR(VLOOKUP(A902,'ECN-ECO_DATA'!B:G,4,FALSE),"")</f>
        <v/>
      </c>
      <c r="C902" s="9" t="str">
        <f>IFERROR(VLOOKUP(A902,'ECN-ECO_DATA'!B:G,5,FALSE),"")</f>
        <v/>
      </c>
      <c r="D902" s="9" t="str">
        <f ca="1">IFERROR((IF(VLOOKUP(A902,'ECN-ECO_DATA'!B:G,6,FALSE)=0/1/1900,TODAY(),VLOOKUP(A902,'ECN-ECO_DATA'!B:G,6,FALSE))),"")</f>
        <v/>
      </c>
      <c r="E902" s="9" t="str">
        <f>IFERROR((IF(VLOOKUP(A902,'ECN-ECO_DATA'!B:G,6,FALSE)=0/1/1900,"",VLOOKUP(A902,'ECN-ECO_DATA'!B:G,6,FALSE))),"")</f>
        <v/>
      </c>
      <c r="F902" s="9" t="str">
        <f>IFERROR((IF(VLOOKUP(A902,'ECN-ECO_DATA'!B:J,7,FALSE)=0/1/1900,"",VLOOKUP(A902,'ECN-ECO_DATA'!B:J,7,FALSE))),"")</f>
        <v/>
      </c>
      <c r="G902" s="9" t="str">
        <f>IFERROR((IF(VLOOKUP(A902,'ECN-ECO_DATA'!B:J,8,FALSE)=0/1/1900,"",VLOOKUP(A902,'ECN-ECO_DATA'!B:J,8,FALSE))),"")</f>
        <v/>
      </c>
      <c r="H902" s="9" t="str">
        <f>IFERROR((IF(VLOOKUP(A902,'ECN-ECO_DATA'!B:J,9,FALSE)=0/1/1900,"",VLOOKUP(A902,'ECN-ECO_DATA'!B:J,9,FALSE))),"")</f>
        <v/>
      </c>
      <c r="I902" s="10" t="str">
        <f>IFERROR((IF(VLOOKUP(A902,'ECN-ECO_DATA'!B:Q,13,FALSE)="","",VLOOKUP(A902,'ECN-ECO_DATA'!B:Q,13,FALSE))),"")</f>
        <v/>
      </c>
      <c r="J902" s="10" t="str">
        <f>IFERROR((IF(VLOOKUP(A902,'ECN-ECO_DATA'!B:Q,14,FALSE)="","",VLOOKUP(A902,'ECN-ECO_DATA'!B:Q,14,FALSE))),"")</f>
        <v/>
      </c>
      <c r="K902" s="10" t="str">
        <f>IFERROR((IF(VLOOKUP(A902,'ECN-ECO_DATA'!B:Q,15,FALSE)="","",VLOOKUP(A902,'ECN-ECO_DATA'!B:Q,15,FALSE))),"")</f>
        <v/>
      </c>
      <c r="L902" s="10" t="str">
        <f>IFERROR((IF(VLOOKUP(A902,'ECN-ECO_DATA'!B:Q,16,FALSE)="","",VLOOKUP(A902,'ECN-ECO_DATA'!B:Q,16,FALSE))),"")</f>
        <v/>
      </c>
      <c r="M902" s="9" t="str">
        <f>IFERROR((IF(VLOOKUP(A902,'ECN-ECO_DATA'!B:V,18,FALSE)=0/1/1900,"",VLOOKUP(A902,'ECN-ECO_DATA'!B:V,18,FALSE))),"")</f>
        <v/>
      </c>
      <c r="N902" s="9" t="str">
        <f>IFERROR((IF(VLOOKUP(A902,'ECN-ECO_DATA'!B:V,19,FALSE)=0/1/1900,"",VLOOKUP(A902,'ECN-ECO_DATA'!B:V,19,FALSE))),"")</f>
        <v/>
      </c>
      <c r="O902" s="9" t="str">
        <f>IFERROR((IF(VLOOKUP(A902,'ECN-ECO_DATA'!B:V,20,FALSE)=0/1/1900,"",VLOOKUP(A902,'ECN-ECO_DATA'!B:V,20,FALSE))),"")</f>
        <v/>
      </c>
      <c r="P902" s="9" t="str">
        <f>IFERROR((IF(VLOOKUP(A902,'ECN-ECO_DATA'!B:V,21,FALSE)=0/1/1900,"",VLOOKUP(A902,'ECN-ECO_DATA'!B:V,21,FALSE))),"")</f>
        <v/>
      </c>
      <c r="Q902" s="10" t="str">
        <f t="shared" ca="1" si="70"/>
        <v/>
      </c>
      <c r="R902" s="4" t="str">
        <f t="shared" si="71"/>
        <v/>
      </c>
      <c r="S902" s="4" t="str">
        <f t="shared" si="72"/>
        <v/>
      </c>
      <c r="T902" s="4" t="str">
        <f t="shared" si="73"/>
        <v/>
      </c>
      <c r="U902" s="10" t="str">
        <f t="shared" si="74"/>
        <v/>
      </c>
      <c r="V902" s="4"/>
    </row>
    <row r="903" spans="2:22" x14ac:dyDescent="0.25">
      <c r="B903" s="4" t="str">
        <f>IFERROR(VLOOKUP(A903,'ECN-ECO_DATA'!B:G,4,FALSE),"")</f>
        <v/>
      </c>
      <c r="C903" s="9" t="str">
        <f>IFERROR(VLOOKUP(A903,'ECN-ECO_DATA'!B:G,5,FALSE),"")</f>
        <v/>
      </c>
      <c r="D903" s="9" t="str">
        <f ca="1">IFERROR((IF(VLOOKUP(A903,'ECN-ECO_DATA'!B:G,6,FALSE)=0/1/1900,TODAY(),VLOOKUP(A903,'ECN-ECO_DATA'!B:G,6,FALSE))),"")</f>
        <v/>
      </c>
      <c r="E903" s="9" t="str">
        <f>IFERROR((IF(VLOOKUP(A903,'ECN-ECO_DATA'!B:G,6,FALSE)=0/1/1900,"",VLOOKUP(A903,'ECN-ECO_DATA'!B:G,6,FALSE))),"")</f>
        <v/>
      </c>
      <c r="F903" s="9" t="str">
        <f>IFERROR((IF(VLOOKUP(A903,'ECN-ECO_DATA'!B:J,7,FALSE)=0/1/1900,"",VLOOKUP(A903,'ECN-ECO_DATA'!B:J,7,FALSE))),"")</f>
        <v/>
      </c>
      <c r="G903" s="9" t="str">
        <f>IFERROR((IF(VLOOKUP(A903,'ECN-ECO_DATA'!B:J,8,FALSE)=0/1/1900,"",VLOOKUP(A903,'ECN-ECO_DATA'!B:J,8,FALSE))),"")</f>
        <v/>
      </c>
      <c r="H903" s="9" t="str">
        <f>IFERROR((IF(VLOOKUP(A903,'ECN-ECO_DATA'!B:J,9,FALSE)=0/1/1900,"",VLOOKUP(A903,'ECN-ECO_DATA'!B:J,9,FALSE))),"")</f>
        <v/>
      </c>
      <c r="I903" s="10" t="str">
        <f>IFERROR((IF(VLOOKUP(A903,'ECN-ECO_DATA'!B:Q,13,FALSE)="","",VLOOKUP(A903,'ECN-ECO_DATA'!B:Q,13,FALSE))),"")</f>
        <v/>
      </c>
      <c r="J903" s="10" t="str">
        <f>IFERROR((IF(VLOOKUP(A903,'ECN-ECO_DATA'!B:Q,14,FALSE)="","",VLOOKUP(A903,'ECN-ECO_DATA'!B:Q,14,FALSE))),"")</f>
        <v/>
      </c>
      <c r="K903" s="10" t="str">
        <f>IFERROR((IF(VLOOKUP(A903,'ECN-ECO_DATA'!B:Q,15,FALSE)="","",VLOOKUP(A903,'ECN-ECO_DATA'!B:Q,15,FALSE))),"")</f>
        <v/>
      </c>
      <c r="L903" s="10" t="str">
        <f>IFERROR((IF(VLOOKUP(A903,'ECN-ECO_DATA'!B:Q,16,FALSE)="","",VLOOKUP(A903,'ECN-ECO_DATA'!B:Q,16,FALSE))),"")</f>
        <v/>
      </c>
      <c r="M903" s="9" t="str">
        <f>IFERROR((IF(VLOOKUP(A903,'ECN-ECO_DATA'!B:V,18,FALSE)=0/1/1900,"",VLOOKUP(A903,'ECN-ECO_DATA'!B:V,18,FALSE))),"")</f>
        <v/>
      </c>
      <c r="N903" s="9" t="str">
        <f>IFERROR((IF(VLOOKUP(A903,'ECN-ECO_DATA'!B:V,19,FALSE)=0/1/1900,"",VLOOKUP(A903,'ECN-ECO_DATA'!B:V,19,FALSE))),"")</f>
        <v/>
      </c>
      <c r="O903" s="9" t="str">
        <f>IFERROR((IF(VLOOKUP(A903,'ECN-ECO_DATA'!B:V,20,FALSE)=0/1/1900,"",VLOOKUP(A903,'ECN-ECO_DATA'!B:V,20,FALSE))),"")</f>
        <v/>
      </c>
      <c r="P903" s="9" t="str">
        <f>IFERROR((IF(VLOOKUP(A903,'ECN-ECO_DATA'!B:V,21,FALSE)=0/1/1900,"",VLOOKUP(A903,'ECN-ECO_DATA'!B:V,21,FALSE))),"")</f>
        <v/>
      </c>
      <c r="Q903" s="10" t="str">
        <f t="shared" ca="1" si="70"/>
        <v/>
      </c>
      <c r="R903" s="4" t="str">
        <f t="shared" si="71"/>
        <v/>
      </c>
      <c r="S903" s="4" t="str">
        <f t="shared" si="72"/>
        <v/>
      </c>
      <c r="T903" s="4" t="str">
        <f t="shared" si="73"/>
        <v/>
      </c>
      <c r="U903" s="10" t="str">
        <f t="shared" si="74"/>
        <v/>
      </c>
      <c r="V903" s="4"/>
    </row>
    <row r="904" spans="2:22" x14ac:dyDescent="0.25">
      <c r="B904" s="4" t="str">
        <f>IFERROR(VLOOKUP(A904,'ECN-ECO_DATA'!B:G,4,FALSE),"")</f>
        <v/>
      </c>
      <c r="C904" s="9" t="str">
        <f>IFERROR(VLOOKUP(A904,'ECN-ECO_DATA'!B:G,5,FALSE),"")</f>
        <v/>
      </c>
      <c r="D904" s="9" t="str">
        <f ca="1">IFERROR((IF(VLOOKUP(A904,'ECN-ECO_DATA'!B:G,6,FALSE)=0/1/1900,TODAY(),VLOOKUP(A904,'ECN-ECO_DATA'!B:G,6,FALSE))),"")</f>
        <v/>
      </c>
      <c r="E904" s="9" t="str">
        <f>IFERROR((IF(VLOOKUP(A904,'ECN-ECO_DATA'!B:G,6,FALSE)=0/1/1900,"",VLOOKUP(A904,'ECN-ECO_DATA'!B:G,6,FALSE))),"")</f>
        <v/>
      </c>
      <c r="F904" s="9" t="str">
        <f>IFERROR((IF(VLOOKUP(A904,'ECN-ECO_DATA'!B:J,7,FALSE)=0/1/1900,"",VLOOKUP(A904,'ECN-ECO_DATA'!B:J,7,FALSE))),"")</f>
        <v/>
      </c>
      <c r="G904" s="9" t="str">
        <f>IFERROR((IF(VLOOKUP(A904,'ECN-ECO_DATA'!B:J,8,FALSE)=0/1/1900,"",VLOOKUP(A904,'ECN-ECO_DATA'!B:J,8,FALSE))),"")</f>
        <v/>
      </c>
      <c r="H904" s="9" t="str">
        <f>IFERROR((IF(VLOOKUP(A904,'ECN-ECO_DATA'!B:J,9,FALSE)=0/1/1900,"",VLOOKUP(A904,'ECN-ECO_DATA'!B:J,9,FALSE))),"")</f>
        <v/>
      </c>
      <c r="I904" s="10" t="str">
        <f>IFERROR((IF(VLOOKUP(A904,'ECN-ECO_DATA'!B:Q,13,FALSE)="","",VLOOKUP(A904,'ECN-ECO_DATA'!B:Q,13,FALSE))),"")</f>
        <v/>
      </c>
      <c r="J904" s="10" t="str">
        <f>IFERROR((IF(VLOOKUP(A904,'ECN-ECO_DATA'!B:Q,14,FALSE)="","",VLOOKUP(A904,'ECN-ECO_DATA'!B:Q,14,FALSE))),"")</f>
        <v/>
      </c>
      <c r="K904" s="10" t="str">
        <f>IFERROR((IF(VLOOKUP(A904,'ECN-ECO_DATA'!B:Q,15,FALSE)="","",VLOOKUP(A904,'ECN-ECO_DATA'!B:Q,15,FALSE))),"")</f>
        <v/>
      </c>
      <c r="L904" s="10" t="str">
        <f>IFERROR((IF(VLOOKUP(A904,'ECN-ECO_DATA'!B:Q,16,FALSE)="","",VLOOKUP(A904,'ECN-ECO_DATA'!B:Q,16,FALSE))),"")</f>
        <v/>
      </c>
      <c r="M904" s="9" t="str">
        <f>IFERROR((IF(VLOOKUP(A904,'ECN-ECO_DATA'!B:V,18,FALSE)=0/1/1900,"",VLOOKUP(A904,'ECN-ECO_DATA'!B:V,18,FALSE))),"")</f>
        <v/>
      </c>
      <c r="N904" s="9" t="str">
        <f>IFERROR((IF(VLOOKUP(A904,'ECN-ECO_DATA'!B:V,19,FALSE)=0/1/1900,"",VLOOKUP(A904,'ECN-ECO_DATA'!B:V,19,FALSE))),"")</f>
        <v/>
      </c>
      <c r="O904" s="9" t="str">
        <f>IFERROR((IF(VLOOKUP(A904,'ECN-ECO_DATA'!B:V,20,FALSE)=0/1/1900,"",VLOOKUP(A904,'ECN-ECO_DATA'!B:V,20,FALSE))),"")</f>
        <v/>
      </c>
      <c r="P904" s="9" t="str">
        <f>IFERROR((IF(VLOOKUP(A904,'ECN-ECO_DATA'!B:V,21,FALSE)=0/1/1900,"",VLOOKUP(A904,'ECN-ECO_DATA'!B:V,21,FALSE))),"")</f>
        <v/>
      </c>
      <c r="Q904" s="10" t="str">
        <f t="shared" ca="1" si="70"/>
        <v/>
      </c>
      <c r="R904" s="4" t="str">
        <f t="shared" si="71"/>
        <v/>
      </c>
      <c r="S904" s="4" t="str">
        <f t="shared" si="72"/>
        <v/>
      </c>
      <c r="T904" s="4" t="str">
        <f t="shared" si="73"/>
        <v/>
      </c>
      <c r="U904" s="10" t="str">
        <f t="shared" si="74"/>
        <v/>
      </c>
      <c r="V904" s="4"/>
    </row>
    <row r="905" spans="2:22" x14ac:dyDescent="0.25">
      <c r="B905" s="4" t="str">
        <f>IFERROR(VLOOKUP(A905,'ECN-ECO_DATA'!B:G,4,FALSE),"")</f>
        <v/>
      </c>
      <c r="C905" s="9" t="str">
        <f>IFERROR(VLOOKUP(A905,'ECN-ECO_DATA'!B:G,5,FALSE),"")</f>
        <v/>
      </c>
      <c r="D905" s="9" t="str">
        <f ca="1">IFERROR((IF(VLOOKUP(A905,'ECN-ECO_DATA'!B:G,6,FALSE)=0/1/1900,TODAY(),VLOOKUP(A905,'ECN-ECO_DATA'!B:G,6,FALSE))),"")</f>
        <v/>
      </c>
      <c r="E905" s="9" t="str">
        <f>IFERROR((IF(VLOOKUP(A905,'ECN-ECO_DATA'!B:G,6,FALSE)=0/1/1900,"",VLOOKUP(A905,'ECN-ECO_DATA'!B:G,6,FALSE))),"")</f>
        <v/>
      </c>
      <c r="F905" s="9" t="str">
        <f>IFERROR((IF(VLOOKUP(A905,'ECN-ECO_DATA'!B:J,7,FALSE)=0/1/1900,"",VLOOKUP(A905,'ECN-ECO_DATA'!B:J,7,FALSE))),"")</f>
        <v/>
      </c>
      <c r="G905" s="9" t="str">
        <f>IFERROR((IF(VLOOKUP(A905,'ECN-ECO_DATA'!B:J,8,FALSE)=0/1/1900,"",VLOOKUP(A905,'ECN-ECO_DATA'!B:J,8,FALSE))),"")</f>
        <v/>
      </c>
      <c r="H905" s="9" t="str">
        <f>IFERROR((IF(VLOOKUP(A905,'ECN-ECO_DATA'!B:J,9,FALSE)=0/1/1900,"",VLOOKUP(A905,'ECN-ECO_DATA'!B:J,9,FALSE))),"")</f>
        <v/>
      </c>
      <c r="I905" s="10" t="str">
        <f>IFERROR((IF(VLOOKUP(A905,'ECN-ECO_DATA'!B:Q,13,FALSE)="","",VLOOKUP(A905,'ECN-ECO_DATA'!B:Q,13,FALSE))),"")</f>
        <v/>
      </c>
      <c r="J905" s="10" t="str">
        <f>IFERROR((IF(VLOOKUP(A905,'ECN-ECO_DATA'!B:Q,14,FALSE)="","",VLOOKUP(A905,'ECN-ECO_DATA'!B:Q,14,FALSE))),"")</f>
        <v/>
      </c>
      <c r="K905" s="10" t="str">
        <f>IFERROR((IF(VLOOKUP(A905,'ECN-ECO_DATA'!B:Q,15,FALSE)="","",VLOOKUP(A905,'ECN-ECO_DATA'!B:Q,15,FALSE))),"")</f>
        <v/>
      </c>
      <c r="L905" s="10" t="str">
        <f>IFERROR((IF(VLOOKUP(A905,'ECN-ECO_DATA'!B:Q,16,FALSE)="","",VLOOKUP(A905,'ECN-ECO_DATA'!B:Q,16,FALSE))),"")</f>
        <v/>
      </c>
      <c r="M905" s="9" t="str">
        <f>IFERROR((IF(VLOOKUP(A905,'ECN-ECO_DATA'!B:V,18,FALSE)=0/1/1900,"",VLOOKUP(A905,'ECN-ECO_DATA'!B:V,18,FALSE))),"")</f>
        <v/>
      </c>
      <c r="N905" s="9" t="str">
        <f>IFERROR((IF(VLOOKUP(A905,'ECN-ECO_DATA'!B:V,19,FALSE)=0/1/1900,"",VLOOKUP(A905,'ECN-ECO_DATA'!B:V,19,FALSE))),"")</f>
        <v/>
      </c>
      <c r="O905" s="9" t="str">
        <f>IFERROR((IF(VLOOKUP(A905,'ECN-ECO_DATA'!B:V,20,FALSE)=0/1/1900,"",VLOOKUP(A905,'ECN-ECO_DATA'!B:V,20,FALSE))),"")</f>
        <v/>
      </c>
      <c r="P905" s="9" t="str">
        <f>IFERROR((IF(VLOOKUP(A905,'ECN-ECO_DATA'!B:V,21,FALSE)=0/1/1900,"",VLOOKUP(A905,'ECN-ECO_DATA'!B:V,21,FALSE))),"")</f>
        <v/>
      </c>
      <c r="Q905" s="10" t="str">
        <f t="shared" ca="1" si="70"/>
        <v/>
      </c>
      <c r="R905" s="4" t="str">
        <f t="shared" si="71"/>
        <v/>
      </c>
      <c r="S905" s="4" t="str">
        <f t="shared" si="72"/>
        <v/>
      </c>
      <c r="T905" s="4" t="str">
        <f t="shared" si="73"/>
        <v/>
      </c>
      <c r="U905" s="10" t="str">
        <f t="shared" si="74"/>
        <v/>
      </c>
      <c r="V905" s="4"/>
    </row>
    <row r="906" spans="2:22" x14ac:dyDescent="0.25">
      <c r="B906" s="4" t="str">
        <f>IFERROR(VLOOKUP(A906,'ECN-ECO_DATA'!B:G,4,FALSE),"")</f>
        <v/>
      </c>
      <c r="C906" s="9" t="str">
        <f>IFERROR(VLOOKUP(A906,'ECN-ECO_DATA'!B:G,5,FALSE),"")</f>
        <v/>
      </c>
      <c r="D906" s="9" t="str">
        <f ca="1">IFERROR((IF(VLOOKUP(A906,'ECN-ECO_DATA'!B:G,6,FALSE)=0/1/1900,TODAY(),VLOOKUP(A906,'ECN-ECO_DATA'!B:G,6,FALSE))),"")</f>
        <v/>
      </c>
      <c r="E906" s="9" t="str">
        <f>IFERROR((IF(VLOOKUP(A906,'ECN-ECO_DATA'!B:G,6,FALSE)=0/1/1900,"",VLOOKUP(A906,'ECN-ECO_DATA'!B:G,6,FALSE))),"")</f>
        <v/>
      </c>
      <c r="F906" s="9" t="str">
        <f>IFERROR((IF(VLOOKUP(A906,'ECN-ECO_DATA'!B:J,7,FALSE)=0/1/1900,"",VLOOKUP(A906,'ECN-ECO_DATA'!B:J,7,FALSE))),"")</f>
        <v/>
      </c>
      <c r="G906" s="9" t="str">
        <f>IFERROR((IF(VLOOKUP(A906,'ECN-ECO_DATA'!B:J,8,FALSE)=0/1/1900,"",VLOOKUP(A906,'ECN-ECO_DATA'!B:J,8,FALSE))),"")</f>
        <v/>
      </c>
      <c r="H906" s="9" t="str">
        <f>IFERROR((IF(VLOOKUP(A906,'ECN-ECO_DATA'!B:J,9,FALSE)=0/1/1900,"",VLOOKUP(A906,'ECN-ECO_DATA'!B:J,9,FALSE))),"")</f>
        <v/>
      </c>
      <c r="I906" s="10" t="str">
        <f>IFERROR((IF(VLOOKUP(A906,'ECN-ECO_DATA'!B:Q,13,FALSE)="","",VLOOKUP(A906,'ECN-ECO_DATA'!B:Q,13,FALSE))),"")</f>
        <v/>
      </c>
      <c r="J906" s="10" t="str">
        <f>IFERROR((IF(VLOOKUP(A906,'ECN-ECO_DATA'!B:Q,14,FALSE)="","",VLOOKUP(A906,'ECN-ECO_DATA'!B:Q,14,FALSE))),"")</f>
        <v/>
      </c>
      <c r="K906" s="10" t="str">
        <f>IFERROR((IF(VLOOKUP(A906,'ECN-ECO_DATA'!B:Q,15,FALSE)="","",VLOOKUP(A906,'ECN-ECO_DATA'!B:Q,15,FALSE))),"")</f>
        <v/>
      </c>
      <c r="L906" s="10" t="str">
        <f>IFERROR((IF(VLOOKUP(A906,'ECN-ECO_DATA'!B:Q,16,FALSE)="","",VLOOKUP(A906,'ECN-ECO_DATA'!B:Q,16,FALSE))),"")</f>
        <v/>
      </c>
      <c r="M906" s="9" t="str">
        <f>IFERROR((IF(VLOOKUP(A906,'ECN-ECO_DATA'!B:V,18,FALSE)=0/1/1900,"",VLOOKUP(A906,'ECN-ECO_DATA'!B:V,18,FALSE))),"")</f>
        <v/>
      </c>
      <c r="N906" s="9" t="str">
        <f>IFERROR((IF(VLOOKUP(A906,'ECN-ECO_DATA'!B:V,19,FALSE)=0/1/1900,"",VLOOKUP(A906,'ECN-ECO_DATA'!B:V,19,FALSE))),"")</f>
        <v/>
      </c>
      <c r="O906" s="9" t="str">
        <f>IFERROR((IF(VLOOKUP(A906,'ECN-ECO_DATA'!B:V,20,FALSE)=0/1/1900,"",VLOOKUP(A906,'ECN-ECO_DATA'!B:V,20,FALSE))),"")</f>
        <v/>
      </c>
      <c r="P906" s="9" t="str">
        <f>IFERROR((IF(VLOOKUP(A906,'ECN-ECO_DATA'!B:V,21,FALSE)=0/1/1900,"",VLOOKUP(A906,'ECN-ECO_DATA'!B:V,21,FALSE))),"")</f>
        <v/>
      </c>
      <c r="Q906" s="10" t="str">
        <f t="shared" ca="1" si="70"/>
        <v/>
      </c>
      <c r="R906" s="4" t="str">
        <f t="shared" si="71"/>
        <v/>
      </c>
      <c r="S906" s="4" t="str">
        <f t="shared" si="72"/>
        <v/>
      </c>
      <c r="T906" s="4" t="str">
        <f t="shared" si="73"/>
        <v/>
      </c>
      <c r="U906" s="10" t="str">
        <f t="shared" si="74"/>
        <v/>
      </c>
      <c r="V906" s="4"/>
    </row>
    <row r="907" spans="2:22" x14ac:dyDescent="0.25">
      <c r="B907" s="4" t="str">
        <f>IFERROR(VLOOKUP(A907,'ECN-ECO_DATA'!B:G,4,FALSE),"")</f>
        <v/>
      </c>
      <c r="C907" s="9" t="str">
        <f>IFERROR(VLOOKUP(A907,'ECN-ECO_DATA'!B:G,5,FALSE),"")</f>
        <v/>
      </c>
      <c r="D907" s="9" t="str">
        <f ca="1">IFERROR((IF(VLOOKUP(A907,'ECN-ECO_DATA'!B:G,6,FALSE)=0/1/1900,TODAY(),VLOOKUP(A907,'ECN-ECO_DATA'!B:G,6,FALSE))),"")</f>
        <v/>
      </c>
      <c r="E907" s="9" t="str">
        <f>IFERROR((IF(VLOOKUP(A907,'ECN-ECO_DATA'!B:G,6,FALSE)=0/1/1900,"",VLOOKUP(A907,'ECN-ECO_DATA'!B:G,6,FALSE))),"")</f>
        <v/>
      </c>
      <c r="F907" s="9" t="str">
        <f>IFERROR((IF(VLOOKUP(A907,'ECN-ECO_DATA'!B:J,7,FALSE)=0/1/1900,"",VLOOKUP(A907,'ECN-ECO_DATA'!B:J,7,FALSE))),"")</f>
        <v/>
      </c>
      <c r="G907" s="9" t="str">
        <f>IFERROR((IF(VLOOKUP(A907,'ECN-ECO_DATA'!B:J,8,FALSE)=0/1/1900,"",VLOOKUP(A907,'ECN-ECO_DATA'!B:J,8,FALSE))),"")</f>
        <v/>
      </c>
      <c r="H907" s="9" t="str">
        <f>IFERROR((IF(VLOOKUP(A907,'ECN-ECO_DATA'!B:J,9,FALSE)=0/1/1900,"",VLOOKUP(A907,'ECN-ECO_DATA'!B:J,9,FALSE))),"")</f>
        <v/>
      </c>
      <c r="I907" s="10" t="str">
        <f>IFERROR((IF(VLOOKUP(A907,'ECN-ECO_DATA'!B:Q,13,FALSE)="","",VLOOKUP(A907,'ECN-ECO_DATA'!B:Q,13,FALSE))),"")</f>
        <v/>
      </c>
      <c r="J907" s="10" t="str">
        <f>IFERROR((IF(VLOOKUP(A907,'ECN-ECO_DATA'!B:Q,14,FALSE)="","",VLOOKUP(A907,'ECN-ECO_DATA'!B:Q,14,FALSE))),"")</f>
        <v/>
      </c>
      <c r="K907" s="10" t="str">
        <f>IFERROR((IF(VLOOKUP(A907,'ECN-ECO_DATA'!B:Q,15,FALSE)="","",VLOOKUP(A907,'ECN-ECO_DATA'!B:Q,15,FALSE))),"")</f>
        <v/>
      </c>
      <c r="L907" s="10" t="str">
        <f>IFERROR((IF(VLOOKUP(A907,'ECN-ECO_DATA'!B:Q,16,FALSE)="","",VLOOKUP(A907,'ECN-ECO_DATA'!B:Q,16,FALSE))),"")</f>
        <v/>
      </c>
      <c r="M907" s="9" t="str">
        <f>IFERROR((IF(VLOOKUP(A907,'ECN-ECO_DATA'!B:V,18,FALSE)=0/1/1900,"",VLOOKUP(A907,'ECN-ECO_DATA'!B:V,18,FALSE))),"")</f>
        <v/>
      </c>
      <c r="N907" s="9" t="str">
        <f>IFERROR((IF(VLOOKUP(A907,'ECN-ECO_DATA'!B:V,19,FALSE)=0/1/1900,"",VLOOKUP(A907,'ECN-ECO_DATA'!B:V,19,FALSE))),"")</f>
        <v/>
      </c>
      <c r="O907" s="9" t="str">
        <f>IFERROR((IF(VLOOKUP(A907,'ECN-ECO_DATA'!B:V,20,FALSE)=0/1/1900,"",VLOOKUP(A907,'ECN-ECO_DATA'!B:V,20,FALSE))),"")</f>
        <v/>
      </c>
      <c r="P907" s="9" t="str">
        <f>IFERROR((IF(VLOOKUP(A907,'ECN-ECO_DATA'!B:V,21,FALSE)=0/1/1900,"",VLOOKUP(A907,'ECN-ECO_DATA'!B:V,21,FALSE))),"")</f>
        <v/>
      </c>
      <c r="Q907" s="10" t="str">
        <f t="shared" ca="1" si="70"/>
        <v/>
      </c>
      <c r="R907" s="4" t="str">
        <f t="shared" si="71"/>
        <v/>
      </c>
      <c r="S907" s="4" t="str">
        <f t="shared" si="72"/>
        <v/>
      </c>
      <c r="T907" s="4" t="str">
        <f t="shared" si="73"/>
        <v/>
      </c>
      <c r="U907" s="10" t="str">
        <f t="shared" si="74"/>
        <v/>
      </c>
      <c r="V907" s="4"/>
    </row>
    <row r="908" spans="2:22" x14ac:dyDescent="0.25">
      <c r="B908" s="4" t="str">
        <f>IFERROR(VLOOKUP(A908,'ECN-ECO_DATA'!B:G,4,FALSE),"")</f>
        <v/>
      </c>
      <c r="C908" s="9" t="str">
        <f>IFERROR(VLOOKUP(A908,'ECN-ECO_DATA'!B:G,5,FALSE),"")</f>
        <v/>
      </c>
      <c r="D908" s="9" t="str">
        <f ca="1">IFERROR((IF(VLOOKUP(A908,'ECN-ECO_DATA'!B:G,6,FALSE)=0/1/1900,TODAY(),VLOOKUP(A908,'ECN-ECO_DATA'!B:G,6,FALSE))),"")</f>
        <v/>
      </c>
      <c r="E908" s="9" t="str">
        <f>IFERROR((IF(VLOOKUP(A908,'ECN-ECO_DATA'!B:G,6,FALSE)=0/1/1900,"",VLOOKUP(A908,'ECN-ECO_DATA'!B:G,6,FALSE))),"")</f>
        <v/>
      </c>
      <c r="F908" s="9" t="str">
        <f>IFERROR((IF(VLOOKUP(A908,'ECN-ECO_DATA'!B:J,7,FALSE)=0/1/1900,"",VLOOKUP(A908,'ECN-ECO_DATA'!B:J,7,FALSE))),"")</f>
        <v/>
      </c>
      <c r="G908" s="9" t="str">
        <f>IFERROR((IF(VLOOKUP(A908,'ECN-ECO_DATA'!B:J,8,FALSE)=0/1/1900,"",VLOOKUP(A908,'ECN-ECO_DATA'!B:J,8,FALSE))),"")</f>
        <v/>
      </c>
      <c r="H908" s="9" t="str">
        <f>IFERROR((IF(VLOOKUP(A908,'ECN-ECO_DATA'!B:J,9,FALSE)=0/1/1900,"",VLOOKUP(A908,'ECN-ECO_DATA'!B:J,9,FALSE))),"")</f>
        <v/>
      </c>
      <c r="I908" s="10" t="str">
        <f>IFERROR((IF(VLOOKUP(A908,'ECN-ECO_DATA'!B:Q,13,FALSE)="","",VLOOKUP(A908,'ECN-ECO_DATA'!B:Q,13,FALSE))),"")</f>
        <v/>
      </c>
      <c r="J908" s="10" t="str">
        <f>IFERROR((IF(VLOOKUP(A908,'ECN-ECO_DATA'!B:Q,14,FALSE)="","",VLOOKUP(A908,'ECN-ECO_DATA'!B:Q,14,FALSE))),"")</f>
        <v/>
      </c>
      <c r="K908" s="10" t="str">
        <f>IFERROR((IF(VLOOKUP(A908,'ECN-ECO_DATA'!B:Q,15,FALSE)="","",VLOOKUP(A908,'ECN-ECO_DATA'!B:Q,15,FALSE))),"")</f>
        <v/>
      </c>
      <c r="L908" s="10" t="str">
        <f>IFERROR((IF(VLOOKUP(A908,'ECN-ECO_DATA'!B:Q,16,FALSE)="","",VLOOKUP(A908,'ECN-ECO_DATA'!B:Q,16,FALSE))),"")</f>
        <v/>
      </c>
      <c r="M908" s="9" t="str">
        <f>IFERROR((IF(VLOOKUP(A908,'ECN-ECO_DATA'!B:V,18,FALSE)=0/1/1900,"",VLOOKUP(A908,'ECN-ECO_DATA'!B:V,18,FALSE))),"")</f>
        <v/>
      </c>
      <c r="N908" s="9" t="str">
        <f>IFERROR((IF(VLOOKUP(A908,'ECN-ECO_DATA'!B:V,19,FALSE)=0/1/1900,"",VLOOKUP(A908,'ECN-ECO_DATA'!B:V,19,FALSE))),"")</f>
        <v/>
      </c>
      <c r="O908" s="9" t="str">
        <f>IFERROR((IF(VLOOKUP(A908,'ECN-ECO_DATA'!B:V,20,FALSE)=0/1/1900,"",VLOOKUP(A908,'ECN-ECO_DATA'!B:V,20,FALSE))),"")</f>
        <v/>
      </c>
      <c r="P908" s="9" t="str">
        <f>IFERROR((IF(VLOOKUP(A908,'ECN-ECO_DATA'!B:V,21,FALSE)=0/1/1900,"",VLOOKUP(A908,'ECN-ECO_DATA'!B:V,21,FALSE))),"")</f>
        <v/>
      </c>
      <c r="Q908" s="10" t="str">
        <f t="shared" ca="1" si="70"/>
        <v/>
      </c>
      <c r="R908" s="4" t="str">
        <f t="shared" si="71"/>
        <v/>
      </c>
      <c r="S908" s="4" t="str">
        <f t="shared" si="72"/>
        <v/>
      </c>
      <c r="T908" s="4" t="str">
        <f t="shared" si="73"/>
        <v/>
      </c>
      <c r="U908" s="10" t="str">
        <f t="shared" si="74"/>
        <v/>
      </c>
      <c r="V908" s="4"/>
    </row>
    <row r="909" spans="2:22" x14ac:dyDescent="0.25">
      <c r="B909" s="4" t="str">
        <f>IFERROR(VLOOKUP(A909,'ECN-ECO_DATA'!B:G,4,FALSE),"")</f>
        <v/>
      </c>
      <c r="C909" s="9" t="str">
        <f>IFERROR(VLOOKUP(A909,'ECN-ECO_DATA'!B:G,5,FALSE),"")</f>
        <v/>
      </c>
      <c r="D909" s="9" t="str">
        <f ca="1">IFERROR((IF(VLOOKUP(A909,'ECN-ECO_DATA'!B:G,6,FALSE)=0/1/1900,TODAY(),VLOOKUP(A909,'ECN-ECO_DATA'!B:G,6,FALSE))),"")</f>
        <v/>
      </c>
      <c r="E909" s="9" t="str">
        <f>IFERROR((IF(VLOOKUP(A909,'ECN-ECO_DATA'!B:G,6,FALSE)=0/1/1900,"",VLOOKUP(A909,'ECN-ECO_DATA'!B:G,6,FALSE))),"")</f>
        <v/>
      </c>
      <c r="F909" s="9" t="str">
        <f>IFERROR((IF(VLOOKUP(A909,'ECN-ECO_DATA'!B:J,7,FALSE)=0/1/1900,"",VLOOKUP(A909,'ECN-ECO_DATA'!B:J,7,FALSE))),"")</f>
        <v/>
      </c>
      <c r="G909" s="9" t="str">
        <f>IFERROR((IF(VLOOKUP(A909,'ECN-ECO_DATA'!B:J,8,FALSE)=0/1/1900,"",VLOOKUP(A909,'ECN-ECO_DATA'!B:J,8,FALSE))),"")</f>
        <v/>
      </c>
      <c r="H909" s="9" t="str">
        <f>IFERROR((IF(VLOOKUP(A909,'ECN-ECO_DATA'!B:J,9,FALSE)=0/1/1900,"",VLOOKUP(A909,'ECN-ECO_DATA'!B:J,9,FALSE))),"")</f>
        <v/>
      </c>
      <c r="I909" s="10" t="str">
        <f>IFERROR((IF(VLOOKUP(A909,'ECN-ECO_DATA'!B:Q,13,FALSE)="","",VLOOKUP(A909,'ECN-ECO_DATA'!B:Q,13,FALSE))),"")</f>
        <v/>
      </c>
      <c r="J909" s="10" t="str">
        <f>IFERROR((IF(VLOOKUP(A909,'ECN-ECO_DATA'!B:Q,14,FALSE)="","",VLOOKUP(A909,'ECN-ECO_DATA'!B:Q,14,FALSE))),"")</f>
        <v/>
      </c>
      <c r="K909" s="10" t="str">
        <f>IFERROR((IF(VLOOKUP(A909,'ECN-ECO_DATA'!B:Q,15,FALSE)="","",VLOOKUP(A909,'ECN-ECO_DATA'!B:Q,15,FALSE))),"")</f>
        <v/>
      </c>
      <c r="L909" s="10" t="str">
        <f>IFERROR((IF(VLOOKUP(A909,'ECN-ECO_DATA'!B:Q,16,FALSE)="","",VLOOKUP(A909,'ECN-ECO_DATA'!B:Q,16,FALSE))),"")</f>
        <v/>
      </c>
      <c r="M909" s="9" t="str">
        <f>IFERROR((IF(VLOOKUP(A909,'ECN-ECO_DATA'!B:V,18,FALSE)=0/1/1900,"",VLOOKUP(A909,'ECN-ECO_DATA'!B:V,18,FALSE))),"")</f>
        <v/>
      </c>
      <c r="N909" s="9" t="str">
        <f>IFERROR((IF(VLOOKUP(A909,'ECN-ECO_DATA'!B:V,19,FALSE)=0/1/1900,"",VLOOKUP(A909,'ECN-ECO_DATA'!B:V,19,FALSE))),"")</f>
        <v/>
      </c>
      <c r="O909" s="9" t="str">
        <f>IFERROR((IF(VLOOKUP(A909,'ECN-ECO_DATA'!B:V,20,FALSE)=0/1/1900,"",VLOOKUP(A909,'ECN-ECO_DATA'!B:V,20,FALSE))),"")</f>
        <v/>
      </c>
      <c r="P909" s="9" t="str">
        <f>IFERROR((IF(VLOOKUP(A909,'ECN-ECO_DATA'!B:V,21,FALSE)=0/1/1900,"",VLOOKUP(A909,'ECN-ECO_DATA'!B:V,21,FALSE))),"")</f>
        <v/>
      </c>
      <c r="Q909" s="10" t="str">
        <f t="shared" ca="1" si="70"/>
        <v/>
      </c>
      <c r="R909" s="4" t="str">
        <f t="shared" si="71"/>
        <v/>
      </c>
      <c r="S909" s="4" t="str">
        <f t="shared" si="72"/>
        <v/>
      </c>
      <c r="T909" s="4" t="str">
        <f t="shared" si="73"/>
        <v/>
      </c>
      <c r="U909" s="10" t="str">
        <f t="shared" si="74"/>
        <v/>
      </c>
      <c r="V909" s="4"/>
    </row>
    <row r="910" spans="2:22" x14ac:dyDescent="0.25">
      <c r="B910" s="4" t="str">
        <f>IFERROR(VLOOKUP(A910,'ECN-ECO_DATA'!B:G,4,FALSE),"")</f>
        <v/>
      </c>
      <c r="C910" s="9" t="str">
        <f>IFERROR(VLOOKUP(A910,'ECN-ECO_DATA'!B:G,5,FALSE),"")</f>
        <v/>
      </c>
      <c r="D910" s="9" t="str">
        <f ca="1">IFERROR((IF(VLOOKUP(A910,'ECN-ECO_DATA'!B:G,6,FALSE)=0/1/1900,TODAY(),VLOOKUP(A910,'ECN-ECO_DATA'!B:G,6,FALSE))),"")</f>
        <v/>
      </c>
      <c r="E910" s="9" t="str">
        <f>IFERROR((IF(VLOOKUP(A910,'ECN-ECO_DATA'!B:G,6,FALSE)=0/1/1900,"",VLOOKUP(A910,'ECN-ECO_DATA'!B:G,6,FALSE))),"")</f>
        <v/>
      </c>
      <c r="F910" s="9" t="str">
        <f>IFERROR((IF(VLOOKUP(A910,'ECN-ECO_DATA'!B:J,7,FALSE)=0/1/1900,"",VLOOKUP(A910,'ECN-ECO_DATA'!B:J,7,FALSE))),"")</f>
        <v/>
      </c>
      <c r="G910" s="9" t="str">
        <f>IFERROR((IF(VLOOKUP(A910,'ECN-ECO_DATA'!B:J,8,FALSE)=0/1/1900,"",VLOOKUP(A910,'ECN-ECO_DATA'!B:J,8,FALSE))),"")</f>
        <v/>
      </c>
      <c r="H910" s="9" t="str">
        <f>IFERROR((IF(VLOOKUP(A910,'ECN-ECO_DATA'!B:J,9,FALSE)=0/1/1900,"",VLOOKUP(A910,'ECN-ECO_DATA'!B:J,9,FALSE))),"")</f>
        <v/>
      </c>
      <c r="I910" s="10" t="str">
        <f>IFERROR((IF(VLOOKUP(A910,'ECN-ECO_DATA'!B:Q,13,FALSE)="","",VLOOKUP(A910,'ECN-ECO_DATA'!B:Q,13,FALSE))),"")</f>
        <v/>
      </c>
      <c r="J910" s="10" t="str">
        <f>IFERROR((IF(VLOOKUP(A910,'ECN-ECO_DATA'!B:Q,14,FALSE)="","",VLOOKUP(A910,'ECN-ECO_DATA'!B:Q,14,FALSE))),"")</f>
        <v/>
      </c>
      <c r="K910" s="10" t="str">
        <f>IFERROR((IF(VLOOKUP(A910,'ECN-ECO_DATA'!B:Q,15,FALSE)="","",VLOOKUP(A910,'ECN-ECO_DATA'!B:Q,15,FALSE))),"")</f>
        <v/>
      </c>
      <c r="L910" s="10" t="str">
        <f>IFERROR((IF(VLOOKUP(A910,'ECN-ECO_DATA'!B:Q,16,FALSE)="","",VLOOKUP(A910,'ECN-ECO_DATA'!B:Q,16,FALSE))),"")</f>
        <v/>
      </c>
      <c r="M910" s="9" t="str">
        <f>IFERROR((IF(VLOOKUP(A910,'ECN-ECO_DATA'!B:V,18,FALSE)=0/1/1900,"",VLOOKUP(A910,'ECN-ECO_DATA'!B:V,18,FALSE))),"")</f>
        <v/>
      </c>
      <c r="N910" s="9" t="str">
        <f>IFERROR((IF(VLOOKUP(A910,'ECN-ECO_DATA'!B:V,19,FALSE)=0/1/1900,"",VLOOKUP(A910,'ECN-ECO_DATA'!B:V,19,FALSE))),"")</f>
        <v/>
      </c>
      <c r="O910" s="9" t="str">
        <f>IFERROR((IF(VLOOKUP(A910,'ECN-ECO_DATA'!B:V,20,FALSE)=0/1/1900,"",VLOOKUP(A910,'ECN-ECO_DATA'!B:V,20,FALSE))),"")</f>
        <v/>
      </c>
      <c r="P910" s="9" t="str">
        <f>IFERROR((IF(VLOOKUP(A910,'ECN-ECO_DATA'!B:V,21,FALSE)=0/1/1900,"",VLOOKUP(A910,'ECN-ECO_DATA'!B:V,21,FALSE))),"")</f>
        <v/>
      </c>
      <c r="Q910" s="10" t="str">
        <f t="shared" ca="1" si="70"/>
        <v/>
      </c>
      <c r="R910" s="4" t="str">
        <f t="shared" si="71"/>
        <v/>
      </c>
      <c r="S910" s="4" t="str">
        <f t="shared" si="72"/>
        <v/>
      </c>
      <c r="T910" s="4" t="str">
        <f t="shared" si="73"/>
        <v/>
      </c>
      <c r="U910" s="10" t="str">
        <f t="shared" si="74"/>
        <v/>
      </c>
      <c r="V910" s="4"/>
    </row>
    <row r="911" spans="2:22" x14ac:dyDescent="0.25">
      <c r="B911" s="4" t="str">
        <f>IFERROR(VLOOKUP(A911,'ECN-ECO_DATA'!B:G,4,FALSE),"")</f>
        <v/>
      </c>
      <c r="C911" s="9" t="str">
        <f>IFERROR(VLOOKUP(A911,'ECN-ECO_DATA'!B:G,5,FALSE),"")</f>
        <v/>
      </c>
      <c r="D911" s="9" t="str">
        <f ca="1">IFERROR((IF(VLOOKUP(A911,'ECN-ECO_DATA'!B:G,6,FALSE)=0/1/1900,TODAY(),VLOOKUP(A911,'ECN-ECO_DATA'!B:G,6,FALSE))),"")</f>
        <v/>
      </c>
      <c r="E911" s="9" t="str">
        <f>IFERROR((IF(VLOOKUP(A911,'ECN-ECO_DATA'!B:G,6,FALSE)=0/1/1900,"",VLOOKUP(A911,'ECN-ECO_DATA'!B:G,6,FALSE))),"")</f>
        <v/>
      </c>
      <c r="F911" s="9" t="str">
        <f>IFERROR((IF(VLOOKUP(A911,'ECN-ECO_DATA'!B:J,7,FALSE)=0/1/1900,"",VLOOKUP(A911,'ECN-ECO_DATA'!B:J,7,FALSE))),"")</f>
        <v/>
      </c>
      <c r="G911" s="9" t="str">
        <f>IFERROR((IF(VLOOKUP(A911,'ECN-ECO_DATA'!B:J,8,FALSE)=0/1/1900,"",VLOOKUP(A911,'ECN-ECO_DATA'!B:J,8,FALSE))),"")</f>
        <v/>
      </c>
      <c r="H911" s="9" t="str">
        <f>IFERROR((IF(VLOOKUP(A911,'ECN-ECO_DATA'!B:J,9,FALSE)=0/1/1900,"",VLOOKUP(A911,'ECN-ECO_DATA'!B:J,9,FALSE))),"")</f>
        <v/>
      </c>
      <c r="I911" s="10" t="str">
        <f>IFERROR((IF(VLOOKUP(A911,'ECN-ECO_DATA'!B:Q,13,FALSE)="","",VLOOKUP(A911,'ECN-ECO_DATA'!B:Q,13,FALSE))),"")</f>
        <v/>
      </c>
      <c r="J911" s="10" t="str">
        <f>IFERROR((IF(VLOOKUP(A911,'ECN-ECO_DATA'!B:Q,14,FALSE)="","",VLOOKUP(A911,'ECN-ECO_DATA'!B:Q,14,FALSE))),"")</f>
        <v/>
      </c>
      <c r="K911" s="10" t="str">
        <f>IFERROR((IF(VLOOKUP(A911,'ECN-ECO_DATA'!B:Q,15,FALSE)="","",VLOOKUP(A911,'ECN-ECO_DATA'!B:Q,15,FALSE))),"")</f>
        <v/>
      </c>
      <c r="L911" s="10" t="str">
        <f>IFERROR((IF(VLOOKUP(A911,'ECN-ECO_DATA'!B:Q,16,FALSE)="","",VLOOKUP(A911,'ECN-ECO_DATA'!B:Q,16,FALSE))),"")</f>
        <v/>
      </c>
      <c r="M911" s="9" t="str">
        <f>IFERROR((IF(VLOOKUP(A911,'ECN-ECO_DATA'!B:V,18,FALSE)=0/1/1900,"",VLOOKUP(A911,'ECN-ECO_DATA'!B:V,18,FALSE))),"")</f>
        <v/>
      </c>
      <c r="N911" s="9" t="str">
        <f>IFERROR((IF(VLOOKUP(A911,'ECN-ECO_DATA'!B:V,19,FALSE)=0/1/1900,"",VLOOKUP(A911,'ECN-ECO_DATA'!B:V,19,FALSE))),"")</f>
        <v/>
      </c>
      <c r="O911" s="9" t="str">
        <f>IFERROR((IF(VLOOKUP(A911,'ECN-ECO_DATA'!B:V,20,FALSE)=0/1/1900,"",VLOOKUP(A911,'ECN-ECO_DATA'!B:V,20,FALSE))),"")</f>
        <v/>
      </c>
      <c r="P911" s="9" t="str">
        <f>IFERROR((IF(VLOOKUP(A911,'ECN-ECO_DATA'!B:V,21,FALSE)=0/1/1900,"",VLOOKUP(A911,'ECN-ECO_DATA'!B:V,21,FALSE))),"")</f>
        <v/>
      </c>
      <c r="Q911" s="10" t="str">
        <f t="shared" ca="1" si="70"/>
        <v/>
      </c>
      <c r="R911" s="4" t="str">
        <f t="shared" si="71"/>
        <v/>
      </c>
      <c r="S911" s="4" t="str">
        <f t="shared" si="72"/>
        <v/>
      </c>
      <c r="T911" s="4" t="str">
        <f t="shared" si="73"/>
        <v/>
      </c>
      <c r="U911" s="10" t="str">
        <f t="shared" si="74"/>
        <v/>
      </c>
      <c r="V911" s="4"/>
    </row>
    <row r="912" spans="2:22" x14ac:dyDescent="0.25">
      <c r="B912" s="4" t="str">
        <f>IFERROR(VLOOKUP(A912,'ECN-ECO_DATA'!B:G,4,FALSE),"")</f>
        <v/>
      </c>
      <c r="C912" s="9" t="str">
        <f>IFERROR(VLOOKUP(A912,'ECN-ECO_DATA'!B:G,5,FALSE),"")</f>
        <v/>
      </c>
      <c r="D912" s="9" t="str">
        <f ca="1">IFERROR((IF(VLOOKUP(A912,'ECN-ECO_DATA'!B:G,6,FALSE)=0/1/1900,TODAY(),VLOOKUP(A912,'ECN-ECO_DATA'!B:G,6,FALSE))),"")</f>
        <v/>
      </c>
      <c r="E912" s="9" t="str">
        <f>IFERROR((IF(VLOOKUP(A912,'ECN-ECO_DATA'!B:G,6,FALSE)=0/1/1900,"",VLOOKUP(A912,'ECN-ECO_DATA'!B:G,6,FALSE))),"")</f>
        <v/>
      </c>
      <c r="F912" s="9" t="str">
        <f>IFERROR((IF(VLOOKUP(A912,'ECN-ECO_DATA'!B:J,7,FALSE)=0/1/1900,"",VLOOKUP(A912,'ECN-ECO_DATA'!B:J,7,FALSE))),"")</f>
        <v/>
      </c>
      <c r="G912" s="9" t="str">
        <f>IFERROR((IF(VLOOKUP(A912,'ECN-ECO_DATA'!B:J,8,FALSE)=0/1/1900,"",VLOOKUP(A912,'ECN-ECO_DATA'!B:J,8,FALSE))),"")</f>
        <v/>
      </c>
      <c r="H912" s="9" t="str">
        <f>IFERROR((IF(VLOOKUP(A912,'ECN-ECO_DATA'!B:J,9,FALSE)=0/1/1900,"",VLOOKUP(A912,'ECN-ECO_DATA'!B:J,9,FALSE))),"")</f>
        <v/>
      </c>
      <c r="I912" s="10" t="str">
        <f>IFERROR((IF(VLOOKUP(A912,'ECN-ECO_DATA'!B:Q,13,FALSE)="","",VLOOKUP(A912,'ECN-ECO_DATA'!B:Q,13,FALSE))),"")</f>
        <v/>
      </c>
      <c r="J912" s="10" t="str">
        <f>IFERROR((IF(VLOOKUP(A912,'ECN-ECO_DATA'!B:Q,14,FALSE)="","",VLOOKUP(A912,'ECN-ECO_DATA'!B:Q,14,FALSE))),"")</f>
        <v/>
      </c>
      <c r="K912" s="10" t="str">
        <f>IFERROR((IF(VLOOKUP(A912,'ECN-ECO_DATA'!B:Q,15,FALSE)="","",VLOOKUP(A912,'ECN-ECO_DATA'!B:Q,15,FALSE))),"")</f>
        <v/>
      </c>
      <c r="L912" s="10" t="str">
        <f>IFERROR((IF(VLOOKUP(A912,'ECN-ECO_DATA'!B:Q,16,FALSE)="","",VLOOKUP(A912,'ECN-ECO_DATA'!B:Q,16,FALSE))),"")</f>
        <v/>
      </c>
      <c r="M912" s="9" t="str">
        <f>IFERROR((IF(VLOOKUP(A912,'ECN-ECO_DATA'!B:V,18,FALSE)=0/1/1900,"",VLOOKUP(A912,'ECN-ECO_DATA'!B:V,18,FALSE))),"")</f>
        <v/>
      </c>
      <c r="N912" s="9" t="str">
        <f>IFERROR((IF(VLOOKUP(A912,'ECN-ECO_DATA'!B:V,19,FALSE)=0/1/1900,"",VLOOKUP(A912,'ECN-ECO_DATA'!B:V,19,FALSE))),"")</f>
        <v/>
      </c>
      <c r="O912" s="9" t="str">
        <f>IFERROR((IF(VLOOKUP(A912,'ECN-ECO_DATA'!B:V,20,FALSE)=0/1/1900,"",VLOOKUP(A912,'ECN-ECO_DATA'!B:V,20,FALSE))),"")</f>
        <v/>
      </c>
      <c r="P912" s="9" t="str">
        <f>IFERROR((IF(VLOOKUP(A912,'ECN-ECO_DATA'!B:V,21,FALSE)=0/1/1900,"",VLOOKUP(A912,'ECN-ECO_DATA'!B:V,21,FALSE))),"")</f>
        <v/>
      </c>
      <c r="Q912" s="10" t="str">
        <f t="shared" ca="1" si="70"/>
        <v/>
      </c>
      <c r="R912" s="4" t="str">
        <f t="shared" si="71"/>
        <v/>
      </c>
      <c r="S912" s="4" t="str">
        <f t="shared" si="72"/>
        <v/>
      </c>
      <c r="T912" s="4" t="str">
        <f t="shared" si="73"/>
        <v/>
      </c>
      <c r="U912" s="10" t="str">
        <f t="shared" si="74"/>
        <v/>
      </c>
      <c r="V912" s="4"/>
    </row>
    <row r="913" spans="2:22" x14ac:dyDescent="0.25">
      <c r="B913" s="4" t="str">
        <f>IFERROR(VLOOKUP(A913,'ECN-ECO_DATA'!B:G,4,FALSE),"")</f>
        <v/>
      </c>
      <c r="C913" s="9" t="str">
        <f>IFERROR(VLOOKUP(A913,'ECN-ECO_DATA'!B:G,5,FALSE),"")</f>
        <v/>
      </c>
      <c r="D913" s="9" t="str">
        <f ca="1">IFERROR((IF(VLOOKUP(A913,'ECN-ECO_DATA'!B:G,6,FALSE)=0/1/1900,TODAY(),VLOOKUP(A913,'ECN-ECO_DATA'!B:G,6,FALSE))),"")</f>
        <v/>
      </c>
      <c r="E913" s="9" t="str">
        <f>IFERROR((IF(VLOOKUP(A913,'ECN-ECO_DATA'!B:G,6,FALSE)=0/1/1900,"",VLOOKUP(A913,'ECN-ECO_DATA'!B:G,6,FALSE))),"")</f>
        <v/>
      </c>
      <c r="F913" s="9" t="str">
        <f>IFERROR((IF(VLOOKUP(A913,'ECN-ECO_DATA'!B:J,7,FALSE)=0/1/1900,"",VLOOKUP(A913,'ECN-ECO_DATA'!B:J,7,FALSE))),"")</f>
        <v/>
      </c>
      <c r="G913" s="9" t="str">
        <f>IFERROR((IF(VLOOKUP(A913,'ECN-ECO_DATA'!B:J,8,FALSE)=0/1/1900,"",VLOOKUP(A913,'ECN-ECO_DATA'!B:J,8,FALSE))),"")</f>
        <v/>
      </c>
      <c r="H913" s="9" t="str">
        <f>IFERROR((IF(VLOOKUP(A913,'ECN-ECO_DATA'!B:J,9,FALSE)=0/1/1900,"",VLOOKUP(A913,'ECN-ECO_DATA'!B:J,9,FALSE))),"")</f>
        <v/>
      </c>
      <c r="I913" s="10" t="str">
        <f>IFERROR((IF(VLOOKUP(A913,'ECN-ECO_DATA'!B:Q,13,FALSE)="","",VLOOKUP(A913,'ECN-ECO_DATA'!B:Q,13,FALSE))),"")</f>
        <v/>
      </c>
      <c r="J913" s="10" t="str">
        <f>IFERROR((IF(VLOOKUP(A913,'ECN-ECO_DATA'!B:Q,14,FALSE)="","",VLOOKUP(A913,'ECN-ECO_DATA'!B:Q,14,FALSE))),"")</f>
        <v/>
      </c>
      <c r="K913" s="10" t="str">
        <f>IFERROR((IF(VLOOKUP(A913,'ECN-ECO_DATA'!B:Q,15,FALSE)="","",VLOOKUP(A913,'ECN-ECO_DATA'!B:Q,15,FALSE))),"")</f>
        <v/>
      </c>
      <c r="L913" s="10" t="str">
        <f>IFERROR((IF(VLOOKUP(A913,'ECN-ECO_DATA'!B:Q,16,FALSE)="","",VLOOKUP(A913,'ECN-ECO_DATA'!B:Q,16,FALSE))),"")</f>
        <v/>
      </c>
      <c r="M913" s="9" t="str">
        <f>IFERROR((IF(VLOOKUP(A913,'ECN-ECO_DATA'!B:V,18,FALSE)=0/1/1900,"",VLOOKUP(A913,'ECN-ECO_DATA'!B:V,18,FALSE))),"")</f>
        <v/>
      </c>
      <c r="N913" s="9" t="str">
        <f>IFERROR((IF(VLOOKUP(A913,'ECN-ECO_DATA'!B:V,19,FALSE)=0/1/1900,"",VLOOKUP(A913,'ECN-ECO_DATA'!B:V,19,FALSE))),"")</f>
        <v/>
      </c>
      <c r="O913" s="9" t="str">
        <f>IFERROR((IF(VLOOKUP(A913,'ECN-ECO_DATA'!B:V,20,FALSE)=0/1/1900,"",VLOOKUP(A913,'ECN-ECO_DATA'!B:V,20,FALSE))),"")</f>
        <v/>
      </c>
      <c r="P913" s="9" t="str">
        <f>IFERROR((IF(VLOOKUP(A913,'ECN-ECO_DATA'!B:V,21,FALSE)=0/1/1900,"",VLOOKUP(A913,'ECN-ECO_DATA'!B:V,21,FALSE))),"")</f>
        <v/>
      </c>
      <c r="Q913" s="10" t="str">
        <f t="shared" ca="1" si="70"/>
        <v/>
      </c>
      <c r="R913" s="4" t="str">
        <f t="shared" si="71"/>
        <v/>
      </c>
      <c r="S913" s="4" t="str">
        <f t="shared" si="72"/>
        <v/>
      </c>
      <c r="T913" s="4" t="str">
        <f t="shared" si="73"/>
        <v/>
      </c>
      <c r="U913" s="10" t="str">
        <f t="shared" si="74"/>
        <v/>
      </c>
      <c r="V913" s="4"/>
    </row>
    <row r="914" spans="2:22" x14ac:dyDescent="0.25">
      <c r="B914" s="4" t="str">
        <f>IFERROR(VLOOKUP(A914,'ECN-ECO_DATA'!B:G,4,FALSE),"")</f>
        <v/>
      </c>
      <c r="C914" s="9" t="str">
        <f>IFERROR(VLOOKUP(A914,'ECN-ECO_DATA'!B:G,5,FALSE),"")</f>
        <v/>
      </c>
      <c r="D914" s="9" t="str">
        <f ca="1">IFERROR((IF(VLOOKUP(A914,'ECN-ECO_DATA'!B:G,6,FALSE)=0/1/1900,TODAY(),VLOOKUP(A914,'ECN-ECO_DATA'!B:G,6,FALSE))),"")</f>
        <v/>
      </c>
      <c r="E914" s="9" t="str">
        <f>IFERROR((IF(VLOOKUP(A914,'ECN-ECO_DATA'!B:G,6,FALSE)=0/1/1900,"",VLOOKUP(A914,'ECN-ECO_DATA'!B:G,6,FALSE))),"")</f>
        <v/>
      </c>
      <c r="F914" s="9" t="str">
        <f>IFERROR((IF(VLOOKUP(A914,'ECN-ECO_DATA'!B:J,7,FALSE)=0/1/1900,"",VLOOKUP(A914,'ECN-ECO_DATA'!B:J,7,FALSE))),"")</f>
        <v/>
      </c>
      <c r="G914" s="9" t="str">
        <f>IFERROR((IF(VLOOKUP(A914,'ECN-ECO_DATA'!B:J,8,FALSE)=0/1/1900,"",VLOOKUP(A914,'ECN-ECO_DATA'!B:J,8,FALSE))),"")</f>
        <v/>
      </c>
      <c r="H914" s="9" t="str">
        <f>IFERROR((IF(VLOOKUP(A914,'ECN-ECO_DATA'!B:J,9,FALSE)=0/1/1900,"",VLOOKUP(A914,'ECN-ECO_DATA'!B:J,9,FALSE))),"")</f>
        <v/>
      </c>
      <c r="I914" s="10" t="str">
        <f>IFERROR((IF(VLOOKUP(A914,'ECN-ECO_DATA'!B:Q,13,FALSE)="","",VLOOKUP(A914,'ECN-ECO_DATA'!B:Q,13,FALSE))),"")</f>
        <v/>
      </c>
      <c r="J914" s="10" t="str">
        <f>IFERROR((IF(VLOOKUP(A914,'ECN-ECO_DATA'!B:Q,14,FALSE)="","",VLOOKUP(A914,'ECN-ECO_DATA'!B:Q,14,FALSE))),"")</f>
        <v/>
      </c>
      <c r="K914" s="10" t="str">
        <f>IFERROR((IF(VLOOKUP(A914,'ECN-ECO_DATA'!B:Q,15,FALSE)="","",VLOOKUP(A914,'ECN-ECO_DATA'!B:Q,15,FALSE))),"")</f>
        <v/>
      </c>
      <c r="L914" s="10" t="str">
        <f>IFERROR((IF(VLOOKUP(A914,'ECN-ECO_DATA'!B:Q,16,FALSE)="","",VLOOKUP(A914,'ECN-ECO_DATA'!B:Q,16,FALSE))),"")</f>
        <v/>
      </c>
      <c r="M914" s="9" t="str">
        <f>IFERROR((IF(VLOOKUP(A914,'ECN-ECO_DATA'!B:V,18,FALSE)=0/1/1900,"",VLOOKUP(A914,'ECN-ECO_DATA'!B:V,18,FALSE))),"")</f>
        <v/>
      </c>
      <c r="N914" s="9" t="str">
        <f>IFERROR((IF(VLOOKUP(A914,'ECN-ECO_DATA'!B:V,19,FALSE)=0/1/1900,"",VLOOKUP(A914,'ECN-ECO_DATA'!B:V,19,FALSE))),"")</f>
        <v/>
      </c>
      <c r="O914" s="9" t="str">
        <f>IFERROR((IF(VLOOKUP(A914,'ECN-ECO_DATA'!B:V,20,FALSE)=0/1/1900,"",VLOOKUP(A914,'ECN-ECO_DATA'!B:V,20,FALSE))),"")</f>
        <v/>
      </c>
      <c r="P914" s="9" t="str">
        <f>IFERROR((IF(VLOOKUP(A914,'ECN-ECO_DATA'!B:V,21,FALSE)=0/1/1900,"",VLOOKUP(A914,'ECN-ECO_DATA'!B:V,21,FALSE))),"")</f>
        <v/>
      </c>
      <c r="Q914" s="10" t="str">
        <f t="shared" ca="1" si="70"/>
        <v/>
      </c>
      <c r="R914" s="4" t="str">
        <f t="shared" si="71"/>
        <v/>
      </c>
      <c r="S914" s="4" t="str">
        <f t="shared" si="72"/>
        <v/>
      </c>
      <c r="T914" s="4" t="str">
        <f t="shared" si="73"/>
        <v/>
      </c>
      <c r="U914" s="10" t="str">
        <f t="shared" si="74"/>
        <v/>
      </c>
      <c r="V914" s="4"/>
    </row>
    <row r="915" spans="2:22" x14ac:dyDescent="0.25">
      <c r="B915" s="4" t="str">
        <f>IFERROR(VLOOKUP(A915,'ECN-ECO_DATA'!B:G,4,FALSE),"")</f>
        <v/>
      </c>
      <c r="C915" s="9" t="str">
        <f>IFERROR(VLOOKUP(A915,'ECN-ECO_DATA'!B:G,5,FALSE),"")</f>
        <v/>
      </c>
      <c r="D915" s="9" t="str">
        <f ca="1">IFERROR((IF(VLOOKUP(A915,'ECN-ECO_DATA'!B:G,6,FALSE)=0/1/1900,TODAY(),VLOOKUP(A915,'ECN-ECO_DATA'!B:G,6,FALSE))),"")</f>
        <v/>
      </c>
      <c r="E915" s="9" t="str">
        <f>IFERROR((IF(VLOOKUP(A915,'ECN-ECO_DATA'!B:G,6,FALSE)=0/1/1900,"",VLOOKUP(A915,'ECN-ECO_DATA'!B:G,6,FALSE))),"")</f>
        <v/>
      </c>
      <c r="F915" s="9" t="str">
        <f>IFERROR((IF(VLOOKUP(A915,'ECN-ECO_DATA'!B:J,7,FALSE)=0/1/1900,"",VLOOKUP(A915,'ECN-ECO_DATA'!B:J,7,FALSE))),"")</f>
        <v/>
      </c>
      <c r="G915" s="9" t="str">
        <f>IFERROR((IF(VLOOKUP(A915,'ECN-ECO_DATA'!B:J,8,FALSE)=0/1/1900,"",VLOOKUP(A915,'ECN-ECO_DATA'!B:J,8,FALSE))),"")</f>
        <v/>
      </c>
      <c r="H915" s="9" t="str">
        <f>IFERROR((IF(VLOOKUP(A915,'ECN-ECO_DATA'!B:J,9,FALSE)=0/1/1900,"",VLOOKUP(A915,'ECN-ECO_DATA'!B:J,9,FALSE))),"")</f>
        <v/>
      </c>
      <c r="I915" s="10" t="str">
        <f>IFERROR((IF(VLOOKUP(A915,'ECN-ECO_DATA'!B:Q,13,FALSE)="","",VLOOKUP(A915,'ECN-ECO_DATA'!B:Q,13,FALSE))),"")</f>
        <v/>
      </c>
      <c r="J915" s="10" t="str">
        <f>IFERROR((IF(VLOOKUP(A915,'ECN-ECO_DATA'!B:Q,14,FALSE)="","",VLOOKUP(A915,'ECN-ECO_DATA'!B:Q,14,FALSE))),"")</f>
        <v/>
      </c>
      <c r="K915" s="10" t="str">
        <f>IFERROR((IF(VLOOKUP(A915,'ECN-ECO_DATA'!B:Q,15,FALSE)="","",VLOOKUP(A915,'ECN-ECO_DATA'!B:Q,15,FALSE))),"")</f>
        <v/>
      </c>
      <c r="L915" s="10" t="str">
        <f>IFERROR((IF(VLOOKUP(A915,'ECN-ECO_DATA'!B:Q,16,FALSE)="","",VLOOKUP(A915,'ECN-ECO_DATA'!B:Q,16,FALSE))),"")</f>
        <v/>
      </c>
      <c r="M915" s="9" t="str">
        <f>IFERROR((IF(VLOOKUP(A915,'ECN-ECO_DATA'!B:V,18,FALSE)=0/1/1900,"",VLOOKUP(A915,'ECN-ECO_DATA'!B:V,18,FALSE))),"")</f>
        <v/>
      </c>
      <c r="N915" s="9" t="str">
        <f>IFERROR((IF(VLOOKUP(A915,'ECN-ECO_DATA'!B:V,19,FALSE)=0/1/1900,"",VLOOKUP(A915,'ECN-ECO_DATA'!B:V,19,FALSE))),"")</f>
        <v/>
      </c>
      <c r="O915" s="9" t="str">
        <f>IFERROR((IF(VLOOKUP(A915,'ECN-ECO_DATA'!B:V,20,FALSE)=0/1/1900,"",VLOOKUP(A915,'ECN-ECO_DATA'!B:V,20,FALSE))),"")</f>
        <v/>
      </c>
      <c r="P915" s="9" t="str">
        <f>IFERROR((IF(VLOOKUP(A915,'ECN-ECO_DATA'!B:V,21,FALSE)=0/1/1900,"",VLOOKUP(A915,'ECN-ECO_DATA'!B:V,21,FALSE))),"")</f>
        <v/>
      </c>
      <c r="Q915" s="10" t="str">
        <f t="shared" ca="1" si="70"/>
        <v/>
      </c>
      <c r="R915" s="4" t="str">
        <f t="shared" si="71"/>
        <v/>
      </c>
      <c r="S915" s="4" t="str">
        <f t="shared" si="72"/>
        <v/>
      </c>
      <c r="T915" s="4" t="str">
        <f t="shared" si="73"/>
        <v/>
      </c>
      <c r="U915" s="10" t="str">
        <f t="shared" si="74"/>
        <v/>
      </c>
      <c r="V915" s="4"/>
    </row>
    <row r="916" spans="2:22" x14ac:dyDescent="0.25">
      <c r="B916" s="4" t="str">
        <f>IFERROR(VLOOKUP(A916,'ECN-ECO_DATA'!B:G,4,FALSE),"")</f>
        <v/>
      </c>
      <c r="C916" s="9" t="str">
        <f>IFERROR(VLOOKUP(A916,'ECN-ECO_DATA'!B:G,5,FALSE),"")</f>
        <v/>
      </c>
      <c r="D916" s="9" t="str">
        <f ca="1">IFERROR((IF(VLOOKUP(A916,'ECN-ECO_DATA'!B:G,6,FALSE)=0/1/1900,TODAY(),VLOOKUP(A916,'ECN-ECO_DATA'!B:G,6,FALSE))),"")</f>
        <v/>
      </c>
      <c r="E916" s="9" t="str">
        <f>IFERROR((IF(VLOOKUP(A916,'ECN-ECO_DATA'!B:G,6,FALSE)=0/1/1900,"",VLOOKUP(A916,'ECN-ECO_DATA'!B:G,6,FALSE))),"")</f>
        <v/>
      </c>
      <c r="F916" s="9" t="str">
        <f>IFERROR((IF(VLOOKUP(A916,'ECN-ECO_DATA'!B:J,7,FALSE)=0/1/1900,"",VLOOKUP(A916,'ECN-ECO_DATA'!B:J,7,FALSE))),"")</f>
        <v/>
      </c>
      <c r="G916" s="9" t="str">
        <f>IFERROR((IF(VLOOKUP(A916,'ECN-ECO_DATA'!B:J,8,FALSE)=0/1/1900,"",VLOOKUP(A916,'ECN-ECO_DATA'!B:J,8,FALSE))),"")</f>
        <v/>
      </c>
      <c r="H916" s="9" t="str">
        <f>IFERROR((IF(VLOOKUP(A916,'ECN-ECO_DATA'!B:J,9,FALSE)=0/1/1900,"",VLOOKUP(A916,'ECN-ECO_DATA'!B:J,9,FALSE))),"")</f>
        <v/>
      </c>
      <c r="I916" s="10" t="str">
        <f>IFERROR((IF(VLOOKUP(A916,'ECN-ECO_DATA'!B:Q,13,FALSE)="","",VLOOKUP(A916,'ECN-ECO_DATA'!B:Q,13,FALSE))),"")</f>
        <v/>
      </c>
      <c r="J916" s="10" t="str">
        <f>IFERROR((IF(VLOOKUP(A916,'ECN-ECO_DATA'!B:Q,14,FALSE)="","",VLOOKUP(A916,'ECN-ECO_DATA'!B:Q,14,FALSE))),"")</f>
        <v/>
      </c>
      <c r="K916" s="10" t="str">
        <f>IFERROR((IF(VLOOKUP(A916,'ECN-ECO_DATA'!B:Q,15,FALSE)="","",VLOOKUP(A916,'ECN-ECO_DATA'!B:Q,15,FALSE))),"")</f>
        <v/>
      </c>
      <c r="L916" s="10" t="str">
        <f>IFERROR((IF(VLOOKUP(A916,'ECN-ECO_DATA'!B:Q,16,FALSE)="","",VLOOKUP(A916,'ECN-ECO_DATA'!B:Q,16,FALSE))),"")</f>
        <v/>
      </c>
      <c r="M916" s="9" t="str">
        <f>IFERROR((IF(VLOOKUP(A916,'ECN-ECO_DATA'!B:V,18,FALSE)=0/1/1900,"",VLOOKUP(A916,'ECN-ECO_DATA'!B:V,18,FALSE))),"")</f>
        <v/>
      </c>
      <c r="N916" s="9" t="str">
        <f>IFERROR((IF(VLOOKUP(A916,'ECN-ECO_DATA'!B:V,19,FALSE)=0/1/1900,"",VLOOKUP(A916,'ECN-ECO_DATA'!B:V,19,FALSE))),"")</f>
        <v/>
      </c>
      <c r="O916" s="9" t="str">
        <f>IFERROR((IF(VLOOKUP(A916,'ECN-ECO_DATA'!B:V,20,FALSE)=0/1/1900,"",VLOOKUP(A916,'ECN-ECO_DATA'!B:V,20,FALSE))),"")</f>
        <v/>
      </c>
      <c r="P916" s="9" t="str">
        <f>IFERROR((IF(VLOOKUP(A916,'ECN-ECO_DATA'!B:V,21,FALSE)=0/1/1900,"",VLOOKUP(A916,'ECN-ECO_DATA'!B:V,21,FALSE))),"")</f>
        <v/>
      </c>
      <c r="Q916" s="10" t="str">
        <f t="shared" ca="1" si="70"/>
        <v/>
      </c>
      <c r="R916" s="4" t="str">
        <f t="shared" si="71"/>
        <v/>
      </c>
      <c r="S916" s="4" t="str">
        <f t="shared" si="72"/>
        <v/>
      </c>
      <c r="T916" s="4" t="str">
        <f t="shared" si="73"/>
        <v/>
      </c>
      <c r="U916" s="10" t="str">
        <f t="shared" si="74"/>
        <v/>
      </c>
      <c r="V916" s="4"/>
    </row>
    <row r="917" spans="2:22" x14ac:dyDescent="0.25">
      <c r="B917" s="4" t="str">
        <f>IFERROR(VLOOKUP(A917,'ECN-ECO_DATA'!B:G,4,FALSE),"")</f>
        <v/>
      </c>
      <c r="C917" s="9" t="str">
        <f>IFERROR(VLOOKUP(A917,'ECN-ECO_DATA'!B:G,5,FALSE),"")</f>
        <v/>
      </c>
      <c r="D917" s="9" t="str">
        <f ca="1">IFERROR((IF(VLOOKUP(A917,'ECN-ECO_DATA'!B:G,6,FALSE)=0/1/1900,TODAY(),VLOOKUP(A917,'ECN-ECO_DATA'!B:G,6,FALSE))),"")</f>
        <v/>
      </c>
      <c r="E917" s="9" t="str">
        <f>IFERROR((IF(VLOOKUP(A917,'ECN-ECO_DATA'!B:G,6,FALSE)=0/1/1900,"",VLOOKUP(A917,'ECN-ECO_DATA'!B:G,6,FALSE))),"")</f>
        <v/>
      </c>
      <c r="F917" s="9" t="str">
        <f>IFERROR((IF(VLOOKUP(A917,'ECN-ECO_DATA'!B:J,7,FALSE)=0/1/1900,"",VLOOKUP(A917,'ECN-ECO_DATA'!B:J,7,FALSE))),"")</f>
        <v/>
      </c>
      <c r="G917" s="9" t="str">
        <f>IFERROR((IF(VLOOKUP(A917,'ECN-ECO_DATA'!B:J,8,FALSE)=0/1/1900,"",VLOOKUP(A917,'ECN-ECO_DATA'!B:J,8,FALSE))),"")</f>
        <v/>
      </c>
      <c r="H917" s="9" t="str">
        <f>IFERROR((IF(VLOOKUP(A917,'ECN-ECO_DATA'!B:J,9,FALSE)=0/1/1900,"",VLOOKUP(A917,'ECN-ECO_DATA'!B:J,9,FALSE))),"")</f>
        <v/>
      </c>
      <c r="I917" s="10" t="str">
        <f>IFERROR((IF(VLOOKUP(A917,'ECN-ECO_DATA'!B:Q,13,FALSE)="","",VLOOKUP(A917,'ECN-ECO_DATA'!B:Q,13,FALSE))),"")</f>
        <v/>
      </c>
      <c r="J917" s="10" t="str">
        <f>IFERROR((IF(VLOOKUP(A917,'ECN-ECO_DATA'!B:Q,14,FALSE)="","",VLOOKUP(A917,'ECN-ECO_DATA'!B:Q,14,FALSE))),"")</f>
        <v/>
      </c>
      <c r="K917" s="10" t="str">
        <f>IFERROR((IF(VLOOKUP(A917,'ECN-ECO_DATA'!B:Q,15,FALSE)="","",VLOOKUP(A917,'ECN-ECO_DATA'!B:Q,15,FALSE))),"")</f>
        <v/>
      </c>
      <c r="L917" s="10" t="str">
        <f>IFERROR((IF(VLOOKUP(A917,'ECN-ECO_DATA'!B:Q,16,FALSE)="","",VLOOKUP(A917,'ECN-ECO_DATA'!B:Q,16,FALSE))),"")</f>
        <v/>
      </c>
      <c r="M917" s="9" t="str">
        <f>IFERROR((IF(VLOOKUP(A917,'ECN-ECO_DATA'!B:V,18,FALSE)=0/1/1900,"",VLOOKUP(A917,'ECN-ECO_DATA'!B:V,18,FALSE))),"")</f>
        <v/>
      </c>
      <c r="N917" s="9" t="str">
        <f>IFERROR((IF(VLOOKUP(A917,'ECN-ECO_DATA'!B:V,19,FALSE)=0/1/1900,"",VLOOKUP(A917,'ECN-ECO_DATA'!B:V,19,FALSE))),"")</f>
        <v/>
      </c>
      <c r="O917" s="9" t="str">
        <f>IFERROR((IF(VLOOKUP(A917,'ECN-ECO_DATA'!B:V,20,FALSE)=0/1/1900,"",VLOOKUP(A917,'ECN-ECO_DATA'!B:V,20,FALSE))),"")</f>
        <v/>
      </c>
      <c r="P917" s="9" t="str">
        <f>IFERROR((IF(VLOOKUP(A917,'ECN-ECO_DATA'!B:V,21,FALSE)=0/1/1900,"",VLOOKUP(A917,'ECN-ECO_DATA'!B:V,21,FALSE))),"")</f>
        <v/>
      </c>
      <c r="Q917" s="10" t="str">
        <f t="shared" ca="1" si="70"/>
        <v/>
      </c>
      <c r="R917" s="4" t="str">
        <f t="shared" si="71"/>
        <v/>
      </c>
      <c r="S917" s="4" t="str">
        <f t="shared" si="72"/>
        <v/>
      </c>
      <c r="T917" s="4" t="str">
        <f t="shared" si="73"/>
        <v/>
      </c>
      <c r="U917" s="10" t="str">
        <f t="shared" si="74"/>
        <v/>
      </c>
      <c r="V917" s="4"/>
    </row>
    <row r="918" spans="2:22" x14ac:dyDescent="0.25">
      <c r="B918" s="4" t="str">
        <f>IFERROR(VLOOKUP(A918,'ECN-ECO_DATA'!B:G,4,FALSE),"")</f>
        <v/>
      </c>
      <c r="C918" s="9" t="str">
        <f>IFERROR(VLOOKUP(A918,'ECN-ECO_DATA'!B:G,5,FALSE),"")</f>
        <v/>
      </c>
      <c r="D918" s="9" t="str">
        <f ca="1">IFERROR((IF(VLOOKUP(A918,'ECN-ECO_DATA'!B:G,6,FALSE)=0/1/1900,TODAY(),VLOOKUP(A918,'ECN-ECO_DATA'!B:G,6,FALSE))),"")</f>
        <v/>
      </c>
      <c r="E918" s="9" t="str">
        <f>IFERROR((IF(VLOOKUP(A918,'ECN-ECO_DATA'!B:G,6,FALSE)=0/1/1900,"",VLOOKUP(A918,'ECN-ECO_DATA'!B:G,6,FALSE))),"")</f>
        <v/>
      </c>
      <c r="F918" s="9" t="str">
        <f>IFERROR((IF(VLOOKUP(A918,'ECN-ECO_DATA'!B:J,7,FALSE)=0/1/1900,"",VLOOKUP(A918,'ECN-ECO_DATA'!B:J,7,FALSE))),"")</f>
        <v/>
      </c>
      <c r="G918" s="9" t="str">
        <f>IFERROR((IF(VLOOKUP(A918,'ECN-ECO_DATA'!B:J,8,FALSE)=0/1/1900,"",VLOOKUP(A918,'ECN-ECO_DATA'!B:J,8,FALSE))),"")</f>
        <v/>
      </c>
      <c r="H918" s="9" t="str">
        <f>IFERROR((IF(VLOOKUP(A918,'ECN-ECO_DATA'!B:J,9,FALSE)=0/1/1900,"",VLOOKUP(A918,'ECN-ECO_DATA'!B:J,9,FALSE))),"")</f>
        <v/>
      </c>
      <c r="I918" s="10" t="str">
        <f>IFERROR((IF(VLOOKUP(A918,'ECN-ECO_DATA'!B:Q,13,FALSE)="","",VLOOKUP(A918,'ECN-ECO_DATA'!B:Q,13,FALSE))),"")</f>
        <v/>
      </c>
      <c r="J918" s="10" t="str">
        <f>IFERROR((IF(VLOOKUP(A918,'ECN-ECO_DATA'!B:Q,14,FALSE)="","",VLOOKUP(A918,'ECN-ECO_DATA'!B:Q,14,FALSE))),"")</f>
        <v/>
      </c>
      <c r="K918" s="10" t="str">
        <f>IFERROR((IF(VLOOKUP(A918,'ECN-ECO_DATA'!B:Q,15,FALSE)="","",VLOOKUP(A918,'ECN-ECO_DATA'!B:Q,15,FALSE))),"")</f>
        <v/>
      </c>
      <c r="L918" s="10" t="str">
        <f>IFERROR((IF(VLOOKUP(A918,'ECN-ECO_DATA'!B:Q,16,FALSE)="","",VLOOKUP(A918,'ECN-ECO_DATA'!B:Q,16,FALSE))),"")</f>
        <v/>
      </c>
      <c r="M918" s="9" t="str">
        <f>IFERROR((IF(VLOOKUP(A918,'ECN-ECO_DATA'!B:V,18,FALSE)=0/1/1900,"",VLOOKUP(A918,'ECN-ECO_DATA'!B:V,18,FALSE))),"")</f>
        <v/>
      </c>
      <c r="N918" s="9" t="str">
        <f>IFERROR((IF(VLOOKUP(A918,'ECN-ECO_DATA'!B:V,19,FALSE)=0/1/1900,"",VLOOKUP(A918,'ECN-ECO_DATA'!B:V,19,FALSE))),"")</f>
        <v/>
      </c>
      <c r="O918" s="9" t="str">
        <f>IFERROR((IF(VLOOKUP(A918,'ECN-ECO_DATA'!B:V,20,FALSE)=0/1/1900,"",VLOOKUP(A918,'ECN-ECO_DATA'!B:V,20,FALSE))),"")</f>
        <v/>
      </c>
      <c r="P918" s="9" t="str">
        <f>IFERROR((IF(VLOOKUP(A918,'ECN-ECO_DATA'!B:V,21,FALSE)=0/1/1900,"",VLOOKUP(A918,'ECN-ECO_DATA'!B:V,21,FALSE))),"")</f>
        <v/>
      </c>
      <c r="Q918" s="10" t="str">
        <f t="shared" ca="1" si="70"/>
        <v/>
      </c>
      <c r="R918" s="4" t="str">
        <f t="shared" si="71"/>
        <v/>
      </c>
      <c r="S918" s="4" t="str">
        <f t="shared" si="72"/>
        <v/>
      </c>
      <c r="T918" s="4" t="str">
        <f t="shared" si="73"/>
        <v/>
      </c>
      <c r="U918" s="10" t="str">
        <f t="shared" si="74"/>
        <v/>
      </c>
      <c r="V918" s="4"/>
    </row>
    <row r="919" spans="2:22" x14ac:dyDescent="0.25">
      <c r="B919" s="4" t="str">
        <f>IFERROR(VLOOKUP(A919,'ECN-ECO_DATA'!B:G,4,FALSE),"")</f>
        <v/>
      </c>
      <c r="C919" s="9" t="str">
        <f>IFERROR(VLOOKUP(A919,'ECN-ECO_DATA'!B:G,5,FALSE),"")</f>
        <v/>
      </c>
      <c r="D919" s="9" t="str">
        <f ca="1">IFERROR((IF(VLOOKUP(A919,'ECN-ECO_DATA'!B:G,6,FALSE)=0/1/1900,TODAY(),VLOOKUP(A919,'ECN-ECO_DATA'!B:G,6,FALSE))),"")</f>
        <v/>
      </c>
      <c r="E919" s="9" t="str">
        <f>IFERROR((IF(VLOOKUP(A919,'ECN-ECO_DATA'!B:G,6,FALSE)=0/1/1900,"",VLOOKUP(A919,'ECN-ECO_DATA'!B:G,6,FALSE))),"")</f>
        <v/>
      </c>
      <c r="F919" s="9" t="str">
        <f>IFERROR((IF(VLOOKUP(A919,'ECN-ECO_DATA'!B:J,7,FALSE)=0/1/1900,"",VLOOKUP(A919,'ECN-ECO_DATA'!B:J,7,FALSE))),"")</f>
        <v/>
      </c>
      <c r="G919" s="9" t="str">
        <f>IFERROR((IF(VLOOKUP(A919,'ECN-ECO_DATA'!B:J,8,FALSE)=0/1/1900,"",VLOOKUP(A919,'ECN-ECO_DATA'!B:J,8,FALSE))),"")</f>
        <v/>
      </c>
      <c r="H919" s="9" t="str">
        <f>IFERROR((IF(VLOOKUP(A919,'ECN-ECO_DATA'!B:J,9,FALSE)=0/1/1900,"",VLOOKUP(A919,'ECN-ECO_DATA'!B:J,9,FALSE))),"")</f>
        <v/>
      </c>
      <c r="I919" s="10" t="str">
        <f>IFERROR((IF(VLOOKUP(A919,'ECN-ECO_DATA'!B:Q,13,FALSE)="","",VLOOKUP(A919,'ECN-ECO_DATA'!B:Q,13,FALSE))),"")</f>
        <v/>
      </c>
      <c r="J919" s="10" t="str">
        <f>IFERROR((IF(VLOOKUP(A919,'ECN-ECO_DATA'!B:Q,14,FALSE)="","",VLOOKUP(A919,'ECN-ECO_DATA'!B:Q,14,FALSE))),"")</f>
        <v/>
      </c>
      <c r="K919" s="10" t="str">
        <f>IFERROR((IF(VLOOKUP(A919,'ECN-ECO_DATA'!B:Q,15,FALSE)="","",VLOOKUP(A919,'ECN-ECO_DATA'!B:Q,15,FALSE))),"")</f>
        <v/>
      </c>
      <c r="L919" s="10" t="str">
        <f>IFERROR((IF(VLOOKUP(A919,'ECN-ECO_DATA'!B:Q,16,FALSE)="","",VLOOKUP(A919,'ECN-ECO_DATA'!B:Q,16,FALSE))),"")</f>
        <v/>
      </c>
      <c r="M919" s="9" t="str">
        <f>IFERROR((IF(VLOOKUP(A919,'ECN-ECO_DATA'!B:V,18,FALSE)=0/1/1900,"",VLOOKUP(A919,'ECN-ECO_DATA'!B:V,18,FALSE))),"")</f>
        <v/>
      </c>
      <c r="N919" s="9" t="str">
        <f>IFERROR((IF(VLOOKUP(A919,'ECN-ECO_DATA'!B:V,19,FALSE)=0/1/1900,"",VLOOKUP(A919,'ECN-ECO_DATA'!B:V,19,FALSE))),"")</f>
        <v/>
      </c>
      <c r="O919" s="9" t="str">
        <f>IFERROR((IF(VLOOKUP(A919,'ECN-ECO_DATA'!B:V,20,FALSE)=0/1/1900,"",VLOOKUP(A919,'ECN-ECO_DATA'!B:V,20,FALSE))),"")</f>
        <v/>
      </c>
      <c r="P919" s="9" t="str">
        <f>IFERROR((IF(VLOOKUP(A919,'ECN-ECO_DATA'!B:V,21,FALSE)=0/1/1900,"",VLOOKUP(A919,'ECN-ECO_DATA'!B:V,21,FALSE))),"")</f>
        <v/>
      </c>
      <c r="Q919" s="10" t="str">
        <f t="shared" ca="1" si="70"/>
        <v/>
      </c>
      <c r="R919" s="4" t="str">
        <f t="shared" si="71"/>
        <v/>
      </c>
      <c r="S919" s="4" t="str">
        <f t="shared" si="72"/>
        <v/>
      </c>
      <c r="T919" s="4" t="str">
        <f t="shared" si="73"/>
        <v/>
      </c>
      <c r="U919" s="10" t="str">
        <f t="shared" si="74"/>
        <v/>
      </c>
      <c r="V919" s="4"/>
    </row>
    <row r="920" spans="2:22" x14ac:dyDescent="0.25">
      <c r="B920" s="4" t="str">
        <f>IFERROR(VLOOKUP(A920,'ECN-ECO_DATA'!B:G,4,FALSE),"")</f>
        <v/>
      </c>
      <c r="C920" s="9" t="str">
        <f>IFERROR(VLOOKUP(A920,'ECN-ECO_DATA'!B:G,5,FALSE),"")</f>
        <v/>
      </c>
      <c r="D920" s="9" t="str">
        <f ca="1">IFERROR((IF(VLOOKUP(A920,'ECN-ECO_DATA'!B:G,6,FALSE)=0/1/1900,TODAY(),VLOOKUP(A920,'ECN-ECO_DATA'!B:G,6,FALSE))),"")</f>
        <v/>
      </c>
      <c r="E920" s="9" t="str">
        <f>IFERROR((IF(VLOOKUP(A920,'ECN-ECO_DATA'!B:G,6,FALSE)=0/1/1900,"",VLOOKUP(A920,'ECN-ECO_DATA'!B:G,6,FALSE))),"")</f>
        <v/>
      </c>
      <c r="F920" s="9" t="str">
        <f>IFERROR((IF(VLOOKUP(A920,'ECN-ECO_DATA'!B:J,7,FALSE)=0/1/1900,"",VLOOKUP(A920,'ECN-ECO_DATA'!B:J,7,FALSE))),"")</f>
        <v/>
      </c>
      <c r="G920" s="9" t="str">
        <f>IFERROR((IF(VLOOKUP(A920,'ECN-ECO_DATA'!B:J,8,FALSE)=0/1/1900,"",VLOOKUP(A920,'ECN-ECO_DATA'!B:J,8,FALSE))),"")</f>
        <v/>
      </c>
      <c r="H920" s="9" t="str">
        <f>IFERROR((IF(VLOOKUP(A920,'ECN-ECO_DATA'!B:J,9,FALSE)=0/1/1900,"",VLOOKUP(A920,'ECN-ECO_DATA'!B:J,9,FALSE))),"")</f>
        <v/>
      </c>
      <c r="I920" s="10" t="str">
        <f>IFERROR((IF(VLOOKUP(A920,'ECN-ECO_DATA'!B:Q,13,FALSE)="","",VLOOKUP(A920,'ECN-ECO_DATA'!B:Q,13,FALSE))),"")</f>
        <v/>
      </c>
      <c r="J920" s="10" t="str">
        <f>IFERROR((IF(VLOOKUP(A920,'ECN-ECO_DATA'!B:Q,14,FALSE)="","",VLOOKUP(A920,'ECN-ECO_DATA'!B:Q,14,FALSE))),"")</f>
        <v/>
      </c>
      <c r="K920" s="10" t="str">
        <f>IFERROR((IF(VLOOKUP(A920,'ECN-ECO_DATA'!B:Q,15,FALSE)="","",VLOOKUP(A920,'ECN-ECO_DATA'!B:Q,15,FALSE))),"")</f>
        <v/>
      </c>
      <c r="L920" s="10" t="str">
        <f>IFERROR((IF(VLOOKUP(A920,'ECN-ECO_DATA'!B:Q,16,FALSE)="","",VLOOKUP(A920,'ECN-ECO_DATA'!B:Q,16,FALSE))),"")</f>
        <v/>
      </c>
      <c r="M920" s="9" t="str">
        <f>IFERROR((IF(VLOOKUP(A920,'ECN-ECO_DATA'!B:V,18,FALSE)=0/1/1900,"",VLOOKUP(A920,'ECN-ECO_DATA'!B:V,18,FALSE))),"")</f>
        <v/>
      </c>
      <c r="N920" s="9" t="str">
        <f>IFERROR((IF(VLOOKUP(A920,'ECN-ECO_DATA'!B:V,19,FALSE)=0/1/1900,"",VLOOKUP(A920,'ECN-ECO_DATA'!B:V,19,FALSE))),"")</f>
        <v/>
      </c>
      <c r="O920" s="9" t="str">
        <f>IFERROR((IF(VLOOKUP(A920,'ECN-ECO_DATA'!B:V,20,FALSE)=0/1/1900,"",VLOOKUP(A920,'ECN-ECO_DATA'!B:V,20,FALSE))),"")</f>
        <v/>
      </c>
      <c r="P920" s="9" t="str">
        <f>IFERROR((IF(VLOOKUP(A920,'ECN-ECO_DATA'!B:V,21,FALSE)=0/1/1900,"",VLOOKUP(A920,'ECN-ECO_DATA'!B:V,21,FALSE))),"")</f>
        <v/>
      </c>
      <c r="Q920" s="10" t="str">
        <f t="shared" ca="1" si="70"/>
        <v/>
      </c>
      <c r="R920" s="4" t="str">
        <f t="shared" si="71"/>
        <v/>
      </c>
      <c r="S920" s="4" t="str">
        <f t="shared" si="72"/>
        <v/>
      </c>
      <c r="T920" s="4" t="str">
        <f t="shared" si="73"/>
        <v/>
      </c>
      <c r="U920" s="10" t="str">
        <f t="shared" si="74"/>
        <v/>
      </c>
      <c r="V920" s="4"/>
    </row>
    <row r="921" spans="2:22" x14ac:dyDescent="0.25">
      <c r="B921" s="4" t="str">
        <f>IFERROR(VLOOKUP(A921,'ECN-ECO_DATA'!B:G,4,FALSE),"")</f>
        <v/>
      </c>
      <c r="C921" s="9" t="str">
        <f>IFERROR(VLOOKUP(A921,'ECN-ECO_DATA'!B:G,5,FALSE),"")</f>
        <v/>
      </c>
      <c r="D921" s="9" t="str">
        <f ca="1">IFERROR((IF(VLOOKUP(A921,'ECN-ECO_DATA'!B:G,6,FALSE)=0/1/1900,TODAY(),VLOOKUP(A921,'ECN-ECO_DATA'!B:G,6,FALSE))),"")</f>
        <v/>
      </c>
      <c r="E921" s="9" t="str">
        <f>IFERROR((IF(VLOOKUP(A921,'ECN-ECO_DATA'!B:G,6,FALSE)=0/1/1900,"",VLOOKUP(A921,'ECN-ECO_DATA'!B:G,6,FALSE))),"")</f>
        <v/>
      </c>
      <c r="F921" s="9" t="str">
        <f>IFERROR((IF(VLOOKUP(A921,'ECN-ECO_DATA'!B:J,7,FALSE)=0/1/1900,"",VLOOKUP(A921,'ECN-ECO_DATA'!B:J,7,FALSE))),"")</f>
        <v/>
      </c>
      <c r="G921" s="9" t="str">
        <f>IFERROR((IF(VLOOKUP(A921,'ECN-ECO_DATA'!B:J,8,FALSE)=0/1/1900,"",VLOOKUP(A921,'ECN-ECO_DATA'!B:J,8,FALSE))),"")</f>
        <v/>
      </c>
      <c r="H921" s="9" t="str">
        <f>IFERROR((IF(VLOOKUP(A921,'ECN-ECO_DATA'!B:J,9,FALSE)=0/1/1900,"",VLOOKUP(A921,'ECN-ECO_DATA'!B:J,9,FALSE))),"")</f>
        <v/>
      </c>
      <c r="I921" s="10" t="str">
        <f>IFERROR((IF(VLOOKUP(A921,'ECN-ECO_DATA'!B:Q,13,FALSE)="","",VLOOKUP(A921,'ECN-ECO_DATA'!B:Q,13,FALSE))),"")</f>
        <v/>
      </c>
      <c r="J921" s="10" t="str">
        <f>IFERROR((IF(VLOOKUP(A921,'ECN-ECO_DATA'!B:Q,14,FALSE)="","",VLOOKUP(A921,'ECN-ECO_DATA'!B:Q,14,FALSE))),"")</f>
        <v/>
      </c>
      <c r="K921" s="10" t="str">
        <f>IFERROR((IF(VLOOKUP(A921,'ECN-ECO_DATA'!B:Q,15,FALSE)="","",VLOOKUP(A921,'ECN-ECO_DATA'!B:Q,15,FALSE))),"")</f>
        <v/>
      </c>
      <c r="L921" s="10" t="str">
        <f>IFERROR((IF(VLOOKUP(A921,'ECN-ECO_DATA'!B:Q,16,FALSE)="","",VLOOKUP(A921,'ECN-ECO_DATA'!B:Q,16,FALSE))),"")</f>
        <v/>
      </c>
      <c r="M921" s="9" t="str">
        <f>IFERROR((IF(VLOOKUP(A921,'ECN-ECO_DATA'!B:V,18,FALSE)=0/1/1900,"",VLOOKUP(A921,'ECN-ECO_DATA'!B:V,18,FALSE))),"")</f>
        <v/>
      </c>
      <c r="N921" s="9" t="str">
        <f>IFERROR((IF(VLOOKUP(A921,'ECN-ECO_DATA'!B:V,19,FALSE)=0/1/1900,"",VLOOKUP(A921,'ECN-ECO_DATA'!B:V,19,FALSE))),"")</f>
        <v/>
      </c>
      <c r="O921" s="9" t="str">
        <f>IFERROR((IF(VLOOKUP(A921,'ECN-ECO_DATA'!B:V,20,FALSE)=0/1/1900,"",VLOOKUP(A921,'ECN-ECO_DATA'!B:V,20,FALSE))),"")</f>
        <v/>
      </c>
      <c r="P921" s="9" t="str">
        <f>IFERROR((IF(VLOOKUP(A921,'ECN-ECO_DATA'!B:V,21,FALSE)=0/1/1900,"",VLOOKUP(A921,'ECN-ECO_DATA'!B:V,21,FALSE))),"")</f>
        <v/>
      </c>
      <c r="Q921" s="10" t="str">
        <f t="shared" ca="1" si="70"/>
        <v/>
      </c>
      <c r="R921" s="4" t="str">
        <f t="shared" si="71"/>
        <v/>
      </c>
      <c r="S921" s="4" t="str">
        <f t="shared" si="72"/>
        <v/>
      </c>
      <c r="T921" s="4" t="str">
        <f t="shared" si="73"/>
        <v/>
      </c>
      <c r="U921" s="10" t="str">
        <f t="shared" si="74"/>
        <v/>
      </c>
      <c r="V921" s="4"/>
    </row>
    <row r="922" spans="2:22" x14ac:dyDescent="0.25">
      <c r="B922" s="4" t="str">
        <f>IFERROR(VLOOKUP(A922,'ECN-ECO_DATA'!B:G,4,FALSE),"")</f>
        <v/>
      </c>
      <c r="C922" s="9" t="str">
        <f>IFERROR(VLOOKUP(A922,'ECN-ECO_DATA'!B:G,5,FALSE),"")</f>
        <v/>
      </c>
      <c r="D922" s="9" t="str">
        <f ca="1">IFERROR((IF(VLOOKUP(A922,'ECN-ECO_DATA'!B:G,6,FALSE)=0/1/1900,TODAY(),VLOOKUP(A922,'ECN-ECO_DATA'!B:G,6,FALSE))),"")</f>
        <v/>
      </c>
      <c r="E922" s="9" t="str">
        <f>IFERROR((IF(VLOOKUP(A922,'ECN-ECO_DATA'!B:G,6,FALSE)=0/1/1900,"",VLOOKUP(A922,'ECN-ECO_DATA'!B:G,6,FALSE))),"")</f>
        <v/>
      </c>
      <c r="F922" s="9" t="str">
        <f>IFERROR((IF(VLOOKUP(A922,'ECN-ECO_DATA'!B:J,7,FALSE)=0/1/1900,"",VLOOKUP(A922,'ECN-ECO_DATA'!B:J,7,FALSE))),"")</f>
        <v/>
      </c>
      <c r="G922" s="9" t="str">
        <f>IFERROR((IF(VLOOKUP(A922,'ECN-ECO_DATA'!B:J,8,FALSE)=0/1/1900,"",VLOOKUP(A922,'ECN-ECO_DATA'!B:J,8,FALSE))),"")</f>
        <v/>
      </c>
      <c r="H922" s="9" t="str">
        <f>IFERROR((IF(VLOOKUP(A922,'ECN-ECO_DATA'!B:J,9,FALSE)=0/1/1900,"",VLOOKUP(A922,'ECN-ECO_DATA'!B:J,9,FALSE))),"")</f>
        <v/>
      </c>
      <c r="I922" s="10" t="str">
        <f>IFERROR((IF(VLOOKUP(A922,'ECN-ECO_DATA'!B:Q,13,FALSE)="","",VLOOKUP(A922,'ECN-ECO_DATA'!B:Q,13,FALSE))),"")</f>
        <v/>
      </c>
      <c r="J922" s="10" t="str">
        <f>IFERROR((IF(VLOOKUP(A922,'ECN-ECO_DATA'!B:Q,14,FALSE)="","",VLOOKUP(A922,'ECN-ECO_DATA'!B:Q,14,FALSE))),"")</f>
        <v/>
      </c>
      <c r="K922" s="10" t="str">
        <f>IFERROR((IF(VLOOKUP(A922,'ECN-ECO_DATA'!B:Q,15,FALSE)="","",VLOOKUP(A922,'ECN-ECO_DATA'!B:Q,15,FALSE))),"")</f>
        <v/>
      </c>
      <c r="L922" s="10" t="str">
        <f>IFERROR((IF(VLOOKUP(A922,'ECN-ECO_DATA'!B:Q,16,FALSE)="","",VLOOKUP(A922,'ECN-ECO_DATA'!B:Q,16,FALSE))),"")</f>
        <v/>
      </c>
      <c r="M922" s="9" t="str">
        <f>IFERROR((IF(VLOOKUP(A922,'ECN-ECO_DATA'!B:V,18,FALSE)=0/1/1900,"",VLOOKUP(A922,'ECN-ECO_DATA'!B:V,18,FALSE))),"")</f>
        <v/>
      </c>
      <c r="N922" s="9" t="str">
        <f>IFERROR((IF(VLOOKUP(A922,'ECN-ECO_DATA'!B:V,19,FALSE)=0/1/1900,"",VLOOKUP(A922,'ECN-ECO_DATA'!B:V,19,FALSE))),"")</f>
        <v/>
      </c>
      <c r="O922" s="9" t="str">
        <f>IFERROR((IF(VLOOKUP(A922,'ECN-ECO_DATA'!B:V,20,FALSE)=0/1/1900,"",VLOOKUP(A922,'ECN-ECO_DATA'!B:V,20,FALSE))),"")</f>
        <v/>
      </c>
      <c r="P922" s="9" t="str">
        <f>IFERROR((IF(VLOOKUP(A922,'ECN-ECO_DATA'!B:V,21,FALSE)=0/1/1900,"",VLOOKUP(A922,'ECN-ECO_DATA'!B:V,21,FALSE))),"")</f>
        <v/>
      </c>
      <c r="Q922" s="10" t="str">
        <f t="shared" ca="1" si="70"/>
        <v/>
      </c>
      <c r="R922" s="4" t="str">
        <f t="shared" si="71"/>
        <v/>
      </c>
      <c r="S922" s="4" t="str">
        <f t="shared" si="72"/>
        <v/>
      </c>
      <c r="T922" s="4" t="str">
        <f t="shared" si="73"/>
        <v/>
      </c>
      <c r="U922" s="10" t="str">
        <f t="shared" si="74"/>
        <v/>
      </c>
      <c r="V922" s="4"/>
    </row>
    <row r="923" spans="2:22" x14ac:dyDescent="0.25">
      <c r="B923" s="4" t="str">
        <f>IFERROR(VLOOKUP(A923,'ECN-ECO_DATA'!B:G,4,FALSE),"")</f>
        <v/>
      </c>
      <c r="C923" s="9" t="str">
        <f>IFERROR(VLOOKUP(A923,'ECN-ECO_DATA'!B:G,5,FALSE),"")</f>
        <v/>
      </c>
      <c r="D923" s="9" t="str">
        <f ca="1">IFERROR((IF(VLOOKUP(A923,'ECN-ECO_DATA'!B:G,6,FALSE)=0/1/1900,TODAY(),VLOOKUP(A923,'ECN-ECO_DATA'!B:G,6,FALSE))),"")</f>
        <v/>
      </c>
      <c r="E923" s="9" t="str">
        <f>IFERROR((IF(VLOOKUP(A923,'ECN-ECO_DATA'!B:G,6,FALSE)=0/1/1900,"",VLOOKUP(A923,'ECN-ECO_DATA'!B:G,6,FALSE))),"")</f>
        <v/>
      </c>
      <c r="F923" s="9" t="str">
        <f>IFERROR((IF(VLOOKUP(A923,'ECN-ECO_DATA'!B:J,7,FALSE)=0/1/1900,"",VLOOKUP(A923,'ECN-ECO_DATA'!B:J,7,FALSE))),"")</f>
        <v/>
      </c>
      <c r="G923" s="9" t="str">
        <f>IFERROR((IF(VLOOKUP(A923,'ECN-ECO_DATA'!B:J,8,FALSE)=0/1/1900,"",VLOOKUP(A923,'ECN-ECO_DATA'!B:J,8,FALSE))),"")</f>
        <v/>
      </c>
      <c r="H923" s="9" t="str">
        <f>IFERROR((IF(VLOOKUP(A923,'ECN-ECO_DATA'!B:J,9,FALSE)=0/1/1900,"",VLOOKUP(A923,'ECN-ECO_DATA'!B:J,9,FALSE))),"")</f>
        <v/>
      </c>
      <c r="I923" s="10" t="str">
        <f>IFERROR((IF(VLOOKUP(A923,'ECN-ECO_DATA'!B:Q,13,FALSE)="","",VLOOKUP(A923,'ECN-ECO_DATA'!B:Q,13,FALSE))),"")</f>
        <v/>
      </c>
      <c r="J923" s="10" t="str">
        <f>IFERROR((IF(VLOOKUP(A923,'ECN-ECO_DATA'!B:Q,14,FALSE)="","",VLOOKUP(A923,'ECN-ECO_DATA'!B:Q,14,FALSE))),"")</f>
        <v/>
      </c>
      <c r="K923" s="10" t="str">
        <f>IFERROR((IF(VLOOKUP(A923,'ECN-ECO_DATA'!B:Q,15,FALSE)="","",VLOOKUP(A923,'ECN-ECO_DATA'!B:Q,15,FALSE))),"")</f>
        <v/>
      </c>
      <c r="L923" s="10" t="str">
        <f>IFERROR((IF(VLOOKUP(A923,'ECN-ECO_DATA'!B:Q,16,FALSE)="","",VLOOKUP(A923,'ECN-ECO_DATA'!B:Q,16,FALSE))),"")</f>
        <v/>
      </c>
      <c r="M923" s="9" t="str">
        <f>IFERROR((IF(VLOOKUP(A923,'ECN-ECO_DATA'!B:V,18,FALSE)=0/1/1900,"",VLOOKUP(A923,'ECN-ECO_DATA'!B:V,18,FALSE))),"")</f>
        <v/>
      </c>
      <c r="N923" s="9" t="str">
        <f>IFERROR((IF(VLOOKUP(A923,'ECN-ECO_DATA'!B:V,19,FALSE)=0/1/1900,"",VLOOKUP(A923,'ECN-ECO_DATA'!B:V,19,FALSE))),"")</f>
        <v/>
      </c>
      <c r="O923" s="9" t="str">
        <f>IFERROR((IF(VLOOKUP(A923,'ECN-ECO_DATA'!B:V,20,FALSE)=0/1/1900,"",VLOOKUP(A923,'ECN-ECO_DATA'!B:V,20,FALSE))),"")</f>
        <v/>
      </c>
      <c r="P923" s="9" t="str">
        <f>IFERROR((IF(VLOOKUP(A923,'ECN-ECO_DATA'!B:V,21,FALSE)=0/1/1900,"",VLOOKUP(A923,'ECN-ECO_DATA'!B:V,21,FALSE))),"")</f>
        <v/>
      </c>
      <c r="Q923" s="10" t="str">
        <f t="shared" ca="1" si="70"/>
        <v/>
      </c>
      <c r="R923" s="4" t="str">
        <f t="shared" si="71"/>
        <v/>
      </c>
      <c r="S923" s="4" t="str">
        <f t="shared" si="72"/>
        <v/>
      </c>
      <c r="T923" s="4" t="str">
        <f t="shared" si="73"/>
        <v/>
      </c>
      <c r="U923" s="10" t="str">
        <f t="shared" si="74"/>
        <v/>
      </c>
      <c r="V923" s="4"/>
    </row>
    <row r="924" spans="2:22" x14ac:dyDescent="0.25">
      <c r="B924" s="4" t="str">
        <f>IFERROR(VLOOKUP(A924,'ECN-ECO_DATA'!B:G,4,FALSE),"")</f>
        <v/>
      </c>
      <c r="C924" s="9" t="str">
        <f>IFERROR(VLOOKUP(A924,'ECN-ECO_DATA'!B:G,5,FALSE),"")</f>
        <v/>
      </c>
      <c r="D924" s="9" t="str">
        <f ca="1">IFERROR((IF(VLOOKUP(A924,'ECN-ECO_DATA'!B:G,6,FALSE)=0/1/1900,TODAY(),VLOOKUP(A924,'ECN-ECO_DATA'!B:G,6,FALSE))),"")</f>
        <v/>
      </c>
      <c r="E924" s="9" t="str">
        <f>IFERROR((IF(VLOOKUP(A924,'ECN-ECO_DATA'!B:G,6,FALSE)=0/1/1900,"",VLOOKUP(A924,'ECN-ECO_DATA'!B:G,6,FALSE))),"")</f>
        <v/>
      </c>
      <c r="F924" s="9" t="str">
        <f>IFERROR((IF(VLOOKUP(A924,'ECN-ECO_DATA'!B:J,7,FALSE)=0/1/1900,"",VLOOKUP(A924,'ECN-ECO_DATA'!B:J,7,FALSE))),"")</f>
        <v/>
      </c>
      <c r="G924" s="9" t="str">
        <f>IFERROR((IF(VLOOKUP(A924,'ECN-ECO_DATA'!B:J,8,FALSE)=0/1/1900,"",VLOOKUP(A924,'ECN-ECO_DATA'!B:J,8,FALSE))),"")</f>
        <v/>
      </c>
      <c r="H924" s="9" t="str">
        <f>IFERROR((IF(VLOOKUP(A924,'ECN-ECO_DATA'!B:J,9,FALSE)=0/1/1900,"",VLOOKUP(A924,'ECN-ECO_DATA'!B:J,9,FALSE))),"")</f>
        <v/>
      </c>
      <c r="I924" s="10" t="str">
        <f>IFERROR((IF(VLOOKUP(A924,'ECN-ECO_DATA'!B:Q,13,FALSE)="","",VLOOKUP(A924,'ECN-ECO_DATA'!B:Q,13,FALSE))),"")</f>
        <v/>
      </c>
      <c r="J924" s="10" t="str">
        <f>IFERROR((IF(VLOOKUP(A924,'ECN-ECO_DATA'!B:Q,14,FALSE)="","",VLOOKUP(A924,'ECN-ECO_DATA'!B:Q,14,FALSE))),"")</f>
        <v/>
      </c>
      <c r="K924" s="10" t="str">
        <f>IFERROR((IF(VLOOKUP(A924,'ECN-ECO_DATA'!B:Q,15,FALSE)="","",VLOOKUP(A924,'ECN-ECO_DATA'!B:Q,15,FALSE))),"")</f>
        <v/>
      </c>
      <c r="L924" s="10" t="str">
        <f>IFERROR((IF(VLOOKUP(A924,'ECN-ECO_DATA'!B:Q,16,FALSE)="","",VLOOKUP(A924,'ECN-ECO_DATA'!B:Q,16,FALSE))),"")</f>
        <v/>
      </c>
      <c r="M924" s="9" t="str">
        <f>IFERROR((IF(VLOOKUP(A924,'ECN-ECO_DATA'!B:V,18,FALSE)=0/1/1900,"",VLOOKUP(A924,'ECN-ECO_DATA'!B:V,18,FALSE))),"")</f>
        <v/>
      </c>
      <c r="N924" s="9" t="str">
        <f>IFERROR((IF(VLOOKUP(A924,'ECN-ECO_DATA'!B:V,19,FALSE)=0/1/1900,"",VLOOKUP(A924,'ECN-ECO_DATA'!B:V,19,FALSE))),"")</f>
        <v/>
      </c>
      <c r="O924" s="9" t="str">
        <f>IFERROR((IF(VLOOKUP(A924,'ECN-ECO_DATA'!B:V,20,FALSE)=0/1/1900,"",VLOOKUP(A924,'ECN-ECO_DATA'!B:V,20,FALSE))),"")</f>
        <v/>
      </c>
      <c r="P924" s="9" t="str">
        <f>IFERROR((IF(VLOOKUP(A924,'ECN-ECO_DATA'!B:V,21,FALSE)=0/1/1900,"",VLOOKUP(A924,'ECN-ECO_DATA'!B:V,21,FALSE))),"")</f>
        <v/>
      </c>
      <c r="Q924" s="10" t="str">
        <f t="shared" ca="1" si="70"/>
        <v/>
      </c>
      <c r="R924" s="4" t="str">
        <f t="shared" si="71"/>
        <v/>
      </c>
      <c r="S924" s="4" t="str">
        <f t="shared" si="72"/>
        <v/>
      </c>
      <c r="T924" s="4" t="str">
        <f t="shared" si="73"/>
        <v/>
      </c>
      <c r="U924" s="10" t="str">
        <f t="shared" si="74"/>
        <v/>
      </c>
      <c r="V924" s="4"/>
    </row>
    <row r="925" spans="2:22" x14ac:dyDescent="0.25">
      <c r="B925" s="4" t="str">
        <f>IFERROR(VLOOKUP(A925,'ECN-ECO_DATA'!B:G,4,FALSE),"")</f>
        <v/>
      </c>
      <c r="C925" s="9" t="str">
        <f>IFERROR(VLOOKUP(A925,'ECN-ECO_DATA'!B:G,5,FALSE),"")</f>
        <v/>
      </c>
      <c r="D925" s="9" t="str">
        <f ca="1">IFERROR((IF(VLOOKUP(A925,'ECN-ECO_DATA'!B:G,6,FALSE)=0/1/1900,TODAY(),VLOOKUP(A925,'ECN-ECO_DATA'!B:G,6,FALSE))),"")</f>
        <v/>
      </c>
      <c r="E925" s="9" t="str">
        <f>IFERROR((IF(VLOOKUP(A925,'ECN-ECO_DATA'!B:G,6,FALSE)=0/1/1900,"",VLOOKUP(A925,'ECN-ECO_DATA'!B:G,6,FALSE))),"")</f>
        <v/>
      </c>
      <c r="F925" s="9" t="str">
        <f>IFERROR((IF(VLOOKUP(A925,'ECN-ECO_DATA'!B:J,7,FALSE)=0/1/1900,"",VLOOKUP(A925,'ECN-ECO_DATA'!B:J,7,FALSE))),"")</f>
        <v/>
      </c>
      <c r="G925" s="9" t="str">
        <f>IFERROR((IF(VLOOKUP(A925,'ECN-ECO_DATA'!B:J,8,FALSE)=0/1/1900,"",VLOOKUP(A925,'ECN-ECO_DATA'!B:J,8,FALSE))),"")</f>
        <v/>
      </c>
      <c r="H925" s="9" t="str">
        <f>IFERROR((IF(VLOOKUP(A925,'ECN-ECO_DATA'!B:J,9,FALSE)=0/1/1900,"",VLOOKUP(A925,'ECN-ECO_DATA'!B:J,9,FALSE))),"")</f>
        <v/>
      </c>
      <c r="I925" s="10" t="str">
        <f>IFERROR((IF(VLOOKUP(A925,'ECN-ECO_DATA'!B:Q,13,FALSE)="","",VLOOKUP(A925,'ECN-ECO_DATA'!B:Q,13,FALSE))),"")</f>
        <v/>
      </c>
      <c r="J925" s="10" t="str">
        <f>IFERROR((IF(VLOOKUP(A925,'ECN-ECO_DATA'!B:Q,14,FALSE)="","",VLOOKUP(A925,'ECN-ECO_DATA'!B:Q,14,FALSE))),"")</f>
        <v/>
      </c>
      <c r="K925" s="10" t="str">
        <f>IFERROR((IF(VLOOKUP(A925,'ECN-ECO_DATA'!B:Q,15,FALSE)="","",VLOOKUP(A925,'ECN-ECO_DATA'!B:Q,15,FALSE))),"")</f>
        <v/>
      </c>
      <c r="L925" s="10" t="str">
        <f>IFERROR((IF(VLOOKUP(A925,'ECN-ECO_DATA'!B:Q,16,FALSE)="","",VLOOKUP(A925,'ECN-ECO_DATA'!B:Q,16,FALSE))),"")</f>
        <v/>
      </c>
      <c r="M925" s="9" t="str">
        <f>IFERROR((IF(VLOOKUP(A925,'ECN-ECO_DATA'!B:V,18,FALSE)=0/1/1900,"",VLOOKUP(A925,'ECN-ECO_DATA'!B:V,18,FALSE))),"")</f>
        <v/>
      </c>
      <c r="N925" s="9" t="str">
        <f>IFERROR((IF(VLOOKUP(A925,'ECN-ECO_DATA'!B:V,19,FALSE)=0/1/1900,"",VLOOKUP(A925,'ECN-ECO_DATA'!B:V,19,FALSE))),"")</f>
        <v/>
      </c>
      <c r="O925" s="9" t="str">
        <f>IFERROR((IF(VLOOKUP(A925,'ECN-ECO_DATA'!B:V,20,FALSE)=0/1/1900,"",VLOOKUP(A925,'ECN-ECO_DATA'!B:V,20,FALSE))),"")</f>
        <v/>
      </c>
      <c r="P925" s="9" t="str">
        <f>IFERROR((IF(VLOOKUP(A925,'ECN-ECO_DATA'!B:V,21,FALSE)=0/1/1900,"",VLOOKUP(A925,'ECN-ECO_DATA'!B:V,21,FALSE))),"")</f>
        <v/>
      </c>
      <c r="Q925" s="10" t="str">
        <f t="shared" ca="1" si="70"/>
        <v/>
      </c>
      <c r="R925" s="4" t="str">
        <f t="shared" si="71"/>
        <v/>
      </c>
      <c r="S925" s="4" t="str">
        <f t="shared" si="72"/>
        <v/>
      </c>
      <c r="T925" s="4" t="str">
        <f t="shared" si="73"/>
        <v/>
      </c>
      <c r="U925" s="10" t="str">
        <f t="shared" si="74"/>
        <v/>
      </c>
      <c r="V925" s="4"/>
    </row>
    <row r="926" spans="2:22" x14ac:dyDescent="0.25">
      <c r="B926" s="4" t="str">
        <f>IFERROR(VLOOKUP(A926,'ECN-ECO_DATA'!B:G,4,FALSE),"")</f>
        <v/>
      </c>
      <c r="C926" s="9" t="str">
        <f>IFERROR(VLOOKUP(A926,'ECN-ECO_DATA'!B:G,5,FALSE),"")</f>
        <v/>
      </c>
      <c r="D926" s="9" t="str">
        <f ca="1">IFERROR((IF(VLOOKUP(A926,'ECN-ECO_DATA'!B:G,6,FALSE)=0/1/1900,TODAY(),VLOOKUP(A926,'ECN-ECO_DATA'!B:G,6,FALSE))),"")</f>
        <v/>
      </c>
      <c r="E926" s="9" t="str">
        <f>IFERROR((IF(VLOOKUP(A926,'ECN-ECO_DATA'!B:G,6,FALSE)=0/1/1900,"",VLOOKUP(A926,'ECN-ECO_DATA'!B:G,6,FALSE))),"")</f>
        <v/>
      </c>
      <c r="F926" s="9" t="str">
        <f>IFERROR((IF(VLOOKUP(A926,'ECN-ECO_DATA'!B:J,7,FALSE)=0/1/1900,"",VLOOKUP(A926,'ECN-ECO_DATA'!B:J,7,FALSE))),"")</f>
        <v/>
      </c>
      <c r="G926" s="9" t="str">
        <f>IFERROR((IF(VLOOKUP(A926,'ECN-ECO_DATA'!B:J,8,FALSE)=0/1/1900,"",VLOOKUP(A926,'ECN-ECO_DATA'!B:J,8,FALSE))),"")</f>
        <v/>
      </c>
      <c r="H926" s="9" t="str">
        <f>IFERROR((IF(VLOOKUP(A926,'ECN-ECO_DATA'!B:J,9,FALSE)=0/1/1900,"",VLOOKUP(A926,'ECN-ECO_DATA'!B:J,9,FALSE))),"")</f>
        <v/>
      </c>
      <c r="I926" s="10" t="str">
        <f>IFERROR((IF(VLOOKUP(A926,'ECN-ECO_DATA'!B:Q,13,FALSE)="","",VLOOKUP(A926,'ECN-ECO_DATA'!B:Q,13,FALSE))),"")</f>
        <v/>
      </c>
      <c r="J926" s="10" t="str">
        <f>IFERROR((IF(VLOOKUP(A926,'ECN-ECO_DATA'!B:Q,14,FALSE)="","",VLOOKUP(A926,'ECN-ECO_DATA'!B:Q,14,FALSE))),"")</f>
        <v/>
      </c>
      <c r="K926" s="10" t="str">
        <f>IFERROR((IF(VLOOKUP(A926,'ECN-ECO_DATA'!B:Q,15,FALSE)="","",VLOOKUP(A926,'ECN-ECO_DATA'!B:Q,15,FALSE))),"")</f>
        <v/>
      </c>
      <c r="L926" s="10" t="str">
        <f>IFERROR((IF(VLOOKUP(A926,'ECN-ECO_DATA'!B:Q,16,FALSE)="","",VLOOKUP(A926,'ECN-ECO_DATA'!B:Q,16,FALSE))),"")</f>
        <v/>
      </c>
      <c r="M926" s="9" t="str">
        <f>IFERROR((IF(VLOOKUP(A926,'ECN-ECO_DATA'!B:V,18,FALSE)=0/1/1900,"",VLOOKUP(A926,'ECN-ECO_DATA'!B:V,18,FALSE))),"")</f>
        <v/>
      </c>
      <c r="N926" s="9" t="str">
        <f>IFERROR((IF(VLOOKUP(A926,'ECN-ECO_DATA'!B:V,19,FALSE)=0/1/1900,"",VLOOKUP(A926,'ECN-ECO_DATA'!B:V,19,FALSE))),"")</f>
        <v/>
      </c>
      <c r="O926" s="9" t="str">
        <f>IFERROR((IF(VLOOKUP(A926,'ECN-ECO_DATA'!B:V,20,FALSE)=0/1/1900,"",VLOOKUP(A926,'ECN-ECO_DATA'!B:V,20,FALSE))),"")</f>
        <v/>
      </c>
      <c r="P926" s="9" t="str">
        <f>IFERROR((IF(VLOOKUP(A926,'ECN-ECO_DATA'!B:V,21,FALSE)=0/1/1900,"",VLOOKUP(A926,'ECN-ECO_DATA'!B:V,21,FALSE))),"")</f>
        <v/>
      </c>
      <c r="Q926" s="10" t="str">
        <f t="shared" ca="1" si="70"/>
        <v/>
      </c>
      <c r="R926" s="4" t="str">
        <f t="shared" si="71"/>
        <v/>
      </c>
      <c r="S926" s="4" t="str">
        <f t="shared" si="72"/>
        <v/>
      </c>
      <c r="T926" s="4" t="str">
        <f t="shared" si="73"/>
        <v/>
      </c>
      <c r="U926" s="10" t="str">
        <f t="shared" si="74"/>
        <v/>
      </c>
      <c r="V926" s="4"/>
    </row>
    <row r="927" spans="2:22" x14ac:dyDescent="0.25">
      <c r="B927" s="4" t="str">
        <f>IFERROR(VLOOKUP(A927,'ECN-ECO_DATA'!B:G,4,FALSE),"")</f>
        <v/>
      </c>
      <c r="C927" s="9" t="str">
        <f>IFERROR(VLOOKUP(A927,'ECN-ECO_DATA'!B:G,5,FALSE),"")</f>
        <v/>
      </c>
      <c r="D927" s="9" t="str">
        <f ca="1">IFERROR((IF(VLOOKUP(A927,'ECN-ECO_DATA'!B:G,6,FALSE)=0/1/1900,TODAY(),VLOOKUP(A927,'ECN-ECO_DATA'!B:G,6,FALSE))),"")</f>
        <v/>
      </c>
      <c r="E927" s="9" t="str">
        <f>IFERROR((IF(VLOOKUP(A927,'ECN-ECO_DATA'!B:G,6,FALSE)=0/1/1900,"",VLOOKUP(A927,'ECN-ECO_DATA'!B:G,6,FALSE))),"")</f>
        <v/>
      </c>
      <c r="F927" s="9" t="str">
        <f>IFERROR((IF(VLOOKUP(A927,'ECN-ECO_DATA'!B:J,7,FALSE)=0/1/1900,"",VLOOKUP(A927,'ECN-ECO_DATA'!B:J,7,FALSE))),"")</f>
        <v/>
      </c>
      <c r="G927" s="9" t="str">
        <f>IFERROR((IF(VLOOKUP(A927,'ECN-ECO_DATA'!B:J,8,FALSE)=0/1/1900,"",VLOOKUP(A927,'ECN-ECO_DATA'!B:J,8,FALSE))),"")</f>
        <v/>
      </c>
      <c r="H927" s="9" t="str">
        <f>IFERROR((IF(VLOOKUP(A927,'ECN-ECO_DATA'!B:J,9,FALSE)=0/1/1900,"",VLOOKUP(A927,'ECN-ECO_DATA'!B:J,9,FALSE))),"")</f>
        <v/>
      </c>
      <c r="I927" s="10" t="str">
        <f>IFERROR((IF(VLOOKUP(A927,'ECN-ECO_DATA'!B:Q,13,FALSE)="","",VLOOKUP(A927,'ECN-ECO_DATA'!B:Q,13,FALSE))),"")</f>
        <v/>
      </c>
      <c r="J927" s="10" t="str">
        <f>IFERROR((IF(VLOOKUP(A927,'ECN-ECO_DATA'!B:Q,14,FALSE)="","",VLOOKUP(A927,'ECN-ECO_DATA'!B:Q,14,FALSE))),"")</f>
        <v/>
      </c>
      <c r="K927" s="10" t="str">
        <f>IFERROR((IF(VLOOKUP(A927,'ECN-ECO_DATA'!B:Q,15,FALSE)="","",VLOOKUP(A927,'ECN-ECO_DATA'!B:Q,15,FALSE))),"")</f>
        <v/>
      </c>
      <c r="L927" s="10" t="str">
        <f>IFERROR((IF(VLOOKUP(A927,'ECN-ECO_DATA'!B:Q,16,FALSE)="","",VLOOKUP(A927,'ECN-ECO_DATA'!B:Q,16,FALSE))),"")</f>
        <v/>
      </c>
      <c r="M927" s="9" t="str">
        <f>IFERROR((IF(VLOOKUP(A927,'ECN-ECO_DATA'!B:V,18,FALSE)=0/1/1900,"",VLOOKUP(A927,'ECN-ECO_DATA'!B:V,18,FALSE))),"")</f>
        <v/>
      </c>
      <c r="N927" s="9" t="str">
        <f>IFERROR((IF(VLOOKUP(A927,'ECN-ECO_DATA'!B:V,19,FALSE)=0/1/1900,"",VLOOKUP(A927,'ECN-ECO_DATA'!B:V,19,FALSE))),"")</f>
        <v/>
      </c>
      <c r="O927" s="9" t="str">
        <f>IFERROR((IF(VLOOKUP(A927,'ECN-ECO_DATA'!B:V,20,FALSE)=0/1/1900,"",VLOOKUP(A927,'ECN-ECO_DATA'!B:V,20,FALSE))),"")</f>
        <v/>
      </c>
      <c r="P927" s="9" t="str">
        <f>IFERROR((IF(VLOOKUP(A927,'ECN-ECO_DATA'!B:V,21,FALSE)=0/1/1900,"",VLOOKUP(A927,'ECN-ECO_DATA'!B:V,21,FALSE))),"")</f>
        <v/>
      </c>
      <c r="Q927" s="10" t="str">
        <f t="shared" ca="1" si="70"/>
        <v/>
      </c>
      <c r="R927" s="4" t="str">
        <f t="shared" si="71"/>
        <v/>
      </c>
      <c r="S927" s="4" t="str">
        <f t="shared" si="72"/>
        <v/>
      </c>
      <c r="T927" s="4" t="str">
        <f t="shared" si="73"/>
        <v/>
      </c>
      <c r="U927" s="10" t="str">
        <f t="shared" si="74"/>
        <v/>
      </c>
      <c r="V927" s="4"/>
    </row>
    <row r="928" spans="2:22" x14ac:dyDescent="0.25">
      <c r="B928" s="4" t="str">
        <f>IFERROR(VLOOKUP(A928,'ECN-ECO_DATA'!B:G,4,FALSE),"")</f>
        <v/>
      </c>
      <c r="C928" s="9" t="str">
        <f>IFERROR(VLOOKUP(A928,'ECN-ECO_DATA'!B:G,5,FALSE),"")</f>
        <v/>
      </c>
      <c r="D928" s="9" t="str">
        <f ca="1">IFERROR((IF(VLOOKUP(A928,'ECN-ECO_DATA'!B:G,6,FALSE)=0/1/1900,TODAY(),VLOOKUP(A928,'ECN-ECO_DATA'!B:G,6,FALSE))),"")</f>
        <v/>
      </c>
      <c r="E928" s="9" t="str">
        <f>IFERROR((IF(VLOOKUP(A928,'ECN-ECO_DATA'!B:G,6,FALSE)=0/1/1900,"",VLOOKUP(A928,'ECN-ECO_DATA'!B:G,6,FALSE))),"")</f>
        <v/>
      </c>
      <c r="F928" s="9" t="str">
        <f>IFERROR((IF(VLOOKUP(A928,'ECN-ECO_DATA'!B:J,7,FALSE)=0/1/1900,"",VLOOKUP(A928,'ECN-ECO_DATA'!B:J,7,FALSE))),"")</f>
        <v/>
      </c>
      <c r="G928" s="9" t="str">
        <f>IFERROR((IF(VLOOKUP(A928,'ECN-ECO_DATA'!B:J,8,FALSE)=0/1/1900,"",VLOOKUP(A928,'ECN-ECO_DATA'!B:J,8,FALSE))),"")</f>
        <v/>
      </c>
      <c r="H928" s="9" t="str">
        <f>IFERROR((IF(VLOOKUP(A928,'ECN-ECO_DATA'!B:J,9,FALSE)=0/1/1900,"",VLOOKUP(A928,'ECN-ECO_DATA'!B:J,9,FALSE))),"")</f>
        <v/>
      </c>
      <c r="I928" s="10" t="str">
        <f>IFERROR((IF(VLOOKUP(A928,'ECN-ECO_DATA'!B:Q,13,FALSE)="","",VLOOKUP(A928,'ECN-ECO_DATA'!B:Q,13,FALSE))),"")</f>
        <v/>
      </c>
      <c r="J928" s="10" t="str">
        <f>IFERROR((IF(VLOOKUP(A928,'ECN-ECO_DATA'!B:Q,14,FALSE)="","",VLOOKUP(A928,'ECN-ECO_DATA'!B:Q,14,FALSE))),"")</f>
        <v/>
      </c>
      <c r="K928" s="10" t="str">
        <f>IFERROR((IF(VLOOKUP(A928,'ECN-ECO_DATA'!B:Q,15,FALSE)="","",VLOOKUP(A928,'ECN-ECO_DATA'!B:Q,15,FALSE))),"")</f>
        <v/>
      </c>
      <c r="L928" s="10" t="str">
        <f>IFERROR((IF(VLOOKUP(A928,'ECN-ECO_DATA'!B:Q,16,FALSE)="","",VLOOKUP(A928,'ECN-ECO_DATA'!B:Q,16,FALSE))),"")</f>
        <v/>
      </c>
      <c r="M928" s="9" t="str">
        <f>IFERROR((IF(VLOOKUP(A928,'ECN-ECO_DATA'!B:V,18,FALSE)=0/1/1900,"",VLOOKUP(A928,'ECN-ECO_DATA'!B:V,18,FALSE))),"")</f>
        <v/>
      </c>
      <c r="N928" s="9" t="str">
        <f>IFERROR((IF(VLOOKUP(A928,'ECN-ECO_DATA'!B:V,19,FALSE)=0/1/1900,"",VLOOKUP(A928,'ECN-ECO_DATA'!B:V,19,FALSE))),"")</f>
        <v/>
      </c>
      <c r="O928" s="9" t="str">
        <f>IFERROR((IF(VLOOKUP(A928,'ECN-ECO_DATA'!B:V,20,FALSE)=0/1/1900,"",VLOOKUP(A928,'ECN-ECO_DATA'!B:V,20,FALSE))),"")</f>
        <v/>
      </c>
      <c r="P928" s="9" t="str">
        <f>IFERROR((IF(VLOOKUP(A928,'ECN-ECO_DATA'!B:V,21,FALSE)=0/1/1900,"",VLOOKUP(A928,'ECN-ECO_DATA'!B:V,21,FALSE))),"")</f>
        <v/>
      </c>
      <c r="Q928" s="10" t="str">
        <f t="shared" ca="1" si="70"/>
        <v/>
      </c>
      <c r="R928" s="4" t="str">
        <f t="shared" si="71"/>
        <v/>
      </c>
      <c r="S928" s="4" t="str">
        <f t="shared" si="72"/>
        <v/>
      </c>
      <c r="T928" s="4" t="str">
        <f t="shared" si="73"/>
        <v/>
      </c>
      <c r="U928" s="10" t="str">
        <f t="shared" si="74"/>
        <v/>
      </c>
      <c r="V928" s="4"/>
    </row>
    <row r="929" spans="2:22" x14ac:dyDescent="0.25">
      <c r="B929" s="4" t="str">
        <f>IFERROR(VLOOKUP(A929,'ECN-ECO_DATA'!B:G,4,FALSE),"")</f>
        <v/>
      </c>
      <c r="C929" s="9" t="str">
        <f>IFERROR(VLOOKUP(A929,'ECN-ECO_DATA'!B:G,5,FALSE),"")</f>
        <v/>
      </c>
      <c r="D929" s="9" t="str">
        <f ca="1">IFERROR((IF(VLOOKUP(A929,'ECN-ECO_DATA'!B:G,6,FALSE)=0/1/1900,TODAY(),VLOOKUP(A929,'ECN-ECO_DATA'!B:G,6,FALSE))),"")</f>
        <v/>
      </c>
      <c r="E929" s="9" t="str">
        <f>IFERROR((IF(VLOOKUP(A929,'ECN-ECO_DATA'!B:G,6,FALSE)=0/1/1900,"",VLOOKUP(A929,'ECN-ECO_DATA'!B:G,6,FALSE))),"")</f>
        <v/>
      </c>
      <c r="F929" s="9" t="str">
        <f>IFERROR((IF(VLOOKUP(A929,'ECN-ECO_DATA'!B:J,7,FALSE)=0/1/1900,"",VLOOKUP(A929,'ECN-ECO_DATA'!B:J,7,FALSE))),"")</f>
        <v/>
      </c>
      <c r="G929" s="9" t="str">
        <f>IFERROR((IF(VLOOKUP(A929,'ECN-ECO_DATA'!B:J,8,FALSE)=0/1/1900,"",VLOOKUP(A929,'ECN-ECO_DATA'!B:J,8,FALSE))),"")</f>
        <v/>
      </c>
      <c r="H929" s="9" t="str">
        <f>IFERROR((IF(VLOOKUP(A929,'ECN-ECO_DATA'!B:J,9,FALSE)=0/1/1900,"",VLOOKUP(A929,'ECN-ECO_DATA'!B:J,9,FALSE))),"")</f>
        <v/>
      </c>
      <c r="I929" s="10" t="str">
        <f>IFERROR((IF(VLOOKUP(A929,'ECN-ECO_DATA'!B:Q,13,FALSE)="","",VLOOKUP(A929,'ECN-ECO_DATA'!B:Q,13,FALSE))),"")</f>
        <v/>
      </c>
      <c r="J929" s="10" t="str">
        <f>IFERROR((IF(VLOOKUP(A929,'ECN-ECO_DATA'!B:Q,14,FALSE)="","",VLOOKUP(A929,'ECN-ECO_DATA'!B:Q,14,FALSE))),"")</f>
        <v/>
      </c>
      <c r="K929" s="10" t="str">
        <f>IFERROR((IF(VLOOKUP(A929,'ECN-ECO_DATA'!B:Q,15,FALSE)="","",VLOOKUP(A929,'ECN-ECO_DATA'!B:Q,15,FALSE))),"")</f>
        <v/>
      </c>
      <c r="L929" s="10" t="str">
        <f>IFERROR((IF(VLOOKUP(A929,'ECN-ECO_DATA'!B:Q,16,FALSE)="","",VLOOKUP(A929,'ECN-ECO_DATA'!B:Q,16,FALSE))),"")</f>
        <v/>
      </c>
      <c r="M929" s="9" t="str">
        <f>IFERROR((IF(VLOOKUP(A929,'ECN-ECO_DATA'!B:V,18,FALSE)=0/1/1900,"",VLOOKUP(A929,'ECN-ECO_DATA'!B:V,18,FALSE))),"")</f>
        <v/>
      </c>
      <c r="N929" s="9" t="str">
        <f>IFERROR((IF(VLOOKUP(A929,'ECN-ECO_DATA'!B:V,19,FALSE)=0/1/1900,"",VLOOKUP(A929,'ECN-ECO_DATA'!B:V,19,FALSE))),"")</f>
        <v/>
      </c>
      <c r="O929" s="9" t="str">
        <f>IFERROR((IF(VLOOKUP(A929,'ECN-ECO_DATA'!B:V,20,FALSE)=0/1/1900,"",VLOOKUP(A929,'ECN-ECO_DATA'!B:V,20,FALSE))),"")</f>
        <v/>
      </c>
      <c r="P929" s="9" t="str">
        <f>IFERROR((IF(VLOOKUP(A929,'ECN-ECO_DATA'!B:V,21,FALSE)=0/1/1900,"",VLOOKUP(A929,'ECN-ECO_DATA'!B:V,21,FALSE))),"")</f>
        <v/>
      </c>
      <c r="Q929" s="10" t="str">
        <f t="shared" ca="1" si="70"/>
        <v/>
      </c>
      <c r="R929" s="4" t="str">
        <f t="shared" si="71"/>
        <v/>
      </c>
      <c r="S929" s="4" t="str">
        <f t="shared" si="72"/>
        <v/>
      </c>
      <c r="T929" s="4" t="str">
        <f t="shared" si="73"/>
        <v/>
      </c>
      <c r="U929" s="10" t="str">
        <f t="shared" si="74"/>
        <v/>
      </c>
      <c r="V929" s="4"/>
    </row>
    <row r="930" spans="2:22" x14ac:dyDescent="0.25">
      <c r="B930" s="4" t="str">
        <f>IFERROR(VLOOKUP(A930,'ECN-ECO_DATA'!B:G,4,FALSE),"")</f>
        <v/>
      </c>
      <c r="C930" s="9" t="str">
        <f>IFERROR(VLOOKUP(A930,'ECN-ECO_DATA'!B:G,5,FALSE),"")</f>
        <v/>
      </c>
      <c r="D930" s="9" t="str">
        <f ca="1">IFERROR((IF(VLOOKUP(A930,'ECN-ECO_DATA'!B:G,6,FALSE)=0/1/1900,TODAY(),VLOOKUP(A930,'ECN-ECO_DATA'!B:G,6,FALSE))),"")</f>
        <v/>
      </c>
      <c r="E930" s="9" t="str">
        <f>IFERROR((IF(VLOOKUP(A930,'ECN-ECO_DATA'!B:G,6,FALSE)=0/1/1900,"",VLOOKUP(A930,'ECN-ECO_DATA'!B:G,6,FALSE))),"")</f>
        <v/>
      </c>
      <c r="F930" s="9" t="str">
        <f>IFERROR((IF(VLOOKUP(A930,'ECN-ECO_DATA'!B:J,7,FALSE)=0/1/1900,"",VLOOKUP(A930,'ECN-ECO_DATA'!B:J,7,FALSE))),"")</f>
        <v/>
      </c>
      <c r="G930" s="9" t="str">
        <f>IFERROR((IF(VLOOKUP(A930,'ECN-ECO_DATA'!B:J,8,FALSE)=0/1/1900,"",VLOOKUP(A930,'ECN-ECO_DATA'!B:J,8,FALSE))),"")</f>
        <v/>
      </c>
      <c r="H930" s="9" t="str">
        <f>IFERROR((IF(VLOOKUP(A930,'ECN-ECO_DATA'!B:J,9,FALSE)=0/1/1900,"",VLOOKUP(A930,'ECN-ECO_DATA'!B:J,9,FALSE))),"")</f>
        <v/>
      </c>
      <c r="I930" s="10" t="str">
        <f>IFERROR((IF(VLOOKUP(A930,'ECN-ECO_DATA'!B:Q,13,FALSE)="","",VLOOKUP(A930,'ECN-ECO_DATA'!B:Q,13,FALSE))),"")</f>
        <v/>
      </c>
      <c r="J930" s="10" t="str">
        <f>IFERROR((IF(VLOOKUP(A930,'ECN-ECO_DATA'!B:Q,14,FALSE)="","",VLOOKUP(A930,'ECN-ECO_DATA'!B:Q,14,FALSE))),"")</f>
        <v/>
      </c>
      <c r="K930" s="10" t="str">
        <f>IFERROR((IF(VLOOKUP(A930,'ECN-ECO_DATA'!B:Q,15,FALSE)="","",VLOOKUP(A930,'ECN-ECO_DATA'!B:Q,15,FALSE))),"")</f>
        <v/>
      </c>
      <c r="L930" s="10" t="str">
        <f>IFERROR((IF(VLOOKUP(A930,'ECN-ECO_DATA'!B:Q,16,FALSE)="","",VLOOKUP(A930,'ECN-ECO_DATA'!B:Q,16,FALSE))),"")</f>
        <v/>
      </c>
      <c r="M930" s="9" t="str">
        <f>IFERROR((IF(VLOOKUP(A930,'ECN-ECO_DATA'!B:V,18,FALSE)=0/1/1900,"",VLOOKUP(A930,'ECN-ECO_DATA'!B:V,18,FALSE))),"")</f>
        <v/>
      </c>
      <c r="N930" s="9" t="str">
        <f>IFERROR((IF(VLOOKUP(A930,'ECN-ECO_DATA'!B:V,19,FALSE)=0/1/1900,"",VLOOKUP(A930,'ECN-ECO_DATA'!B:V,19,FALSE))),"")</f>
        <v/>
      </c>
      <c r="O930" s="9" t="str">
        <f>IFERROR((IF(VLOOKUP(A930,'ECN-ECO_DATA'!B:V,20,FALSE)=0/1/1900,"",VLOOKUP(A930,'ECN-ECO_DATA'!B:V,20,FALSE))),"")</f>
        <v/>
      </c>
      <c r="P930" s="9" t="str">
        <f>IFERROR((IF(VLOOKUP(A930,'ECN-ECO_DATA'!B:V,21,FALSE)=0/1/1900,"",VLOOKUP(A930,'ECN-ECO_DATA'!B:V,21,FALSE))),"")</f>
        <v/>
      </c>
      <c r="Q930" s="10" t="str">
        <f t="shared" ca="1" si="70"/>
        <v/>
      </c>
      <c r="R930" s="4" t="str">
        <f t="shared" si="71"/>
        <v/>
      </c>
      <c r="S930" s="4" t="str">
        <f t="shared" si="72"/>
        <v/>
      </c>
      <c r="T930" s="4" t="str">
        <f t="shared" si="73"/>
        <v/>
      </c>
      <c r="U930" s="10" t="str">
        <f t="shared" si="74"/>
        <v/>
      </c>
      <c r="V930" s="4"/>
    </row>
    <row r="931" spans="2:22" x14ac:dyDescent="0.25">
      <c r="B931" s="4" t="str">
        <f>IFERROR(VLOOKUP(A931,'ECN-ECO_DATA'!B:G,4,FALSE),"")</f>
        <v/>
      </c>
      <c r="C931" s="9" t="str">
        <f>IFERROR(VLOOKUP(A931,'ECN-ECO_DATA'!B:G,5,FALSE),"")</f>
        <v/>
      </c>
      <c r="D931" s="9" t="str">
        <f ca="1">IFERROR((IF(VLOOKUP(A931,'ECN-ECO_DATA'!B:G,6,FALSE)=0/1/1900,TODAY(),VLOOKUP(A931,'ECN-ECO_DATA'!B:G,6,FALSE))),"")</f>
        <v/>
      </c>
      <c r="E931" s="9" t="str">
        <f>IFERROR((IF(VLOOKUP(A931,'ECN-ECO_DATA'!B:G,6,FALSE)=0/1/1900,"",VLOOKUP(A931,'ECN-ECO_DATA'!B:G,6,FALSE))),"")</f>
        <v/>
      </c>
      <c r="F931" s="9" t="str">
        <f>IFERROR((IF(VLOOKUP(A931,'ECN-ECO_DATA'!B:J,7,FALSE)=0/1/1900,"",VLOOKUP(A931,'ECN-ECO_DATA'!B:J,7,FALSE))),"")</f>
        <v/>
      </c>
      <c r="G931" s="9" t="str">
        <f>IFERROR((IF(VLOOKUP(A931,'ECN-ECO_DATA'!B:J,8,FALSE)=0/1/1900,"",VLOOKUP(A931,'ECN-ECO_DATA'!B:J,8,FALSE))),"")</f>
        <v/>
      </c>
      <c r="H931" s="9" t="str">
        <f>IFERROR((IF(VLOOKUP(A931,'ECN-ECO_DATA'!B:J,9,FALSE)=0/1/1900,"",VLOOKUP(A931,'ECN-ECO_DATA'!B:J,9,FALSE))),"")</f>
        <v/>
      </c>
      <c r="I931" s="10" t="str">
        <f>IFERROR((IF(VLOOKUP(A931,'ECN-ECO_DATA'!B:Q,13,FALSE)="","",VLOOKUP(A931,'ECN-ECO_DATA'!B:Q,13,FALSE))),"")</f>
        <v/>
      </c>
      <c r="J931" s="10" t="str">
        <f>IFERROR((IF(VLOOKUP(A931,'ECN-ECO_DATA'!B:Q,14,FALSE)="","",VLOOKUP(A931,'ECN-ECO_DATA'!B:Q,14,FALSE))),"")</f>
        <v/>
      </c>
      <c r="K931" s="10" t="str">
        <f>IFERROR((IF(VLOOKUP(A931,'ECN-ECO_DATA'!B:Q,15,FALSE)="","",VLOOKUP(A931,'ECN-ECO_DATA'!B:Q,15,FALSE))),"")</f>
        <v/>
      </c>
      <c r="L931" s="10" t="str">
        <f>IFERROR((IF(VLOOKUP(A931,'ECN-ECO_DATA'!B:Q,16,FALSE)="","",VLOOKUP(A931,'ECN-ECO_DATA'!B:Q,16,FALSE))),"")</f>
        <v/>
      </c>
      <c r="M931" s="9" t="str">
        <f>IFERROR((IF(VLOOKUP(A931,'ECN-ECO_DATA'!B:V,18,FALSE)=0/1/1900,"",VLOOKUP(A931,'ECN-ECO_DATA'!B:V,18,FALSE))),"")</f>
        <v/>
      </c>
      <c r="N931" s="9" t="str">
        <f>IFERROR((IF(VLOOKUP(A931,'ECN-ECO_DATA'!B:V,19,FALSE)=0/1/1900,"",VLOOKUP(A931,'ECN-ECO_DATA'!B:V,19,FALSE))),"")</f>
        <v/>
      </c>
      <c r="O931" s="9" t="str">
        <f>IFERROR((IF(VLOOKUP(A931,'ECN-ECO_DATA'!B:V,20,FALSE)=0/1/1900,"",VLOOKUP(A931,'ECN-ECO_DATA'!B:V,20,FALSE))),"")</f>
        <v/>
      </c>
      <c r="P931" s="9" t="str">
        <f>IFERROR((IF(VLOOKUP(A931,'ECN-ECO_DATA'!B:V,21,FALSE)=0/1/1900,"",VLOOKUP(A931,'ECN-ECO_DATA'!B:V,21,FALSE))),"")</f>
        <v/>
      </c>
      <c r="Q931" s="10" t="str">
        <f t="shared" ca="1" si="70"/>
        <v/>
      </c>
      <c r="R931" s="4" t="str">
        <f t="shared" si="71"/>
        <v/>
      </c>
      <c r="S931" s="4" t="str">
        <f t="shared" si="72"/>
        <v/>
      </c>
      <c r="T931" s="4" t="str">
        <f t="shared" si="73"/>
        <v/>
      </c>
      <c r="U931" s="10" t="str">
        <f t="shared" si="74"/>
        <v/>
      </c>
      <c r="V931" s="4"/>
    </row>
    <row r="932" spans="2:22" x14ac:dyDescent="0.25">
      <c r="B932" s="4" t="str">
        <f>IFERROR(VLOOKUP(A932,'ECN-ECO_DATA'!B:G,4,FALSE),"")</f>
        <v/>
      </c>
      <c r="C932" s="9" t="str">
        <f>IFERROR(VLOOKUP(A932,'ECN-ECO_DATA'!B:G,5,FALSE),"")</f>
        <v/>
      </c>
      <c r="D932" s="9" t="str">
        <f ca="1">IFERROR((IF(VLOOKUP(A932,'ECN-ECO_DATA'!B:G,6,FALSE)=0/1/1900,TODAY(),VLOOKUP(A932,'ECN-ECO_DATA'!B:G,6,FALSE))),"")</f>
        <v/>
      </c>
      <c r="E932" s="9" t="str">
        <f>IFERROR((IF(VLOOKUP(A932,'ECN-ECO_DATA'!B:G,6,FALSE)=0/1/1900,"",VLOOKUP(A932,'ECN-ECO_DATA'!B:G,6,FALSE))),"")</f>
        <v/>
      </c>
      <c r="F932" s="9" t="str">
        <f>IFERROR((IF(VLOOKUP(A932,'ECN-ECO_DATA'!B:J,7,FALSE)=0/1/1900,"",VLOOKUP(A932,'ECN-ECO_DATA'!B:J,7,FALSE))),"")</f>
        <v/>
      </c>
      <c r="G932" s="9" t="str">
        <f>IFERROR((IF(VLOOKUP(A932,'ECN-ECO_DATA'!B:J,8,FALSE)=0/1/1900,"",VLOOKUP(A932,'ECN-ECO_DATA'!B:J,8,FALSE))),"")</f>
        <v/>
      </c>
      <c r="H932" s="9" t="str">
        <f>IFERROR((IF(VLOOKUP(A932,'ECN-ECO_DATA'!B:J,9,FALSE)=0/1/1900,"",VLOOKUP(A932,'ECN-ECO_DATA'!B:J,9,FALSE))),"")</f>
        <v/>
      </c>
      <c r="I932" s="10" t="str">
        <f>IFERROR((IF(VLOOKUP(A932,'ECN-ECO_DATA'!B:Q,13,FALSE)="","",VLOOKUP(A932,'ECN-ECO_DATA'!B:Q,13,FALSE))),"")</f>
        <v/>
      </c>
      <c r="J932" s="10" t="str">
        <f>IFERROR((IF(VLOOKUP(A932,'ECN-ECO_DATA'!B:Q,14,FALSE)="","",VLOOKUP(A932,'ECN-ECO_DATA'!B:Q,14,FALSE))),"")</f>
        <v/>
      </c>
      <c r="K932" s="10" t="str">
        <f>IFERROR((IF(VLOOKUP(A932,'ECN-ECO_DATA'!B:Q,15,FALSE)="","",VLOOKUP(A932,'ECN-ECO_DATA'!B:Q,15,FALSE))),"")</f>
        <v/>
      </c>
      <c r="L932" s="10" t="str">
        <f>IFERROR((IF(VLOOKUP(A932,'ECN-ECO_DATA'!B:Q,16,FALSE)="","",VLOOKUP(A932,'ECN-ECO_DATA'!B:Q,16,FALSE))),"")</f>
        <v/>
      </c>
      <c r="M932" s="9" t="str">
        <f>IFERROR((IF(VLOOKUP(A932,'ECN-ECO_DATA'!B:V,18,FALSE)=0/1/1900,"",VLOOKUP(A932,'ECN-ECO_DATA'!B:V,18,FALSE))),"")</f>
        <v/>
      </c>
      <c r="N932" s="9" t="str">
        <f>IFERROR((IF(VLOOKUP(A932,'ECN-ECO_DATA'!B:V,19,FALSE)=0/1/1900,"",VLOOKUP(A932,'ECN-ECO_DATA'!B:V,19,FALSE))),"")</f>
        <v/>
      </c>
      <c r="O932" s="9" t="str">
        <f>IFERROR((IF(VLOOKUP(A932,'ECN-ECO_DATA'!B:V,20,FALSE)=0/1/1900,"",VLOOKUP(A932,'ECN-ECO_DATA'!B:V,20,FALSE))),"")</f>
        <v/>
      </c>
      <c r="P932" s="9" t="str">
        <f>IFERROR((IF(VLOOKUP(A932,'ECN-ECO_DATA'!B:V,21,FALSE)=0/1/1900,"",VLOOKUP(A932,'ECN-ECO_DATA'!B:V,21,FALSE))),"")</f>
        <v/>
      </c>
      <c r="Q932" s="10" t="str">
        <f t="shared" ca="1" si="70"/>
        <v/>
      </c>
      <c r="R932" s="4" t="str">
        <f t="shared" si="71"/>
        <v/>
      </c>
      <c r="S932" s="4" t="str">
        <f t="shared" si="72"/>
        <v/>
      </c>
      <c r="T932" s="4" t="str">
        <f t="shared" si="73"/>
        <v/>
      </c>
      <c r="U932" s="10" t="str">
        <f t="shared" si="74"/>
        <v/>
      </c>
      <c r="V932" s="4"/>
    </row>
    <row r="933" spans="2:22" x14ac:dyDescent="0.25">
      <c r="B933" s="4" t="str">
        <f>IFERROR(VLOOKUP(A933,'ECN-ECO_DATA'!B:G,4,FALSE),"")</f>
        <v/>
      </c>
      <c r="C933" s="9" t="str">
        <f>IFERROR(VLOOKUP(A933,'ECN-ECO_DATA'!B:G,5,FALSE),"")</f>
        <v/>
      </c>
      <c r="D933" s="9" t="str">
        <f ca="1">IFERROR((IF(VLOOKUP(A933,'ECN-ECO_DATA'!B:G,6,FALSE)=0/1/1900,TODAY(),VLOOKUP(A933,'ECN-ECO_DATA'!B:G,6,FALSE))),"")</f>
        <v/>
      </c>
      <c r="E933" s="9" t="str">
        <f>IFERROR((IF(VLOOKUP(A933,'ECN-ECO_DATA'!B:G,6,FALSE)=0/1/1900,"",VLOOKUP(A933,'ECN-ECO_DATA'!B:G,6,FALSE))),"")</f>
        <v/>
      </c>
      <c r="F933" s="9" t="str">
        <f>IFERROR((IF(VLOOKUP(A933,'ECN-ECO_DATA'!B:J,7,FALSE)=0/1/1900,"",VLOOKUP(A933,'ECN-ECO_DATA'!B:J,7,FALSE))),"")</f>
        <v/>
      </c>
      <c r="G933" s="9" t="str">
        <f>IFERROR((IF(VLOOKUP(A933,'ECN-ECO_DATA'!B:J,8,FALSE)=0/1/1900,"",VLOOKUP(A933,'ECN-ECO_DATA'!B:J,8,FALSE))),"")</f>
        <v/>
      </c>
      <c r="H933" s="9" t="str">
        <f>IFERROR((IF(VLOOKUP(A933,'ECN-ECO_DATA'!B:J,9,FALSE)=0/1/1900,"",VLOOKUP(A933,'ECN-ECO_DATA'!B:J,9,FALSE))),"")</f>
        <v/>
      </c>
      <c r="I933" s="10" t="str">
        <f>IFERROR((IF(VLOOKUP(A933,'ECN-ECO_DATA'!B:Q,13,FALSE)="","",VLOOKUP(A933,'ECN-ECO_DATA'!B:Q,13,FALSE))),"")</f>
        <v/>
      </c>
      <c r="J933" s="10" t="str">
        <f>IFERROR((IF(VLOOKUP(A933,'ECN-ECO_DATA'!B:Q,14,FALSE)="","",VLOOKUP(A933,'ECN-ECO_DATA'!B:Q,14,FALSE))),"")</f>
        <v/>
      </c>
      <c r="K933" s="10" t="str">
        <f>IFERROR((IF(VLOOKUP(A933,'ECN-ECO_DATA'!B:Q,15,FALSE)="","",VLOOKUP(A933,'ECN-ECO_DATA'!B:Q,15,FALSE))),"")</f>
        <v/>
      </c>
      <c r="L933" s="10" t="str">
        <f>IFERROR((IF(VLOOKUP(A933,'ECN-ECO_DATA'!B:Q,16,FALSE)="","",VLOOKUP(A933,'ECN-ECO_DATA'!B:Q,16,FALSE))),"")</f>
        <v/>
      </c>
      <c r="M933" s="9" t="str">
        <f>IFERROR((IF(VLOOKUP(A933,'ECN-ECO_DATA'!B:V,18,FALSE)=0/1/1900,"",VLOOKUP(A933,'ECN-ECO_DATA'!B:V,18,FALSE))),"")</f>
        <v/>
      </c>
      <c r="N933" s="9" t="str">
        <f>IFERROR((IF(VLOOKUP(A933,'ECN-ECO_DATA'!B:V,19,FALSE)=0/1/1900,"",VLOOKUP(A933,'ECN-ECO_DATA'!B:V,19,FALSE))),"")</f>
        <v/>
      </c>
      <c r="O933" s="9" t="str">
        <f>IFERROR((IF(VLOOKUP(A933,'ECN-ECO_DATA'!B:V,20,FALSE)=0/1/1900,"",VLOOKUP(A933,'ECN-ECO_DATA'!B:V,20,FALSE))),"")</f>
        <v/>
      </c>
      <c r="P933" s="9" t="str">
        <f>IFERROR((IF(VLOOKUP(A933,'ECN-ECO_DATA'!B:V,21,FALSE)=0/1/1900,"",VLOOKUP(A933,'ECN-ECO_DATA'!B:V,21,FALSE))),"")</f>
        <v/>
      </c>
      <c r="Q933" s="10" t="str">
        <f t="shared" ca="1" si="70"/>
        <v/>
      </c>
      <c r="R933" s="4" t="str">
        <f t="shared" si="71"/>
        <v/>
      </c>
      <c r="S933" s="4" t="str">
        <f t="shared" si="72"/>
        <v/>
      </c>
      <c r="T933" s="4" t="str">
        <f t="shared" si="73"/>
        <v/>
      </c>
      <c r="U933" s="10" t="str">
        <f t="shared" si="74"/>
        <v/>
      </c>
      <c r="V933" s="4"/>
    </row>
    <row r="934" spans="2:22" x14ac:dyDescent="0.25">
      <c r="B934" s="4" t="str">
        <f>IFERROR(VLOOKUP(A934,'ECN-ECO_DATA'!B:G,4,FALSE),"")</f>
        <v/>
      </c>
      <c r="C934" s="9" t="str">
        <f>IFERROR(VLOOKUP(A934,'ECN-ECO_DATA'!B:G,5,FALSE),"")</f>
        <v/>
      </c>
      <c r="D934" s="9" t="str">
        <f ca="1">IFERROR((IF(VLOOKUP(A934,'ECN-ECO_DATA'!B:G,6,FALSE)=0/1/1900,TODAY(),VLOOKUP(A934,'ECN-ECO_DATA'!B:G,6,FALSE))),"")</f>
        <v/>
      </c>
      <c r="E934" s="9" t="str">
        <f>IFERROR((IF(VLOOKUP(A934,'ECN-ECO_DATA'!B:G,6,FALSE)=0/1/1900,"",VLOOKUP(A934,'ECN-ECO_DATA'!B:G,6,FALSE))),"")</f>
        <v/>
      </c>
      <c r="F934" s="9" t="str">
        <f>IFERROR((IF(VLOOKUP(A934,'ECN-ECO_DATA'!B:J,7,FALSE)=0/1/1900,"",VLOOKUP(A934,'ECN-ECO_DATA'!B:J,7,FALSE))),"")</f>
        <v/>
      </c>
      <c r="G934" s="9" t="str">
        <f>IFERROR((IF(VLOOKUP(A934,'ECN-ECO_DATA'!B:J,8,FALSE)=0/1/1900,"",VLOOKUP(A934,'ECN-ECO_DATA'!B:J,8,FALSE))),"")</f>
        <v/>
      </c>
      <c r="H934" s="9" t="str">
        <f>IFERROR((IF(VLOOKUP(A934,'ECN-ECO_DATA'!B:J,9,FALSE)=0/1/1900,"",VLOOKUP(A934,'ECN-ECO_DATA'!B:J,9,FALSE))),"")</f>
        <v/>
      </c>
      <c r="I934" s="10" t="str">
        <f>IFERROR((IF(VLOOKUP(A934,'ECN-ECO_DATA'!B:Q,13,FALSE)="","",VLOOKUP(A934,'ECN-ECO_DATA'!B:Q,13,FALSE))),"")</f>
        <v/>
      </c>
      <c r="J934" s="10" t="str">
        <f>IFERROR((IF(VLOOKUP(A934,'ECN-ECO_DATA'!B:Q,14,FALSE)="","",VLOOKUP(A934,'ECN-ECO_DATA'!B:Q,14,FALSE))),"")</f>
        <v/>
      </c>
      <c r="K934" s="10" t="str">
        <f>IFERROR((IF(VLOOKUP(A934,'ECN-ECO_DATA'!B:Q,15,FALSE)="","",VLOOKUP(A934,'ECN-ECO_DATA'!B:Q,15,FALSE))),"")</f>
        <v/>
      </c>
      <c r="L934" s="10" t="str">
        <f>IFERROR((IF(VLOOKUP(A934,'ECN-ECO_DATA'!B:Q,16,FALSE)="","",VLOOKUP(A934,'ECN-ECO_DATA'!B:Q,16,FALSE))),"")</f>
        <v/>
      </c>
      <c r="M934" s="9" t="str">
        <f>IFERROR((IF(VLOOKUP(A934,'ECN-ECO_DATA'!B:V,18,FALSE)=0/1/1900,"",VLOOKUP(A934,'ECN-ECO_DATA'!B:V,18,FALSE))),"")</f>
        <v/>
      </c>
      <c r="N934" s="9" t="str">
        <f>IFERROR((IF(VLOOKUP(A934,'ECN-ECO_DATA'!B:V,19,FALSE)=0/1/1900,"",VLOOKUP(A934,'ECN-ECO_DATA'!B:V,19,FALSE))),"")</f>
        <v/>
      </c>
      <c r="O934" s="9" t="str">
        <f>IFERROR((IF(VLOOKUP(A934,'ECN-ECO_DATA'!B:V,20,FALSE)=0/1/1900,"",VLOOKUP(A934,'ECN-ECO_DATA'!B:V,20,FALSE))),"")</f>
        <v/>
      </c>
      <c r="P934" s="9" t="str">
        <f>IFERROR((IF(VLOOKUP(A934,'ECN-ECO_DATA'!B:V,21,FALSE)=0/1/1900,"",VLOOKUP(A934,'ECN-ECO_DATA'!B:V,21,FALSE))),"")</f>
        <v/>
      </c>
      <c r="Q934" s="10" t="str">
        <f t="shared" ca="1" si="70"/>
        <v/>
      </c>
      <c r="R934" s="4" t="str">
        <f t="shared" si="71"/>
        <v/>
      </c>
      <c r="S934" s="4" t="str">
        <f t="shared" si="72"/>
        <v/>
      </c>
      <c r="T934" s="4" t="str">
        <f t="shared" si="73"/>
        <v/>
      </c>
      <c r="U934" s="10" t="str">
        <f t="shared" si="74"/>
        <v/>
      </c>
      <c r="V934" s="4"/>
    </row>
    <row r="935" spans="2:22" x14ac:dyDescent="0.25">
      <c r="B935" s="4" t="str">
        <f>IFERROR(VLOOKUP(A935,'ECN-ECO_DATA'!B:G,4,FALSE),"")</f>
        <v/>
      </c>
      <c r="C935" s="9" t="str">
        <f>IFERROR(VLOOKUP(A935,'ECN-ECO_DATA'!B:G,5,FALSE),"")</f>
        <v/>
      </c>
      <c r="D935" s="9" t="str">
        <f ca="1">IFERROR((IF(VLOOKUP(A935,'ECN-ECO_DATA'!B:G,6,FALSE)=0/1/1900,TODAY(),VLOOKUP(A935,'ECN-ECO_DATA'!B:G,6,FALSE))),"")</f>
        <v/>
      </c>
      <c r="E935" s="9" t="str">
        <f>IFERROR((IF(VLOOKUP(A935,'ECN-ECO_DATA'!B:G,6,FALSE)=0/1/1900,"",VLOOKUP(A935,'ECN-ECO_DATA'!B:G,6,FALSE))),"")</f>
        <v/>
      </c>
      <c r="F935" s="9" t="str">
        <f>IFERROR((IF(VLOOKUP(A935,'ECN-ECO_DATA'!B:J,7,FALSE)=0/1/1900,"",VLOOKUP(A935,'ECN-ECO_DATA'!B:J,7,FALSE))),"")</f>
        <v/>
      </c>
      <c r="G935" s="9" t="str">
        <f>IFERROR((IF(VLOOKUP(A935,'ECN-ECO_DATA'!B:J,8,FALSE)=0/1/1900,"",VLOOKUP(A935,'ECN-ECO_DATA'!B:J,8,FALSE))),"")</f>
        <v/>
      </c>
      <c r="H935" s="9" t="str">
        <f>IFERROR((IF(VLOOKUP(A935,'ECN-ECO_DATA'!B:J,9,FALSE)=0/1/1900,"",VLOOKUP(A935,'ECN-ECO_DATA'!B:J,9,FALSE))),"")</f>
        <v/>
      </c>
      <c r="I935" s="10" t="str">
        <f>IFERROR((IF(VLOOKUP(A935,'ECN-ECO_DATA'!B:Q,13,FALSE)="","",VLOOKUP(A935,'ECN-ECO_DATA'!B:Q,13,FALSE))),"")</f>
        <v/>
      </c>
      <c r="J935" s="10" t="str">
        <f>IFERROR((IF(VLOOKUP(A935,'ECN-ECO_DATA'!B:Q,14,FALSE)="","",VLOOKUP(A935,'ECN-ECO_DATA'!B:Q,14,FALSE))),"")</f>
        <v/>
      </c>
      <c r="K935" s="10" t="str">
        <f>IFERROR((IF(VLOOKUP(A935,'ECN-ECO_DATA'!B:Q,15,FALSE)="","",VLOOKUP(A935,'ECN-ECO_DATA'!B:Q,15,FALSE))),"")</f>
        <v/>
      </c>
      <c r="L935" s="10" t="str">
        <f>IFERROR((IF(VLOOKUP(A935,'ECN-ECO_DATA'!B:Q,16,FALSE)="","",VLOOKUP(A935,'ECN-ECO_DATA'!B:Q,16,FALSE))),"")</f>
        <v/>
      </c>
      <c r="M935" s="9" t="str">
        <f>IFERROR((IF(VLOOKUP(A935,'ECN-ECO_DATA'!B:V,18,FALSE)=0/1/1900,"",VLOOKUP(A935,'ECN-ECO_DATA'!B:V,18,FALSE))),"")</f>
        <v/>
      </c>
      <c r="N935" s="9" t="str">
        <f>IFERROR((IF(VLOOKUP(A935,'ECN-ECO_DATA'!B:V,19,FALSE)=0/1/1900,"",VLOOKUP(A935,'ECN-ECO_DATA'!B:V,19,FALSE))),"")</f>
        <v/>
      </c>
      <c r="O935" s="9" t="str">
        <f>IFERROR((IF(VLOOKUP(A935,'ECN-ECO_DATA'!B:V,20,FALSE)=0/1/1900,"",VLOOKUP(A935,'ECN-ECO_DATA'!B:V,20,FALSE))),"")</f>
        <v/>
      </c>
      <c r="P935" s="9" t="str">
        <f>IFERROR((IF(VLOOKUP(A935,'ECN-ECO_DATA'!B:V,21,FALSE)=0/1/1900,"",VLOOKUP(A935,'ECN-ECO_DATA'!B:V,21,FALSE))),"")</f>
        <v/>
      </c>
      <c r="Q935" s="10" t="str">
        <f t="shared" ca="1" si="70"/>
        <v/>
      </c>
      <c r="R935" s="4" t="str">
        <f t="shared" si="71"/>
        <v/>
      </c>
      <c r="S935" s="4" t="str">
        <f t="shared" si="72"/>
        <v/>
      </c>
      <c r="T935" s="4" t="str">
        <f t="shared" si="73"/>
        <v/>
      </c>
      <c r="U935" s="10" t="str">
        <f t="shared" si="74"/>
        <v/>
      </c>
      <c r="V935" s="4"/>
    </row>
    <row r="936" spans="2:22" x14ac:dyDescent="0.25">
      <c r="B936" s="4" t="str">
        <f>IFERROR(VLOOKUP(A936,'ECN-ECO_DATA'!B:G,4,FALSE),"")</f>
        <v/>
      </c>
      <c r="C936" s="9" t="str">
        <f>IFERROR(VLOOKUP(A936,'ECN-ECO_DATA'!B:G,5,FALSE),"")</f>
        <v/>
      </c>
      <c r="D936" s="9" t="str">
        <f ca="1">IFERROR((IF(VLOOKUP(A936,'ECN-ECO_DATA'!B:G,6,FALSE)=0/1/1900,TODAY(),VLOOKUP(A936,'ECN-ECO_DATA'!B:G,6,FALSE))),"")</f>
        <v/>
      </c>
      <c r="E936" s="9" t="str">
        <f>IFERROR((IF(VLOOKUP(A936,'ECN-ECO_DATA'!B:G,6,FALSE)=0/1/1900,"",VLOOKUP(A936,'ECN-ECO_DATA'!B:G,6,FALSE))),"")</f>
        <v/>
      </c>
      <c r="F936" s="9" t="str">
        <f>IFERROR((IF(VLOOKUP(A936,'ECN-ECO_DATA'!B:J,7,FALSE)=0/1/1900,"",VLOOKUP(A936,'ECN-ECO_DATA'!B:J,7,FALSE))),"")</f>
        <v/>
      </c>
      <c r="G936" s="9" t="str">
        <f>IFERROR((IF(VLOOKUP(A936,'ECN-ECO_DATA'!B:J,8,FALSE)=0/1/1900,"",VLOOKUP(A936,'ECN-ECO_DATA'!B:J,8,FALSE))),"")</f>
        <v/>
      </c>
      <c r="H936" s="9" t="str">
        <f>IFERROR((IF(VLOOKUP(A936,'ECN-ECO_DATA'!B:J,9,FALSE)=0/1/1900,"",VLOOKUP(A936,'ECN-ECO_DATA'!B:J,9,FALSE))),"")</f>
        <v/>
      </c>
      <c r="I936" s="10" t="str">
        <f>IFERROR((IF(VLOOKUP(A936,'ECN-ECO_DATA'!B:Q,13,FALSE)="","",VLOOKUP(A936,'ECN-ECO_DATA'!B:Q,13,FALSE))),"")</f>
        <v/>
      </c>
      <c r="J936" s="10" t="str">
        <f>IFERROR((IF(VLOOKUP(A936,'ECN-ECO_DATA'!B:Q,14,FALSE)="","",VLOOKUP(A936,'ECN-ECO_DATA'!B:Q,14,FALSE))),"")</f>
        <v/>
      </c>
      <c r="K936" s="10" t="str">
        <f>IFERROR((IF(VLOOKUP(A936,'ECN-ECO_DATA'!B:Q,15,FALSE)="","",VLOOKUP(A936,'ECN-ECO_DATA'!B:Q,15,FALSE))),"")</f>
        <v/>
      </c>
      <c r="L936" s="10" t="str">
        <f>IFERROR((IF(VLOOKUP(A936,'ECN-ECO_DATA'!B:Q,16,FALSE)="","",VLOOKUP(A936,'ECN-ECO_DATA'!B:Q,16,FALSE))),"")</f>
        <v/>
      </c>
      <c r="M936" s="9" t="str">
        <f>IFERROR((IF(VLOOKUP(A936,'ECN-ECO_DATA'!B:V,18,FALSE)=0/1/1900,"",VLOOKUP(A936,'ECN-ECO_DATA'!B:V,18,FALSE))),"")</f>
        <v/>
      </c>
      <c r="N936" s="9" t="str">
        <f>IFERROR((IF(VLOOKUP(A936,'ECN-ECO_DATA'!B:V,19,FALSE)=0/1/1900,"",VLOOKUP(A936,'ECN-ECO_DATA'!B:V,19,FALSE))),"")</f>
        <v/>
      </c>
      <c r="O936" s="9" t="str">
        <f>IFERROR((IF(VLOOKUP(A936,'ECN-ECO_DATA'!B:V,20,FALSE)=0/1/1900,"",VLOOKUP(A936,'ECN-ECO_DATA'!B:V,20,FALSE))),"")</f>
        <v/>
      </c>
      <c r="P936" s="9" t="str">
        <f>IFERROR((IF(VLOOKUP(A936,'ECN-ECO_DATA'!B:V,21,FALSE)=0/1/1900,"",VLOOKUP(A936,'ECN-ECO_DATA'!B:V,21,FALSE))),"")</f>
        <v/>
      </c>
      <c r="Q936" s="10" t="str">
        <f t="shared" ca="1" si="70"/>
        <v/>
      </c>
      <c r="R936" s="4" t="str">
        <f t="shared" si="71"/>
        <v/>
      </c>
      <c r="S936" s="4" t="str">
        <f t="shared" si="72"/>
        <v/>
      </c>
      <c r="T936" s="4" t="str">
        <f t="shared" si="73"/>
        <v/>
      </c>
      <c r="U936" s="10" t="str">
        <f t="shared" si="74"/>
        <v/>
      </c>
      <c r="V936" s="4"/>
    </row>
    <row r="937" spans="2:22" x14ac:dyDescent="0.25">
      <c r="B937" s="4" t="str">
        <f>IFERROR(VLOOKUP(A937,'ECN-ECO_DATA'!B:G,4,FALSE),"")</f>
        <v/>
      </c>
      <c r="C937" s="9" t="str">
        <f>IFERROR(VLOOKUP(A937,'ECN-ECO_DATA'!B:G,5,FALSE),"")</f>
        <v/>
      </c>
      <c r="D937" s="9" t="str">
        <f ca="1">IFERROR((IF(VLOOKUP(A937,'ECN-ECO_DATA'!B:G,6,FALSE)=0/1/1900,TODAY(),VLOOKUP(A937,'ECN-ECO_DATA'!B:G,6,FALSE))),"")</f>
        <v/>
      </c>
      <c r="E937" s="9" t="str">
        <f>IFERROR((IF(VLOOKUP(A937,'ECN-ECO_DATA'!B:G,6,FALSE)=0/1/1900,"",VLOOKUP(A937,'ECN-ECO_DATA'!B:G,6,FALSE))),"")</f>
        <v/>
      </c>
      <c r="F937" s="9" t="str">
        <f>IFERROR((IF(VLOOKUP(A937,'ECN-ECO_DATA'!B:J,7,FALSE)=0/1/1900,"",VLOOKUP(A937,'ECN-ECO_DATA'!B:J,7,FALSE))),"")</f>
        <v/>
      </c>
      <c r="G937" s="9" t="str">
        <f>IFERROR((IF(VLOOKUP(A937,'ECN-ECO_DATA'!B:J,8,FALSE)=0/1/1900,"",VLOOKUP(A937,'ECN-ECO_DATA'!B:J,8,FALSE))),"")</f>
        <v/>
      </c>
      <c r="H937" s="9" t="str">
        <f>IFERROR((IF(VLOOKUP(A937,'ECN-ECO_DATA'!B:J,9,FALSE)=0/1/1900,"",VLOOKUP(A937,'ECN-ECO_DATA'!B:J,9,FALSE))),"")</f>
        <v/>
      </c>
      <c r="I937" s="10" t="str">
        <f>IFERROR((IF(VLOOKUP(A937,'ECN-ECO_DATA'!B:Q,13,FALSE)="","",VLOOKUP(A937,'ECN-ECO_DATA'!B:Q,13,FALSE))),"")</f>
        <v/>
      </c>
      <c r="J937" s="10" t="str">
        <f>IFERROR((IF(VLOOKUP(A937,'ECN-ECO_DATA'!B:Q,14,FALSE)="","",VLOOKUP(A937,'ECN-ECO_DATA'!B:Q,14,FALSE))),"")</f>
        <v/>
      </c>
      <c r="K937" s="10" t="str">
        <f>IFERROR((IF(VLOOKUP(A937,'ECN-ECO_DATA'!B:Q,15,FALSE)="","",VLOOKUP(A937,'ECN-ECO_DATA'!B:Q,15,FALSE))),"")</f>
        <v/>
      </c>
      <c r="L937" s="10" t="str">
        <f>IFERROR((IF(VLOOKUP(A937,'ECN-ECO_DATA'!B:Q,16,FALSE)="","",VLOOKUP(A937,'ECN-ECO_DATA'!B:Q,16,FALSE))),"")</f>
        <v/>
      </c>
      <c r="M937" s="9" t="str">
        <f>IFERROR((IF(VLOOKUP(A937,'ECN-ECO_DATA'!B:V,18,FALSE)=0/1/1900,"",VLOOKUP(A937,'ECN-ECO_DATA'!B:V,18,FALSE))),"")</f>
        <v/>
      </c>
      <c r="N937" s="9" t="str">
        <f>IFERROR((IF(VLOOKUP(A937,'ECN-ECO_DATA'!B:V,19,FALSE)=0/1/1900,"",VLOOKUP(A937,'ECN-ECO_DATA'!B:V,19,FALSE))),"")</f>
        <v/>
      </c>
      <c r="O937" s="9" t="str">
        <f>IFERROR((IF(VLOOKUP(A937,'ECN-ECO_DATA'!B:V,20,FALSE)=0/1/1900,"",VLOOKUP(A937,'ECN-ECO_DATA'!B:V,20,FALSE))),"")</f>
        <v/>
      </c>
      <c r="P937" s="9" t="str">
        <f>IFERROR((IF(VLOOKUP(A937,'ECN-ECO_DATA'!B:V,21,FALSE)=0/1/1900,"",VLOOKUP(A937,'ECN-ECO_DATA'!B:V,21,FALSE))),"")</f>
        <v/>
      </c>
      <c r="Q937" s="10" t="str">
        <f t="shared" ca="1" si="70"/>
        <v/>
      </c>
      <c r="R937" s="4" t="str">
        <f t="shared" si="71"/>
        <v/>
      </c>
      <c r="S937" s="4" t="str">
        <f t="shared" si="72"/>
        <v/>
      </c>
      <c r="T937" s="4" t="str">
        <f t="shared" si="73"/>
        <v/>
      </c>
      <c r="U937" s="10" t="str">
        <f t="shared" si="74"/>
        <v/>
      </c>
      <c r="V937" s="4"/>
    </row>
    <row r="938" spans="2:22" x14ac:dyDescent="0.25">
      <c r="B938" s="4" t="str">
        <f>IFERROR(VLOOKUP(A938,'ECN-ECO_DATA'!B:G,4,FALSE),"")</f>
        <v/>
      </c>
      <c r="C938" s="9" t="str">
        <f>IFERROR(VLOOKUP(A938,'ECN-ECO_DATA'!B:G,5,FALSE),"")</f>
        <v/>
      </c>
      <c r="D938" s="9" t="str">
        <f ca="1">IFERROR((IF(VLOOKUP(A938,'ECN-ECO_DATA'!B:G,6,FALSE)=0/1/1900,TODAY(),VLOOKUP(A938,'ECN-ECO_DATA'!B:G,6,FALSE))),"")</f>
        <v/>
      </c>
      <c r="E938" s="9" t="str">
        <f>IFERROR((IF(VLOOKUP(A938,'ECN-ECO_DATA'!B:G,6,FALSE)=0/1/1900,"",VLOOKUP(A938,'ECN-ECO_DATA'!B:G,6,FALSE))),"")</f>
        <v/>
      </c>
      <c r="F938" s="9" t="str">
        <f>IFERROR((IF(VLOOKUP(A938,'ECN-ECO_DATA'!B:J,7,FALSE)=0/1/1900,"",VLOOKUP(A938,'ECN-ECO_DATA'!B:J,7,FALSE))),"")</f>
        <v/>
      </c>
      <c r="G938" s="9" t="str">
        <f>IFERROR((IF(VLOOKUP(A938,'ECN-ECO_DATA'!B:J,8,FALSE)=0/1/1900,"",VLOOKUP(A938,'ECN-ECO_DATA'!B:J,8,FALSE))),"")</f>
        <v/>
      </c>
      <c r="H938" s="9" t="str">
        <f>IFERROR((IF(VLOOKUP(A938,'ECN-ECO_DATA'!B:J,9,FALSE)=0/1/1900,"",VLOOKUP(A938,'ECN-ECO_DATA'!B:J,9,FALSE))),"")</f>
        <v/>
      </c>
      <c r="I938" s="10" t="str">
        <f>IFERROR((IF(VLOOKUP(A938,'ECN-ECO_DATA'!B:Q,13,FALSE)="","",VLOOKUP(A938,'ECN-ECO_DATA'!B:Q,13,FALSE))),"")</f>
        <v/>
      </c>
      <c r="J938" s="10" t="str">
        <f>IFERROR((IF(VLOOKUP(A938,'ECN-ECO_DATA'!B:Q,14,FALSE)="","",VLOOKUP(A938,'ECN-ECO_DATA'!B:Q,14,FALSE))),"")</f>
        <v/>
      </c>
      <c r="K938" s="10" t="str">
        <f>IFERROR((IF(VLOOKUP(A938,'ECN-ECO_DATA'!B:Q,15,FALSE)="","",VLOOKUP(A938,'ECN-ECO_DATA'!B:Q,15,FALSE))),"")</f>
        <v/>
      </c>
      <c r="L938" s="10" t="str">
        <f>IFERROR((IF(VLOOKUP(A938,'ECN-ECO_DATA'!B:Q,16,FALSE)="","",VLOOKUP(A938,'ECN-ECO_DATA'!B:Q,16,FALSE))),"")</f>
        <v/>
      </c>
      <c r="M938" s="9" t="str">
        <f>IFERROR((IF(VLOOKUP(A938,'ECN-ECO_DATA'!B:V,18,FALSE)=0/1/1900,"",VLOOKUP(A938,'ECN-ECO_DATA'!B:V,18,FALSE))),"")</f>
        <v/>
      </c>
      <c r="N938" s="9" t="str">
        <f>IFERROR((IF(VLOOKUP(A938,'ECN-ECO_DATA'!B:V,19,FALSE)=0/1/1900,"",VLOOKUP(A938,'ECN-ECO_DATA'!B:V,19,FALSE))),"")</f>
        <v/>
      </c>
      <c r="O938" s="9" t="str">
        <f>IFERROR((IF(VLOOKUP(A938,'ECN-ECO_DATA'!B:V,20,FALSE)=0/1/1900,"",VLOOKUP(A938,'ECN-ECO_DATA'!B:V,20,FALSE))),"")</f>
        <v/>
      </c>
      <c r="P938" s="9" t="str">
        <f>IFERROR((IF(VLOOKUP(A938,'ECN-ECO_DATA'!B:V,21,FALSE)=0/1/1900,"",VLOOKUP(A938,'ECN-ECO_DATA'!B:V,21,FALSE))),"")</f>
        <v/>
      </c>
      <c r="Q938" s="10" t="str">
        <f t="shared" ca="1" si="70"/>
        <v/>
      </c>
      <c r="R938" s="4" t="str">
        <f t="shared" si="71"/>
        <v/>
      </c>
      <c r="S938" s="4" t="str">
        <f t="shared" si="72"/>
        <v/>
      </c>
      <c r="T938" s="4" t="str">
        <f t="shared" si="73"/>
        <v/>
      </c>
      <c r="U938" s="10" t="str">
        <f t="shared" si="74"/>
        <v/>
      </c>
      <c r="V938" s="4"/>
    </row>
    <row r="939" spans="2:22" x14ac:dyDescent="0.25">
      <c r="B939" s="4" t="str">
        <f>IFERROR(VLOOKUP(A939,'ECN-ECO_DATA'!B:G,4,FALSE),"")</f>
        <v/>
      </c>
      <c r="C939" s="9" t="str">
        <f>IFERROR(VLOOKUP(A939,'ECN-ECO_DATA'!B:G,5,FALSE),"")</f>
        <v/>
      </c>
      <c r="D939" s="9" t="str">
        <f ca="1">IFERROR((IF(VLOOKUP(A939,'ECN-ECO_DATA'!B:G,6,FALSE)=0/1/1900,TODAY(),VLOOKUP(A939,'ECN-ECO_DATA'!B:G,6,FALSE))),"")</f>
        <v/>
      </c>
      <c r="E939" s="9" t="str">
        <f>IFERROR((IF(VLOOKUP(A939,'ECN-ECO_DATA'!B:G,6,FALSE)=0/1/1900,"",VLOOKUP(A939,'ECN-ECO_DATA'!B:G,6,FALSE))),"")</f>
        <v/>
      </c>
      <c r="F939" s="9" t="str">
        <f>IFERROR((IF(VLOOKUP(A939,'ECN-ECO_DATA'!B:J,7,FALSE)=0/1/1900,"",VLOOKUP(A939,'ECN-ECO_DATA'!B:J,7,FALSE))),"")</f>
        <v/>
      </c>
      <c r="G939" s="9" t="str">
        <f>IFERROR((IF(VLOOKUP(A939,'ECN-ECO_DATA'!B:J,8,FALSE)=0/1/1900,"",VLOOKUP(A939,'ECN-ECO_DATA'!B:J,8,FALSE))),"")</f>
        <v/>
      </c>
      <c r="H939" s="9" t="str">
        <f>IFERROR((IF(VLOOKUP(A939,'ECN-ECO_DATA'!B:J,9,FALSE)=0/1/1900,"",VLOOKUP(A939,'ECN-ECO_DATA'!B:J,9,FALSE))),"")</f>
        <v/>
      </c>
      <c r="I939" s="10" t="str">
        <f>IFERROR((IF(VLOOKUP(A939,'ECN-ECO_DATA'!B:Q,13,FALSE)="","",VLOOKUP(A939,'ECN-ECO_DATA'!B:Q,13,FALSE))),"")</f>
        <v/>
      </c>
      <c r="J939" s="10" t="str">
        <f>IFERROR((IF(VLOOKUP(A939,'ECN-ECO_DATA'!B:Q,14,FALSE)="","",VLOOKUP(A939,'ECN-ECO_DATA'!B:Q,14,FALSE))),"")</f>
        <v/>
      </c>
      <c r="K939" s="10" t="str">
        <f>IFERROR((IF(VLOOKUP(A939,'ECN-ECO_DATA'!B:Q,15,FALSE)="","",VLOOKUP(A939,'ECN-ECO_DATA'!B:Q,15,FALSE))),"")</f>
        <v/>
      </c>
      <c r="L939" s="10" t="str">
        <f>IFERROR((IF(VLOOKUP(A939,'ECN-ECO_DATA'!B:Q,16,FALSE)="","",VLOOKUP(A939,'ECN-ECO_DATA'!B:Q,16,FALSE))),"")</f>
        <v/>
      </c>
      <c r="M939" s="9" t="str">
        <f>IFERROR((IF(VLOOKUP(A939,'ECN-ECO_DATA'!B:V,18,FALSE)=0/1/1900,"",VLOOKUP(A939,'ECN-ECO_DATA'!B:V,18,FALSE))),"")</f>
        <v/>
      </c>
      <c r="N939" s="9" t="str">
        <f>IFERROR((IF(VLOOKUP(A939,'ECN-ECO_DATA'!B:V,19,FALSE)=0/1/1900,"",VLOOKUP(A939,'ECN-ECO_DATA'!B:V,19,FALSE))),"")</f>
        <v/>
      </c>
      <c r="O939" s="9" t="str">
        <f>IFERROR((IF(VLOOKUP(A939,'ECN-ECO_DATA'!B:V,20,FALSE)=0/1/1900,"",VLOOKUP(A939,'ECN-ECO_DATA'!B:V,20,FALSE))),"")</f>
        <v/>
      </c>
      <c r="P939" s="9" t="str">
        <f>IFERROR((IF(VLOOKUP(A939,'ECN-ECO_DATA'!B:V,21,FALSE)=0/1/1900,"",VLOOKUP(A939,'ECN-ECO_DATA'!B:V,21,FALSE))),"")</f>
        <v/>
      </c>
      <c r="Q939" s="10" t="str">
        <f t="shared" ca="1" si="70"/>
        <v/>
      </c>
      <c r="R939" s="4" t="str">
        <f t="shared" si="71"/>
        <v/>
      </c>
      <c r="S939" s="4" t="str">
        <f t="shared" si="72"/>
        <v/>
      </c>
      <c r="T939" s="4" t="str">
        <f t="shared" si="73"/>
        <v/>
      </c>
      <c r="U939" s="10" t="str">
        <f t="shared" si="74"/>
        <v/>
      </c>
      <c r="V939" s="4"/>
    </row>
    <row r="940" spans="2:22" x14ac:dyDescent="0.25">
      <c r="B940" s="4" t="str">
        <f>IFERROR(VLOOKUP(A940,'ECN-ECO_DATA'!B:G,4,FALSE),"")</f>
        <v/>
      </c>
      <c r="C940" s="9" t="str">
        <f>IFERROR(VLOOKUP(A940,'ECN-ECO_DATA'!B:G,5,FALSE),"")</f>
        <v/>
      </c>
      <c r="D940" s="9" t="str">
        <f ca="1">IFERROR((IF(VLOOKUP(A940,'ECN-ECO_DATA'!B:G,6,FALSE)=0/1/1900,TODAY(),VLOOKUP(A940,'ECN-ECO_DATA'!B:G,6,FALSE))),"")</f>
        <v/>
      </c>
      <c r="E940" s="9" t="str">
        <f>IFERROR((IF(VLOOKUP(A940,'ECN-ECO_DATA'!B:G,6,FALSE)=0/1/1900,"",VLOOKUP(A940,'ECN-ECO_DATA'!B:G,6,FALSE))),"")</f>
        <v/>
      </c>
      <c r="F940" s="9" t="str">
        <f>IFERROR((IF(VLOOKUP(A940,'ECN-ECO_DATA'!B:J,7,FALSE)=0/1/1900,"",VLOOKUP(A940,'ECN-ECO_DATA'!B:J,7,FALSE))),"")</f>
        <v/>
      </c>
      <c r="G940" s="9" t="str">
        <f>IFERROR((IF(VLOOKUP(A940,'ECN-ECO_DATA'!B:J,8,FALSE)=0/1/1900,"",VLOOKUP(A940,'ECN-ECO_DATA'!B:J,8,FALSE))),"")</f>
        <v/>
      </c>
      <c r="H940" s="9" t="str">
        <f>IFERROR((IF(VLOOKUP(A940,'ECN-ECO_DATA'!B:J,9,FALSE)=0/1/1900,"",VLOOKUP(A940,'ECN-ECO_DATA'!B:J,9,FALSE))),"")</f>
        <v/>
      </c>
      <c r="I940" s="10" t="str">
        <f>IFERROR((IF(VLOOKUP(A940,'ECN-ECO_DATA'!B:Q,13,FALSE)="","",VLOOKUP(A940,'ECN-ECO_DATA'!B:Q,13,FALSE))),"")</f>
        <v/>
      </c>
      <c r="J940" s="10" t="str">
        <f>IFERROR((IF(VLOOKUP(A940,'ECN-ECO_DATA'!B:Q,14,FALSE)="","",VLOOKUP(A940,'ECN-ECO_DATA'!B:Q,14,FALSE))),"")</f>
        <v/>
      </c>
      <c r="K940" s="10" t="str">
        <f>IFERROR((IF(VLOOKUP(A940,'ECN-ECO_DATA'!B:Q,15,FALSE)="","",VLOOKUP(A940,'ECN-ECO_DATA'!B:Q,15,FALSE))),"")</f>
        <v/>
      </c>
      <c r="L940" s="10" t="str">
        <f>IFERROR((IF(VLOOKUP(A940,'ECN-ECO_DATA'!B:Q,16,FALSE)="","",VLOOKUP(A940,'ECN-ECO_DATA'!B:Q,16,FALSE))),"")</f>
        <v/>
      </c>
      <c r="M940" s="9" t="str">
        <f>IFERROR((IF(VLOOKUP(A940,'ECN-ECO_DATA'!B:V,18,FALSE)=0/1/1900,"",VLOOKUP(A940,'ECN-ECO_DATA'!B:V,18,FALSE))),"")</f>
        <v/>
      </c>
      <c r="N940" s="9" t="str">
        <f>IFERROR((IF(VLOOKUP(A940,'ECN-ECO_DATA'!B:V,19,FALSE)=0/1/1900,"",VLOOKUP(A940,'ECN-ECO_DATA'!B:V,19,FALSE))),"")</f>
        <v/>
      </c>
      <c r="O940" s="9" t="str">
        <f>IFERROR((IF(VLOOKUP(A940,'ECN-ECO_DATA'!B:V,20,FALSE)=0/1/1900,"",VLOOKUP(A940,'ECN-ECO_DATA'!B:V,20,FALSE))),"")</f>
        <v/>
      </c>
      <c r="P940" s="9" t="str">
        <f>IFERROR((IF(VLOOKUP(A940,'ECN-ECO_DATA'!B:V,21,FALSE)=0/1/1900,"",VLOOKUP(A940,'ECN-ECO_DATA'!B:V,21,FALSE))),"")</f>
        <v/>
      </c>
      <c r="Q940" s="10" t="str">
        <f t="shared" ca="1" si="70"/>
        <v/>
      </c>
      <c r="R940" s="4" t="str">
        <f t="shared" si="71"/>
        <v/>
      </c>
      <c r="S940" s="4" t="str">
        <f t="shared" si="72"/>
        <v/>
      </c>
      <c r="T940" s="4" t="str">
        <f t="shared" si="73"/>
        <v/>
      </c>
      <c r="U940" s="10" t="str">
        <f t="shared" si="74"/>
        <v/>
      </c>
      <c r="V940" s="4"/>
    </row>
    <row r="941" spans="2:22" x14ac:dyDescent="0.25">
      <c r="B941" s="4" t="str">
        <f>IFERROR(VLOOKUP(A941,'ECN-ECO_DATA'!B:G,4,FALSE),"")</f>
        <v/>
      </c>
      <c r="C941" s="9" t="str">
        <f>IFERROR(VLOOKUP(A941,'ECN-ECO_DATA'!B:G,5,FALSE),"")</f>
        <v/>
      </c>
      <c r="D941" s="9" t="str">
        <f ca="1">IFERROR((IF(VLOOKUP(A941,'ECN-ECO_DATA'!B:G,6,FALSE)=0/1/1900,TODAY(),VLOOKUP(A941,'ECN-ECO_DATA'!B:G,6,FALSE))),"")</f>
        <v/>
      </c>
      <c r="E941" s="9" t="str">
        <f>IFERROR((IF(VLOOKUP(A941,'ECN-ECO_DATA'!B:G,6,FALSE)=0/1/1900,"",VLOOKUP(A941,'ECN-ECO_DATA'!B:G,6,FALSE))),"")</f>
        <v/>
      </c>
      <c r="F941" s="9" t="str">
        <f>IFERROR((IF(VLOOKUP(A941,'ECN-ECO_DATA'!B:J,7,FALSE)=0/1/1900,"",VLOOKUP(A941,'ECN-ECO_DATA'!B:J,7,FALSE))),"")</f>
        <v/>
      </c>
      <c r="G941" s="9" t="str">
        <f>IFERROR((IF(VLOOKUP(A941,'ECN-ECO_DATA'!B:J,8,FALSE)=0/1/1900,"",VLOOKUP(A941,'ECN-ECO_DATA'!B:J,8,FALSE))),"")</f>
        <v/>
      </c>
      <c r="H941" s="9" t="str">
        <f>IFERROR((IF(VLOOKUP(A941,'ECN-ECO_DATA'!B:J,9,FALSE)=0/1/1900,"",VLOOKUP(A941,'ECN-ECO_DATA'!B:J,9,FALSE))),"")</f>
        <v/>
      </c>
      <c r="I941" s="10" t="str">
        <f>IFERROR((IF(VLOOKUP(A941,'ECN-ECO_DATA'!B:Q,13,FALSE)="","",VLOOKUP(A941,'ECN-ECO_DATA'!B:Q,13,FALSE))),"")</f>
        <v/>
      </c>
      <c r="J941" s="10" t="str">
        <f>IFERROR((IF(VLOOKUP(A941,'ECN-ECO_DATA'!B:Q,14,FALSE)="","",VLOOKUP(A941,'ECN-ECO_DATA'!B:Q,14,FALSE))),"")</f>
        <v/>
      </c>
      <c r="K941" s="10" t="str">
        <f>IFERROR((IF(VLOOKUP(A941,'ECN-ECO_DATA'!B:Q,15,FALSE)="","",VLOOKUP(A941,'ECN-ECO_DATA'!B:Q,15,FALSE))),"")</f>
        <v/>
      </c>
      <c r="L941" s="10" t="str">
        <f>IFERROR((IF(VLOOKUP(A941,'ECN-ECO_DATA'!B:Q,16,FALSE)="","",VLOOKUP(A941,'ECN-ECO_DATA'!B:Q,16,FALSE))),"")</f>
        <v/>
      </c>
      <c r="M941" s="9" t="str">
        <f>IFERROR((IF(VLOOKUP(A941,'ECN-ECO_DATA'!B:V,18,FALSE)=0/1/1900,"",VLOOKUP(A941,'ECN-ECO_DATA'!B:V,18,FALSE))),"")</f>
        <v/>
      </c>
      <c r="N941" s="9" t="str">
        <f>IFERROR((IF(VLOOKUP(A941,'ECN-ECO_DATA'!B:V,19,FALSE)=0/1/1900,"",VLOOKUP(A941,'ECN-ECO_DATA'!B:V,19,FALSE))),"")</f>
        <v/>
      </c>
      <c r="O941" s="9" t="str">
        <f>IFERROR((IF(VLOOKUP(A941,'ECN-ECO_DATA'!B:V,20,FALSE)=0/1/1900,"",VLOOKUP(A941,'ECN-ECO_DATA'!B:V,20,FALSE))),"")</f>
        <v/>
      </c>
      <c r="P941" s="9" t="str">
        <f>IFERROR((IF(VLOOKUP(A941,'ECN-ECO_DATA'!B:V,21,FALSE)=0/1/1900,"",VLOOKUP(A941,'ECN-ECO_DATA'!B:V,21,FALSE))),"")</f>
        <v/>
      </c>
      <c r="Q941" s="10" t="str">
        <f t="shared" ca="1" si="70"/>
        <v/>
      </c>
      <c r="R941" s="4" t="str">
        <f t="shared" si="71"/>
        <v/>
      </c>
      <c r="S941" s="4" t="str">
        <f t="shared" si="72"/>
        <v/>
      </c>
      <c r="T941" s="4" t="str">
        <f t="shared" si="73"/>
        <v/>
      </c>
      <c r="U941" s="10" t="str">
        <f t="shared" si="74"/>
        <v/>
      </c>
      <c r="V941" s="4"/>
    </row>
    <row r="942" spans="2:22" x14ac:dyDescent="0.25">
      <c r="B942" s="4" t="str">
        <f>IFERROR(VLOOKUP(A942,'ECN-ECO_DATA'!B:G,4,FALSE),"")</f>
        <v/>
      </c>
      <c r="C942" s="9" t="str">
        <f>IFERROR(VLOOKUP(A942,'ECN-ECO_DATA'!B:G,5,FALSE),"")</f>
        <v/>
      </c>
      <c r="D942" s="9" t="str">
        <f ca="1">IFERROR((IF(VLOOKUP(A942,'ECN-ECO_DATA'!B:G,6,FALSE)=0/1/1900,TODAY(),VLOOKUP(A942,'ECN-ECO_DATA'!B:G,6,FALSE))),"")</f>
        <v/>
      </c>
      <c r="E942" s="9" t="str">
        <f>IFERROR((IF(VLOOKUP(A942,'ECN-ECO_DATA'!B:G,6,FALSE)=0/1/1900,"",VLOOKUP(A942,'ECN-ECO_DATA'!B:G,6,FALSE))),"")</f>
        <v/>
      </c>
      <c r="F942" s="9" t="str">
        <f>IFERROR((IF(VLOOKUP(A942,'ECN-ECO_DATA'!B:J,7,FALSE)=0/1/1900,"",VLOOKUP(A942,'ECN-ECO_DATA'!B:J,7,FALSE))),"")</f>
        <v/>
      </c>
      <c r="G942" s="9" t="str">
        <f>IFERROR((IF(VLOOKUP(A942,'ECN-ECO_DATA'!B:J,8,FALSE)=0/1/1900,"",VLOOKUP(A942,'ECN-ECO_DATA'!B:J,8,FALSE))),"")</f>
        <v/>
      </c>
      <c r="H942" s="9" t="str">
        <f>IFERROR((IF(VLOOKUP(A942,'ECN-ECO_DATA'!B:J,9,FALSE)=0/1/1900,"",VLOOKUP(A942,'ECN-ECO_DATA'!B:J,9,FALSE))),"")</f>
        <v/>
      </c>
      <c r="I942" s="10" t="str">
        <f>IFERROR((IF(VLOOKUP(A942,'ECN-ECO_DATA'!B:Q,13,FALSE)="","",VLOOKUP(A942,'ECN-ECO_DATA'!B:Q,13,FALSE))),"")</f>
        <v/>
      </c>
      <c r="J942" s="10" t="str">
        <f>IFERROR((IF(VLOOKUP(A942,'ECN-ECO_DATA'!B:Q,14,FALSE)="","",VLOOKUP(A942,'ECN-ECO_DATA'!B:Q,14,FALSE))),"")</f>
        <v/>
      </c>
      <c r="K942" s="10" t="str">
        <f>IFERROR((IF(VLOOKUP(A942,'ECN-ECO_DATA'!B:Q,15,FALSE)="","",VLOOKUP(A942,'ECN-ECO_DATA'!B:Q,15,FALSE))),"")</f>
        <v/>
      </c>
      <c r="L942" s="10" t="str">
        <f>IFERROR((IF(VLOOKUP(A942,'ECN-ECO_DATA'!B:Q,16,FALSE)="","",VLOOKUP(A942,'ECN-ECO_DATA'!B:Q,16,FALSE))),"")</f>
        <v/>
      </c>
      <c r="M942" s="9" t="str">
        <f>IFERROR((IF(VLOOKUP(A942,'ECN-ECO_DATA'!B:V,18,FALSE)=0/1/1900,"",VLOOKUP(A942,'ECN-ECO_DATA'!B:V,18,FALSE))),"")</f>
        <v/>
      </c>
      <c r="N942" s="9" t="str">
        <f>IFERROR((IF(VLOOKUP(A942,'ECN-ECO_DATA'!B:V,19,FALSE)=0/1/1900,"",VLOOKUP(A942,'ECN-ECO_DATA'!B:V,19,FALSE))),"")</f>
        <v/>
      </c>
      <c r="O942" s="9" t="str">
        <f>IFERROR((IF(VLOOKUP(A942,'ECN-ECO_DATA'!B:V,20,FALSE)=0/1/1900,"",VLOOKUP(A942,'ECN-ECO_DATA'!B:V,20,FALSE))),"")</f>
        <v/>
      </c>
      <c r="P942" s="9" t="str">
        <f>IFERROR((IF(VLOOKUP(A942,'ECN-ECO_DATA'!B:V,21,FALSE)=0/1/1900,"",VLOOKUP(A942,'ECN-ECO_DATA'!B:V,21,FALSE))),"")</f>
        <v/>
      </c>
      <c r="Q942" s="10" t="str">
        <f t="shared" ca="1" si="70"/>
        <v/>
      </c>
      <c r="R942" s="4" t="str">
        <f t="shared" si="71"/>
        <v/>
      </c>
      <c r="S942" s="4" t="str">
        <f t="shared" si="72"/>
        <v/>
      </c>
      <c r="T942" s="4" t="str">
        <f t="shared" si="73"/>
        <v/>
      </c>
      <c r="U942" s="10" t="str">
        <f t="shared" si="74"/>
        <v/>
      </c>
      <c r="V942" s="4"/>
    </row>
    <row r="943" spans="2:22" x14ac:dyDescent="0.25">
      <c r="B943" s="4" t="str">
        <f>IFERROR(VLOOKUP(A943,'ECN-ECO_DATA'!B:G,4,FALSE),"")</f>
        <v/>
      </c>
      <c r="C943" s="9" t="str">
        <f>IFERROR(VLOOKUP(A943,'ECN-ECO_DATA'!B:G,5,FALSE),"")</f>
        <v/>
      </c>
      <c r="D943" s="9" t="str">
        <f ca="1">IFERROR((IF(VLOOKUP(A943,'ECN-ECO_DATA'!B:G,6,FALSE)=0/1/1900,TODAY(),VLOOKUP(A943,'ECN-ECO_DATA'!B:G,6,FALSE))),"")</f>
        <v/>
      </c>
      <c r="E943" s="9" t="str">
        <f>IFERROR((IF(VLOOKUP(A943,'ECN-ECO_DATA'!B:G,6,FALSE)=0/1/1900,"",VLOOKUP(A943,'ECN-ECO_DATA'!B:G,6,FALSE))),"")</f>
        <v/>
      </c>
      <c r="F943" s="9" t="str">
        <f>IFERROR((IF(VLOOKUP(A943,'ECN-ECO_DATA'!B:J,7,FALSE)=0/1/1900,"",VLOOKUP(A943,'ECN-ECO_DATA'!B:J,7,FALSE))),"")</f>
        <v/>
      </c>
      <c r="G943" s="9" t="str">
        <f>IFERROR((IF(VLOOKUP(A943,'ECN-ECO_DATA'!B:J,8,FALSE)=0/1/1900,"",VLOOKUP(A943,'ECN-ECO_DATA'!B:J,8,FALSE))),"")</f>
        <v/>
      </c>
      <c r="H943" s="9" t="str">
        <f>IFERROR((IF(VLOOKUP(A943,'ECN-ECO_DATA'!B:J,9,FALSE)=0/1/1900,"",VLOOKUP(A943,'ECN-ECO_DATA'!B:J,9,FALSE))),"")</f>
        <v/>
      </c>
      <c r="I943" s="10" t="str">
        <f>IFERROR((IF(VLOOKUP(A943,'ECN-ECO_DATA'!B:Q,13,FALSE)="","",VLOOKUP(A943,'ECN-ECO_DATA'!B:Q,13,FALSE))),"")</f>
        <v/>
      </c>
      <c r="J943" s="10" t="str">
        <f>IFERROR((IF(VLOOKUP(A943,'ECN-ECO_DATA'!B:Q,14,FALSE)="","",VLOOKUP(A943,'ECN-ECO_DATA'!B:Q,14,FALSE))),"")</f>
        <v/>
      </c>
      <c r="K943" s="10" t="str">
        <f>IFERROR((IF(VLOOKUP(A943,'ECN-ECO_DATA'!B:Q,15,FALSE)="","",VLOOKUP(A943,'ECN-ECO_DATA'!B:Q,15,FALSE))),"")</f>
        <v/>
      </c>
      <c r="L943" s="10" t="str">
        <f>IFERROR((IF(VLOOKUP(A943,'ECN-ECO_DATA'!B:Q,16,FALSE)="","",VLOOKUP(A943,'ECN-ECO_DATA'!B:Q,16,FALSE))),"")</f>
        <v/>
      </c>
      <c r="M943" s="9" t="str">
        <f>IFERROR((IF(VLOOKUP(A943,'ECN-ECO_DATA'!B:V,18,FALSE)=0/1/1900,"",VLOOKUP(A943,'ECN-ECO_DATA'!B:V,18,FALSE))),"")</f>
        <v/>
      </c>
      <c r="N943" s="9" t="str">
        <f>IFERROR((IF(VLOOKUP(A943,'ECN-ECO_DATA'!B:V,19,FALSE)=0/1/1900,"",VLOOKUP(A943,'ECN-ECO_DATA'!B:V,19,FALSE))),"")</f>
        <v/>
      </c>
      <c r="O943" s="9" t="str">
        <f>IFERROR((IF(VLOOKUP(A943,'ECN-ECO_DATA'!B:V,20,FALSE)=0/1/1900,"",VLOOKUP(A943,'ECN-ECO_DATA'!B:V,20,FALSE))),"")</f>
        <v/>
      </c>
      <c r="P943" s="9" t="str">
        <f>IFERROR((IF(VLOOKUP(A943,'ECN-ECO_DATA'!B:V,21,FALSE)=0/1/1900,"",VLOOKUP(A943,'ECN-ECO_DATA'!B:V,21,FALSE))),"")</f>
        <v/>
      </c>
      <c r="Q943" s="10" t="str">
        <f t="shared" ca="1" si="70"/>
        <v/>
      </c>
      <c r="R943" s="4" t="str">
        <f t="shared" si="71"/>
        <v/>
      </c>
      <c r="S943" s="4" t="str">
        <f t="shared" si="72"/>
        <v/>
      </c>
      <c r="T943" s="4" t="str">
        <f t="shared" si="73"/>
        <v/>
      </c>
      <c r="U943" s="10" t="str">
        <f t="shared" si="74"/>
        <v/>
      </c>
      <c r="V943" s="4"/>
    </row>
    <row r="944" spans="2:22" x14ac:dyDescent="0.25">
      <c r="B944" s="4" t="str">
        <f>IFERROR(VLOOKUP(A944,'ECN-ECO_DATA'!B:G,4,FALSE),"")</f>
        <v/>
      </c>
      <c r="C944" s="9" t="str">
        <f>IFERROR(VLOOKUP(A944,'ECN-ECO_DATA'!B:G,5,FALSE),"")</f>
        <v/>
      </c>
      <c r="D944" s="9" t="str">
        <f ca="1">IFERROR((IF(VLOOKUP(A944,'ECN-ECO_DATA'!B:G,6,FALSE)=0/1/1900,TODAY(),VLOOKUP(A944,'ECN-ECO_DATA'!B:G,6,FALSE))),"")</f>
        <v/>
      </c>
      <c r="E944" s="9" t="str">
        <f>IFERROR((IF(VLOOKUP(A944,'ECN-ECO_DATA'!B:G,6,FALSE)=0/1/1900,"",VLOOKUP(A944,'ECN-ECO_DATA'!B:G,6,FALSE))),"")</f>
        <v/>
      </c>
      <c r="F944" s="9" t="str">
        <f>IFERROR((IF(VLOOKUP(A944,'ECN-ECO_DATA'!B:J,7,FALSE)=0/1/1900,"",VLOOKUP(A944,'ECN-ECO_DATA'!B:J,7,FALSE))),"")</f>
        <v/>
      </c>
      <c r="G944" s="9" t="str">
        <f>IFERROR((IF(VLOOKUP(A944,'ECN-ECO_DATA'!B:J,8,FALSE)=0/1/1900,"",VLOOKUP(A944,'ECN-ECO_DATA'!B:J,8,FALSE))),"")</f>
        <v/>
      </c>
      <c r="H944" s="9" t="str">
        <f>IFERROR((IF(VLOOKUP(A944,'ECN-ECO_DATA'!B:J,9,FALSE)=0/1/1900,"",VLOOKUP(A944,'ECN-ECO_DATA'!B:J,9,FALSE))),"")</f>
        <v/>
      </c>
      <c r="I944" s="10" t="str">
        <f>IFERROR((IF(VLOOKUP(A944,'ECN-ECO_DATA'!B:Q,13,FALSE)="","",VLOOKUP(A944,'ECN-ECO_DATA'!B:Q,13,FALSE))),"")</f>
        <v/>
      </c>
      <c r="J944" s="10" t="str">
        <f>IFERROR((IF(VLOOKUP(A944,'ECN-ECO_DATA'!B:Q,14,FALSE)="","",VLOOKUP(A944,'ECN-ECO_DATA'!B:Q,14,FALSE))),"")</f>
        <v/>
      </c>
      <c r="K944" s="10" t="str">
        <f>IFERROR((IF(VLOOKUP(A944,'ECN-ECO_DATA'!B:Q,15,FALSE)="","",VLOOKUP(A944,'ECN-ECO_DATA'!B:Q,15,FALSE))),"")</f>
        <v/>
      </c>
      <c r="L944" s="10" t="str">
        <f>IFERROR((IF(VLOOKUP(A944,'ECN-ECO_DATA'!B:Q,16,FALSE)="","",VLOOKUP(A944,'ECN-ECO_DATA'!B:Q,16,FALSE))),"")</f>
        <v/>
      </c>
      <c r="M944" s="9" t="str">
        <f>IFERROR((IF(VLOOKUP(A944,'ECN-ECO_DATA'!B:V,18,FALSE)=0/1/1900,"",VLOOKUP(A944,'ECN-ECO_DATA'!B:V,18,FALSE))),"")</f>
        <v/>
      </c>
      <c r="N944" s="9" t="str">
        <f>IFERROR((IF(VLOOKUP(A944,'ECN-ECO_DATA'!B:V,19,FALSE)=0/1/1900,"",VLOOKUP(A944,'ECN-ECO_DATA'!B:V,19,FALSE))),"")</f>
        <v/>
      </c>
      <c r="O944" s="9" t="str">
        <f>IFERROR((IF(VLOOKUP(A944,'ECN-ECO_DATA'!B:V,20,FALSE)=0/1/1900,"",VLOOKUP(A944,'ECN-ECO_DATA'!B:V,20,FALSE))),"")</f>
        <v/>
      </c>
      <c r="P944" s="9" t="str">
        <f>IFERROR((IF(VLOOKUP(A944,'ECN-ECO_DATA'!B:V,21,FALSE)=0/1/1900,"",VLOOKUP(A944,'ECN-ECO_DATA'!B:V,21,FALSE))),"")</f>
        <v/>
      </c>
      <c r="Q944" s="10" t="str">
        <f t="shared" ca="1" si="70"/>
        <v/>
      </c>
      <c r="R944" s="4" t="str">
        <f t="shared" si="71"/>
        <v/>
      </c>
      <c r="S944" s="4" t="str">
        <f t="shared" si="72"/>
        <v/>
      </c>
      <c r="T944" s="4" t="str">
        <f t="shared" si="73"/>
        <v/>
      </c>
      <c r="U944" s="10" t="str">
        <f t="shared" si="74"/>
        <v/>
      </c>
      <c r="V944" s="4"/>
    </row>
    <row r="945" spans="2:22" x14ac:dyDescent="0.25">
      <c r="B945" s="4" t="str">
        <f>IFERROR(VLOOKUP(A945,'ECN-ECO_DATA'!B:G,4,FALSE),"")</f>
        <v/>
      </c>
      <c r="C945" s="9" t="str">
        <f>IFERROR(VLOOKUP(A945,'ECN-ECO_DATA'!B:G,5,FALSE),"")</f>
        <v/>
      </c>
      <c r="D945" s="9" t="str">
        <f ca="1">IFERROR((IF(VLOOKUP(A945,'ECN-ECO_DATA'!B:G,6,FALSE)=0/1/1900,TODAY(),VLOOKUP(A945,'ECN-ECO_DATA'!B:G,6,FALSE))),"")</f>
        <v/>
      </c>
      <c r="E945" s="9" t="str">
        <f>IFERROR((IF(VLOOKUP(A945,'ECN-ECO_DATA'!B:G,6,FALSE)=0/1/1900,"",VLOOKUP(A945,'ECN-ECO_DATA'!B:G,6,FALSE))),"")</f>
        <v/>
      </c>
      <c r="F945" s="9" t="str">
        <f>IFERROR((IF(VLOOKUP(A945,'ECN-ECO_DATA'!B:J,7,FALSE)=0/1/1900,"",VLOOKUP(A945,'ECN-ECO_DATA'!B:J,7,FALSE))),"")</f>
        <v/>
      </c>
      <c r="G945" s="9" t="str">
        <f>IFERROR((IF(VLOOKUP(A945,'ECN-ECO_DATA'!B:J,8,FALSE)=0/1/1900,"",VLOOKUP(A945,'ECN-ECO_DATA'!B:J,8,FALSE))),"")</f>
        <v/>
      </c>
      <c r="H945" s="9" t="str">
        <f>IFERROR((IF(VLOOKUP(A945,'ECN-ECO_DATA'!B:J,9,FALSE)=0/1/1900,"",VLOOKUP(A945,'ECN-ECO_DATA'!B:J,9,FALSE))),"")</f>
        <v/>
      </c>
      <c r="I945" s="10" t="str">
        <f>IFERROR((IF(VLOOKUP(A945,'ECN-ECO_DATA'!B:Q,13,FALSE)="","",VLOOKUP(A945,'ECN-ECO_DATA'!B:Q,13,FALSE))),"")</f>
        <v/>
      </c>
      <c r="J945" s="10" t="str">
        <f>IFERROR((IF(VLOOKUP(A945,'ECN-ECO_DATA'!B:Q,14,FALSE)="","",VLOOKUP(A945,'ECN-ECO_DATA'!B:Q,14,FALSE))),"")</f>
        <v/>
      </c>
      <c r="K945" s="10" t="str">
        <f>IFERROR((IF(VLOOKUP(A945,'ECN-ECO_DATA'!B:Q,15,FALSE)="","",VLOOKUP(A945,'ECN-ECO_DATA'!B:Q,15,FALSE))),"")</f>
        <v/>
      </c>
      <c r="L945" s="10" t="str">
        <f>IFERROR((IF(VLOOKUP(A945,'ECN-ECO_DATA'!B:Q,16,FALSE)="","",VLOOKUP(A945,'ECN-ECO_DATA'!B:Q,16,FALSE))),"")</f>
        <v/>
      </c>
      <c r="M945" s="9" t="str">
        <f>IFERROR((IF(VLOOKUP(A945,'ECN-ECO_DATA'!B:V,18,FALSE)=0/1/1900,"",VLOOKUP(A945,'ECN-ECO_DATA'!B:V,18,FALSE))),"")</f>
        <v/>
      </c>
      <c r="N945" s="9" t="str">
        <f>IFERROR((IF(VLOOKUP(A945,'ECN-ECO_DATA'!B:V,19,FALSE)=0/1/1900,"",VLOOKUP(A945,'ECN-ECO_DATA'!B:V,19,FALSE))),"")</f>
        <v/>
      </c>
      <c r="O945" s="9" t="str">
        <f>IFERROR((IF(VLOOKUP(A945,'ECN-ECO_DATA'!B:V,20,FALSE)=0/1/1900,"",VLOOKUP(A945,'ECN-ECO_DATA'!B:V,20,FALSE))),"")</f>
        <v/>
      </c>
      <c r="P945" s="9" t="str">
        <f>IFERROR((IF(VLOOKUP(A945,'ECN-ECO_DATA'!B:V,21,FALSE)=0/1/1900,"",VLOOKUP(A945,'ECN-ECO_DATA'!B:V,21,FALSE))),"")</f>
        <v/>
      </c>
      <c r="Q945" s="10" t="str">
        <f t="shared" ca="1" si="70"/>
        <v/>
      </c>
      <c r="R945" s="4" t="str">
        <f t="shared" si="71"/>
        <v/>
      </c>
      <c r="S945" s="4" t="str">
        <f t="shared" si="72"/>
        <v/>
      </c>
      <c r="T945" s="4" t="str">
        <f t="shared" si="73"/>
        <v/>
      </c>
      <c r="U945" s="10" t="str">
        <f t="shared" si="74"/>
        <v/>
      </c>
      <c r="V945" s="4"/>
    </row>
    <row r="946" spans="2:22" x14ac:dyDescent="0.25">
      <c r="B946" s="4" t="str">
        <f>IFERROR(VLOOKUP(A946,'ECN-ECO_DATA'!B:G,4,FALSE),"")</f>
        <v/>
      </c>
      <c r="C946" s="9" t="str">
        <f>IFERROR(VLOOKUP(A946,'ECN-ECO_DATA'!B:G,5,FALSE),"")</f>
        <v/>
      </c>
      <c r="D946" s="9" t="str">
        <f ca="1">IFERROR((IF(VLOOKUP(A946,'ECN-ECO_DATA'!B:G,6,FALSE)=0/1/1900,TODAY(),VLOOKUP(A946,'ECN-ECO_DATA'!B:G,6,FALSE))),"")</f>
        <v/>
      </c>
      <c r="E946" s="9" t="str">
        <f>IFERROR((IF(VLOOKUP(A946,'ECN-ECO_DATA'!B:G,6,FALSE)=0/1/1900,"",VLOOKUP(A946,'ECN-ECO_DATA'!B:G,6,FALSE))),"")</f>
        <v/>
      </c>
      <c r="F946" s="9" t="str">
        <f>IFERROR((IF(VLOOKUP(A946,'ECN-ECO_DATA'!B:J,7,FALSE)=0/1/1900,"",VLOOKUP(A946,'ECN-ECO_DATA'!B:J,7,FALSE))),"")</f>
        <v/>
      </c>
      <c r="G946" s="9" t="str">
        <f>IFERROR((IF(VLOOKUP(A946,'ECN-ECO_DATA'!B:J,8,FALSE)=0/1/1900,"",VLOOKUP(A946,'ECN-ECO_DATA'!B:J,8,FALSE))),"")</f>
        <v/>
      </c>
      <c r="H946" s="9" t="str">
        <f>IFERROR((IF(VLOOKUP(A946,'ECN-ECO_DATA'!B:J,9,FALSE)=0/1/1900,"",VLOOKUP(A946,'ECN-ECO_DATA'!B:J,9,FALSE))),"")</f>
        <v/>
      </c>
      <c r="I946" s="10" t="str">
        <f>IFERROR((IF(VLOOKUP(A946,'ECN-ECO_DATA'!B:Q,13,FALSE)="","",VLOOKUP(A946,'ECN-ECO_DATA'!B:Q,13,FALSE))),"")</f>
        <v/>
      </c>
      <c r="J946" s="10" t="str">
        <f>IFERROR((IF(VLOOKUP(A946,'ECN-ECO_DATA'!B:Q,14,FALSE)="","",VLOOKUP(A946,'ECN-ECO_DATA'!B:Q,14,FALSE))),"")</f>
        <v/>
      </c>
      <c r="K946" s="10" t="str">
        <f>IFERROR((IF(VLOOKUP(A946,'ECN-ECO_DATA'!B:Q,15,FALSE)="","",VLOOKUP(A946,'ECN-ECO_DATA'!B:Q,15,FALSE))),"")</f>
        <v/>
      </c>
      <c r="L946" s="10" t="str">
        <f>IFERROR((IF(VLOOKUP(A946,'ECN-ECO_DATA'!B:Q,16,FALSE)="","",VLOOKUP(A946,'ECN-ECO_DATA'!B:Q,16,FALSE))),"")</f>
        <v/>
      </c>
      <c r="M946" s="9" t="str">
        <f>IFERROR((IF(VLOOKUP(A946,'ECN-ECO_DATA'!B:V,18,FALSE)=0/1/1900,"",VLOOKUP(A946,'ECN-ECO_DATA'!B:V,18,FALSE))),"")</f>
        <v/>
      </c>
      <c r="N946" s="9" t="str">
        <f>IFERROR((IF(VLOOKUP(A946,'ECN-ECO_DATA'!B:V,19,FALSE)=0/1/1900,"",VLOOKUP(A946,'ECN-ECO_DATA'!B:V,19,FALSE))),"")</f>
        <v/>
      </c>
      <c r="O946" s="9" t="str">
        <f>IFERROR((IF(VLOOKUP(A946,'ECN-ECO_DATA'!B:V,20,FALSE)=0/1/1900,"",VLOOKUP(A946,'ECN-ECO_DATA'!B:V,20,FALSE))),"")</f>
        <v/>
      </c>
      <c r="P946" s="9" t="str">
        <f>IFERROR((IF(VLOOKUP(A946,'ECN-ECO_DATA'!B:V,21,FALSE)=0/1/1900,"",VLOOKUP(A946,'ECN-ECO_DATA'!B:V,21,FALSE))),"")</f>
        <v/>
      </c>
      <c r="Q946" s="10" t="str">
        <f t="shared" ca="1" si="70"/>
        <v/>
      </c>
      <c r="R946" s="4" t="str">
        <f t="shared" si="71"/>
        <v/>
      </c>
      <c r="S946" s="4" t="str">
        <f t="shared" si="72"/>
        <v/>
      </c>
      <c r="T946" s="4" t="str">
        <f t="shared" si="73"/>
        <v/>
      </c>
      <c r="U946" s="10" t="str">
        <f t="shared" si="74"/>
        <v/>
      </c>
      <c r="V946" s="4"/>
    </row>
    <row r="947" spans="2:22" x14ac:dyDescent="0.25">
      <c r="B947" s="4" t="str">
        <f>IFERROR(VLOOKUP(A947,'ECN-ECO_DATA'!B:G,4,FALSE),"")</f>
        <v/>
      </c>
      <c r="C947" s="9" t="str">
        <f>IFERROR(VLOOKUP(A947,'ECN-ECO_DATA'!B:G,5,FALSE),"")</f>
        <v/>
      </c>
      <c r="D947" s="9" t="str">
        <f ca="1">IFERROR((IF(VLOOKUP(A947,'ECN-ECO_DATA'!B:G,6,FALSE)=0/1/1900,TODAY(),VLOOKUP(A947,'ECN-ECO_DATA'!B:G,6,FALSE))),"")</f>
        <v/>
      </c>
      <c r="E947" s="9" t="str">
        <f>IFERROR((IF(VLOOKUP(A947,'ECN-ECO_DATA'!B:G,6,FALSE)=0/1/1900,"",VLOOKUP(A947,'ECN-ECO_DATA'!B:G,6,FALSE))),"")</f>
        <v/>
      </c>
      <c r="F947" s="9" t="str">
        <f>IFERROR((IF(VLOOKUP(A947,'ECN-ECO_DATA'!B:J,7,FALSE)=0/1/1900,"",VLOOKUP(A947,'ECN-ECO_DATA'!B:J,7,FALSE))),"")</f>
        <v/>
      </c>
      <c r="G947" s="9" t="str">
        <f>IFERROR((IF(VLOOKUP(A947,'ECN-ECO_DATA'!B:J,8,FALSE)=0/1/1900,"",VLOOKUP(A947,'ECN-ECO_DATA'!B:J,8,FALSE))),"")</f>
        <v/>
      </c>
      <c r="H947" s="9" t="str">
        <f>IFERROR((IF(VLOOKUP(A947,'ECN-ECO_DATA'!B:J,9,FALSE)=0/1/1900,"",VLOOKUP(A947,'ECN-ECO_DATA'!B:J,9,FALSE))),"")</f>
        <v/>
      </c>
      <c r="I947" s="10" t="str">
        <f>IFERROR((IF(VLOOKUP(A947,'ECN-ECO_DATA'!B:Q,13,FALSE)="","",VLOOKUP(A947,'ECN-ECO_DATA'!B:Q,13,FALSE))),"")</f>
        <v/>
      </c>
      <c r="J947" s="10" t="str">
        <f>IFERROR((IF(VLOOKUP(A947,'ECN-ECO_DATA'!B:Q,14,FALSE)="","",VLOOKUP(A947,'ECN-ECO_DATA'!B:Q,14,FALSE))),"")</f>
        <v/>
      </c>
      <c r="K947" s="10" t="str">
        <f>IFERROR((IF(VLOOKUP(A947,'ECN-ECO_DATA'!B:Q,15,FALSE)="","",VLOOKUP(A947,'ECN-ECO_DATA'!B:Q,15,FALSE))),"")</f>
        <v/>
      </c>
      <c r="L947" s="10" t="str">
        <f>IFERROR((IF(VLOOKUP(A947,'ECN-ECO_DATA'!B:Q,16,FALSE)="","",VLOOKUP(A947,'ECN-ECO_DATA'!B:Q,16,FALSE))),"")</f>
        <v/>
      </c>
      <c r="M947" s="9" t="str">
        <f>IFERROR((IF(VLOOKUP(A947,'ECN-ECO_DATA'!B:V,18,FALSE)=0/1/1900,"",VLOOKUP(A947,'ECN-ECO_DATA'!B:V,18,FALSE))),"")</f>
        <v/>
      </c>
      <c r="N947" s="9" t="str">
        <f>IFERROR((IF(VLOOKUP(A947,'ECN-ECO_DATA'!B:V,19,FALSE)=0/1/1900,"",VLOOKUP(A947,'ECN-ECO_DATA'!B:V,19,FALSE))),"")</f>
        <v/>
      </c>
      <c r="O947" s="9" t="str">
        <f>IFERROR((IF(VLOOKUP(A947,'ECN-ECO_DATA'!B:V,20,FALSE)=0/1/1900,"",VLOOKUP(A947,'ECN-ECO_DATA'!B:V,20,FALSE))),"")</f>
        <v/>
      </c>
      <c r="P947" s="9" t="str">
        <f>IFERROR((IF(VLOOKUP(A947,'ECN-ECO_DATA'!B:V,21,FALSE)=0/1/1900,"",VLOOKUP(A947,'ECN-ECO_DATA'!B:V,21,FALSE))),"")</f>
        <v/>
      </c>
      <c r="Q947" s="10" t="str">
        <f t="shared" ca="1" si="70"/>
        <v/>
      </c>
      <c r="R947" s="4" t="str">
        <f t="shared" si="71"/>
        <v/>
      </c>
      <c r="S947" s="4" t="str">
        <f t="shared" si="72"/>
        <v/>
      </c>
      <c r="T947" s="4" t="str">
        <f t="shared" si="73"/>
        <v/>
      </c>
      <c r="U947" s="10" t="str">
        <f t="shared" si="74"/>
        <v/>
      </c>
      <c r="V947" s="4"/>
    </row>
    <row r="948" spans="2:22" x14ac:dyDescent="0.25">
      <c r="B948" s="4" t="str">
        <f>IFERROR(VLOOKUP(A948,'ECN-ECO_DATA'!B:G,4,FALSE),"")</f>
        <v/>
      </c>
      <c r="C948" s="9" t="str">
        <f>IFERROR(VLOOKUP(A948,'ECN-ECO_DATA'!B:G,5,FALSE),"")</f>
        <v/>
      </c>
      <c r="D948" s="9" t="str">
        <f ca="1">IFERROR((IF(VLOOKUP(A948,'ECN-ECO_DATA'!B:G,6,FALSE)=0/1/1900,TODAY(),VLOOKUP(A948,'ECN-ECO_DATA'!B:G,6,FALSE))),"")</f>
        <v/>
      </c>
      <c r="E948" s="9" t="str">
        <f>IFERROR((IF(VLOOKUP(A948,'ECN-ECO_DATA'!B:G,6,FALSE)=0/1/1900,"",VLOOKUP(A948,'ECN-ECO_DATA'!B:G,6,FALSE))),"")</f>
        <v/>
      </c>
      <c r="F948" s="9" t="str">
        <f>IFERROR((IF(VLOOKUP(A948,'ECN-ECO_DATA'!B:J,7,FALSE)=0/1/1900,"",VLOOKUP(A948,'ECN-ECO_DATA'!B:J,7,FALSE))),"")</f>
        <v/>
      </c>
      <c r="G948" s="9" t="str">
        <f>IFERROR((IF(VLOOKUP(A948,'ECN-ECO_DATA'!B:J,8,FALSE)=0/1/1900,"",VLOOKUP(A948,'ECN-ECO_DATA'!B:J,8,FALSE))),"")</f>
        <v/>
      </c>
      <c r="H948" s="9" t="str">
        <f>IFERROR((IF(VLOOKUP(A948,'ECN-ECO_DATA'!B:J,9,FALSE)=0/1/1900,"",VLOOKUP(A948,'ECN-ECO_DATA'!B:J,9,FALSE))),"")</f>
        <v/>
      </c>
      <c r="I948" s="10" t="str">
        <f>IFERROR((IF(VLOOKUP(A948,'ECN-ECO_DATA'!B:Q,13,FALSE)="","",VLOOKUP(A948,'ECN-ECO_DATA'!B:Q,13,FALSE))),"")</f>
        <v/>
      </c>
      <c r="J948" s="10" t="str">
        <f>IFERROR((IF(VLOOKUP(A948,'ECN-ECO_DATA'!B:Q,14,FALSE)="","",VLOOKUP(A948,'ECN-ECO_DATA'!B:Q,14,FALSE))),"")</f>
        <v/>
      </c>
      <c r="K948" s="10" t="str">
        <f>IFERROR((IF(VLOOKUP(A948,'ECN-ECO_DATA'!B:Q,15,FALSE)="","",VLOOKUP(A948,'ECN-ECO_DATA'!B:Q,15,FALSE))),"")</f>
        <v/>
      </c>
      <c r="L948" s="10" t="str">
        <f>IFERROR((IF(VLOOKUP(A948,'ECN-ECO_DATA'!B:Q,16,FALSE)="","",VLOOKUP(A948,'ECN-ECO_DATA'!B:Q,16,FALSE))),"")</f>
        <v/>
      </c>
      <c r="M948" s="9" t="str">
        <f>IFERROR((IF(VLOOKUP(A948,'ECN-ECO_DATA'!B:V,18,FALSE)=0/1/1900,"",VLOOKUP(A948,'ECN-ECO_DATA'!B:V,18,FALSE))),"")</f>
        <v/>
      </c>
      <c r="N948" s="9" t="str">
        <f>IFERROR((IF(VLOOKUP(A948,'ECN-ECO_DATA'!B:V,19,FALSE)=0/1/1900,"",VLOOKUP(A948,'ECN-ECO_DATA'!B:V,19,FALSE))),"")</f>
        <v/>
      </c>
      <c r="O948" s="9" t="str">
        <f>IFERROR((IF(VLOOKUP(A948,'ECN-ECO_DATA'!B:V,20,FALSE)=0/1/1900,"",VLOOKUP(A948,'ECN-ECO_DATA'!B:V,20,FALSE))),"")</f>
        <v/>
      </c>
      <c r="P948" s="9" t="str">
        <f>IFERROR((IF(VLOOKUP(A948,'ECN-ECO_DATA'!B:V,21,FALSE)=0/1/1900,"",VLOOKUP(A948,'ECN-ECO_DATA'!B:V,21,FALSE))),"")</f>
        <v/>
      </c>
      <c r="Q948" s="10" t="str">
        <f t="shared" ca="1" si="70"/>
        <v/>
      </c>
      <c r="R948" s="4" t="str">
        <f t="shared" si="71"/>
        <v/>
      </c>
      <c r="S948" s="4" t="str">
        <f t="shared" si="72"/>
        <v/>
      </c>
      <c r="T948" s="4" t="str">
        <f t="shared" si="73"/>
        <v/>
      </c>
      <c r="U948" s="10" t="str">
        <f t="shared" si="74"/>
        <v/>
      </c>
      <c r="V948" s="4"/>
    </row>
    <row r="949" spans="2:22" x14ac:dyDescent="0.25">
      <c r="B949" s="4" t="str">
        <f>IFERROR(VLOOKUP(A949,'ECN-ECO_DATA'!B:G,4,FALSE),"")</f>
        <v/>
      </c>
      <c r="C949" s="9" t="str">
        <f>IFERROR(VLOOKUP(A949,'ECN-ECO_DATA'!B:G,5,FALSE),"")</f>
        <v/>
      </c>
      <c r="D949" s="9" t="str">
        <f ca="1">IFERROR((IF(VLOOKUP(A949,'ECN-ECO_DATA'!B:G,6,FALSE)=0/1/1900,TODAY(),VLOOKUP(A949,'ECN-ECO_DATA'!B:G,6,FALSE))),"")</f>
        <v/>
      </c>
      <c r="E949" s="9" t="str">
        <f>IFERROR((IF(VLOOKUP(A949,'ECN-ECO_DATA'!B:G,6,FALSE)=0/1/1900,"",VLOOKUP(A949,'ECN-ECO_DATA'!B:G,6,FALSE))),"")</f>
        <v/>
      </c>
      <c r="F949" s="9" t="str">
        <f>IFERROR((IF(VLOOKUP(A949,'ECN-ECO_DATA'!B:J,7,FALSE)=0/1/1900,"",VLOOKUP(A949,'ECN-ECO_DATA'!B:J,7,FALSE))),"")</f>
        <v/>
      </c>
      <c r="G949" s="9" t="str">
        <f>IFERROR((IF(VLOOKUP(A949,'ECN-ECO_DATA'!B:J,8,FALSE)=0/1/1900,"",VLOOKUP(A949,'ECN-ECO_DATA'!B:J,8,FALSE))),"")</f>
        <v/>
      </c>
      <c r="H949" s="9" t="str">
        <f>IFERROR((IF(VLOOKUP(A949,'ECN-ECO_DATA'!B:J,9,FALSE)=0/1/1900,"",VLOOKUP(A949,'ECN-ECO_DATA'!B:J,9,FALSE))),"")</f>
        <v/>
      </c>
      <c r="I949" s="10" t="str">
        <f>IFERROR((IF(VLOOKUP(A949,'ECN-ECO_DATA'!B:Q,13,FALSE)="","",VLOOKUP(A949,'ECN-ECO_DATA'!B:Q,13,FALSE))),"")</f>
        <v/>
      </c>
      <c r="J949" s="10" t="str">
        <f>IFERROR((IF(VLOOKUP(A949,'ECN-ECO_DATA'!B:Q,14,FALSE)="","",VLOOKUP(A949,'ECN-ECO_DATA'!B:Q,14,FALSE))),"")</f>
        <v/>
      </c>
      <c r="K949" s="10" t="str">
        <f>IFERROR((IF(VLOOKUP(A949,'ECN-ECO_DATA'!B:Q,15,FALSE)="","",VLOOKUP(A949,'ECN-ECO_DATA'!B:Q,15,FALSE))),"")</f>
        <v/>
      </c>
      <c r="L949" s="10" t="str">
        <f>IFERROR((IF(VLOOKUP(A949,'ECN-ECO_DATA'!B:Q,16,FALSE)="","",VLOOKUP(A949,'ECN-ECO_DATA'!B:Q,16,FALSE))),"")</f>
        <v/>
      </c>
      <c r="M949" s="9" t="str">
        <f>IFERROR((IF(VLOOKUP(A949,'ECN-ECO_DATA'!B:V,18,FALSE)=0/1/1900,"",VLOOKUP(A949,'ECN-ECO_DATA'!B:V,18,FALSE))),"")</f>
        <v/>
      </c>
      <c r="N949" s="9" t="str">
        <f>IFERROR((IF(VLOOKUP(A949,'ECN-ECO_DATA'!B:V,19,FALSE)=0/1/1900,"",VLOOKUP(A949,'ECN-ECO_DATA'!B:V,19,FALSE))),"")</f>
        <v/>
      </c>
      <c r="O949" s="9" t="str">
        <f>IFERROR((IF(VLOOKUP(A949,'ECN-ECO_DATA'!B:V,20,FALSE)=0/1/1900,"",VLOOKUP(A949,'ECN-ECO_DATA'!B:V,20,FALSE))),"")</f>
        <v/>
      </c>
      <c r="P949" s="9" t="str">
        <f>IFERROR((IF(VLOOKUP(A949,'ECN-ECO_DATA'!B:V,21,FALSE)=0/1/1900,"",VLOOKUP(A949,'ECN-ECO_DATA'!B:V,21,FALSE))),"")</f>
        <v/>
      </c>
      <c r="Q949" s="10" t="str">
        <f t="shared" ca="1" si="70"/>
        <v/>
      </c>
      <c r="R949" s="4" t="str">
        <f t="shared" si="71"/>
        <v/>
      </c>
      <c r="S949" s="4" t="str">
        <f t="shared" si="72"/>
        <v/>
      </c>
      <c r="T949" s="4" t="str">
        <f t="shared" si="73"/>
        <v/>
      </c>
      <c r="U949" s="10" t="str">
        <f t="shared" si="74"/>
        <v/>
      </c>
      <c r="V949" s="4"/>
    </row>
    <row r="950" spans="2:22" x14ac:dyDescent="0.25">
      <c r="B950" s="4" t="str">
        <f>IFERROR(VLOOKUP(A950,'ECN-ECO_DATA'!B:G,4,FALSE),"")</f>
        <v/>
      </c>
      <c r="C950" s="9" t="str">
        <f>IFERROR(VLOOKUP(A950,'ECN-ECO_DATA'!B:G,5,FALSE),"")</f>
        <v/>
      </c>
      <c r="D950" s="9" t="str">
        <f ca="1">IFERROR((IF(VLOOKUP(A950,'ECN-ECO_DATA'!B:G,6,FALSE)=0/1/1900,TODAY(),VLOOKUP(A950,'ECN-ECO_DATA'!B:G,6,FALSE))),"")</f>
        <v/>
      </c>
      <c r="E950" s="9" t="str">
        <f>IFERROR((IF(VLOOKUP(A950,'ECN-ECO_DATA'!B:G,6,FALSE)=0/1/1900,"",VLOOKUP(A950,'ECN-ECO_DATA'!B:G,6,FALSE))),"")</f>
        <v/>
      </c>
      <c r="F950" s="9" t="str">
        <f>IFERROR((IF(VLOOKUP(A950,'ECN-ECO_DATA'!B:J,7,FALSE)=0/1/1900,"",VLOOKUP(A950,'ECN-ECO_DATA'!B:J,7,FALSE))),"")</f>
        <v/>
      </c>
      <c r="G950" s="9" t="str">
        <f>IFERROR((IF(VLOOKUP(A950,'ECN-ECO_DATA'!B:J,8,FALSE)=0/1/1900,"",VLOOKUP(A950,'ECN-ECO_DATA'!B:J,8,FALSE))),"")</f>
        <v/>
      </c>
      <c r="H950" s="9" t="str">
        <f>IFERROR((IF(VLOOKUP(A950,'ECN-ECO_DATA'!B:J,9,FALSE)=0/1/1900,"",VLOOKUP(A950,'ECN-ECO_DATA'!B:J,9,FALSE))),"")</f>
        <v/>
      </c>
      <c r="I950" s="10" t="str">
        <f>IFERROR((IF(VLOOKUP(A950,'ECN-ECO_DATA'!B:Q,13,FALSE)="","",VLOOKUP(A950,'ECN-ECO_DATA'!B:Q,13,FALSE))),"")</f>
        <v/>
      </c>
      <c r="J950" s="10" t="str">
        <f>IFERROR((IF(VLOOKUP(A950,'ECN-ECO_DATA'!B:Q,14,FALSE)="","",VLOOKUP(A950,'ECN-ECO_DATA'!B:Q,14,FALSE))),"")</f>
        <v/>
      </c>
      <c r="K950" s="10" t="str">
        <f>IFERROR((IF(VLOOKUP(A950,'ECN-ECO_DATA'!B:Q,15,FALSE)="","",VLOOKUP(A950,'ECN-ECO_DATA'!B:Q,15,FALSE))),"")</f>
        <v/>
      </c>
      <c r="L950" s="10" t="str">
        <f>IFERROR((IF(VLOOKUP(A950,'ECN-ECO_DATA'!B:Q,16,FALSE)="","",VLOOKUP(A950,'ECN-ECO_DATA'!B:Q,16,FALSE))),"")</f>
        <v/>
      </c>
      <c r="M950" s="9" t="str">
        <f>IFERROR((IF(VLOOKUP(A950,'ECN-ECO_DATA'!B:V,18,FALSE)=0/1/1900,"",VLOOKUP(A950,'ECN-ECO_DATA'!B:V,18,FALSE))),"")</f>
        <v/>
      </c>
      <c r="N950" s="9" t="str">
        <f>IFERROR((IF(VLOOKUP(A950,'ECN-ECO_DATA'!B:V,19,FALSE)=0/1/1900,"",VLOOKUP(A950,'ECN-ECO_DATA'!B:V,19,FALSE))),"")</f>
        <v/>
      </c>
      <c r="O950" s="9" t="str">
        <f>IFERROR((IF(VLOOKUP(A950,'ECN-ECO_DATA'!B:V,20,FALSE)=0/1/1900,"",VLOOKUP(A950,'ECN-ECO_DATA'!B:V,20,FALSE))),"")</f>
        <v/>
      </c>
      <c r="P950" s="9" t="str">
        <f>IFERROR((IF(VLOOKUP(A950,'ECN-ECO_DATA'!B:V,21,FALSE)=0/1/1900,"",VLOOKUP(A950,'ECN-ECO_DATA'!B:V,21,FALSE))),"")</f>
        <v/>
      </c>
      <c r="Q950" s="10" t="str">
        <f t="shared" ca="1" si="70"/>
        <v/>
      </c>
      <c r="R950" s="4" t="str">
        <f t="shared" si="71"/>
        <v/>
      </c>
      <c r="S950" s="4" t="str">
        <f t="shared" si="72"/>
        <v/>
      </c>
      <c r="T950" s="4" t="str">
        <f t="shared" si="73"/>
        <v/>
      </c>
      <c r="U950" s="10" t="str">
        <f t="shared" si="74"/>
        <v/>
      </c>
      <c r="V950" s="4"/>
    </row>
    <row r="951" spans="2:22" x14ac:dyDescent="0.25">
      <c r="B951" s="4" t="str">
        <f>IFERROR(VLOOKUP(A951,'ECN-ECO_DATA'!B:G,4,FALSE),"")</f>
        <v/>
      </c>
      <c r="C951" s="9" t="str">
        <f>IFERROR(VLOOKUP(A951,'ECN-ECO_DATA'!B:G,5,FALSE),"")</f>
        <v/>
      </c>
      <c r="D951" s="9" t="str">
        <f ca="1">IFERROR((IF(VLOOKUP(A951,'ECN-ECO_DATA'!B:G,6,FALSE)=0/1/1900,TODAY(),VLOOKUP(A951,'ECN-ECO_DATA'!B:G,6,FALSE))),"")</f>
        <v/>
      </c>
      <c r="E951" s="9" t="str">
        <f>IFERROR((IF(VLOOKUP(A951,'ECN-ECO_DATA'!B:G,6,FALSE)=0/1/1900,"",VLOOKUP(A951,'ECN-ECO_DATA'!B:G,6,FALSE))),"")</f>
        <v/>
      </c>
      <c r="F951" s="9" t="str">
        <f>IFERROR((IF(VLOOKUP(A951,'ECN-ECO_DATA'!B:J,7,FALSE)=0/1/1900,"",VLOOKUP(A951,'ECN-ECO_DATA'!B:J,7,FALSE))),"")</f>
        <v/>
      </c>
      <c r="G951" s="9" t="str">
        <f>IFERROR((IF(VLOOKUP(A951,'ECN-ECO_DATA'!B:J,8,FALSE)=0/1/1900,"",VLOOKUP(A951,'ECN-ECO_DATA'!B:J,8,FALSE))),"")</f>
        <v/>
      </c>
      <c r="H951" s="9" t="str">
        <f>IFERROR((IF(VLOOKUP(A951,'ECN-ECO_DATA'!B:J,9,FALSE)=0/1/1900,"",VLOOKUP(A951,'ECN-ECO_DATA'!B:J,9,FALSE))),"")</f>
        <v/>
      </c>
      <c r="I951" s="10" t="str">
        <f>IFERROR((IF(VLOOKUP(A951,'ECN-ECO_DATA'!B:Q,13,FALSE)="","",VLOOKUP(A951,'ECN-ECO_DATA'!B:Q,13,FALSE))),"")</f>
        <v/>
      </c>
      <c r="J951" s="10" t="str">
        <f>IFERROR((IF(VLOOKUP(A951,'ECN-ECO_DATA'!B:Q,14,FALSE)="","",VLOOKUP(A951,'ECN-ECO_DATA'!B:Q,14,FALSE))),"")</f>
        <v/>
      </c>
      <c r="K951" s="10" t="str">
        <f>IFERROR((IF(VLOOKUP(A951,'ECN-ECO_DATA'!B:Q,15,FALSE)="","",VLOOKUP(A951,'ECN-ECO_DATA'!B:Q,15,FALSE))),"")</f>
        <v/>
      </c>
      <c r="L951" s="10" t="str">
        <f>IFERROR((IF(VLOOKUP(A951,'ECN-ECO_DATA'!B:Q,16,FALSE)="","",VLOOKUP(A951,'ECN-ECO_DATA'!B:Q,16,FALSE))),"")</f>
        <v/>
      </c>
      <c r="M951" s="9" t="str">
        <f>IFERROR((IF(VLOOKUP(A951,'ECN-ECO_DATA'!B:V,18,FALSE)=0/1/1900,"",VLOOKUP(A951,'ECN-ECO_DATA'!B:V,18,FALSE))),"")</f>
        <v/>
      </c>
      <c r="N951" s="9" t="str">
        <f>IFERROR((IF(VLOOKUP(A951,'ECN-ECO_DATA'!B:V,19,FALSE)=0/1/1900,"",VLOOKUP(A951,'ECN-ECO_DATA'!B:V,19,FALSE))),"")</f>
        <v/>
      </c>
      <c r="O951" s="9" t="str">
        <f>IFERROR((IF(VLOOKUP(A951,'ECN-ECO_DATA'!B:V,20,FALSE)=0/1/1900,"",VLOOKUP(A951,'ECN-ECO_DATA'!B:V,20,FALSE))),"")</f>
        <v/>
      </c>
      <c r="P951" s="9" t="str">
        <f>IFERROR((IF(VLOOKUP(A951,'ECN-ECO_DATA'!B:V,21,FALSE)=0/1/1900,"",VLOOKUP(A951,'ECN-ECO_DATA'!B:V,21,FALSE))),"")</f>
        <v/>
      </c>
      <c r="Q951" s="10" t="str">
        <f t="shared" ca="1" si="70"/>
        <v/>
      </c>
      <c r="R951" s="4" t="str">
        <f t="shared" si="71"/>
        <v/>
      </c>
      <c r="S951" s="4" t="str">
        <f t="shared" si="72"/>
        <v/>
      </c>
      <c r="T951" s="4" t="str">
        <f t="shared" si="73"/>
        <v/>
      </c>
      <c r="U951" s="10" t="str">
        <f t="shared" si="74"/>
        <v/>
      </c>
      <c r="V951" s="4"/>
    </row>
    <row r="952" spans="2:22" x14ac:dyDescent="0.25">
      <c r="B952" s="4" t="str">
        <f>IFERROR(VLOOKUP(A952,'ECN-ECO_DATA'!B:G,4,FALSE),"")</f>
        <v/>
      </c>
      <c r="C952" s="9" t="str">
        <f>IFERROR(VLOOKUP(A952,'ECN-ECO_DATA'!B:G,5,FALSE),"")</f>
        <v/>
      </c>
      <c r="D952" s="9" t="str">
        <f ca="1">IFERROR((IF(VLOOKUP(A952,'ECN-ECO_DATA'!B:G,6,FALSE)=0/1/1900,TODAY(),VLOOKUP(A952,'ECN-ECO_DATA'!B:G,6,FALSE))),"")</f>
        <v/>
      </c>
      <c r="E952" s="9" t="str">
        <f>IFERROR((IF(VLOOKUP(A952,'ECN-ECO_DATA'!B:G,6,FALSE)=0/1/1900,"",VLOOKUP(A952,'ECN-ECO_DATA'!B:G,6,FALSE))),"")</f>
        <v/>
      </c>
      <c r="F952" s="9" t="str">
        <f>IFERROR((IF(VLOOKUP(A952,'ECN-ECO_DATA'!B:J,7,FALSE)=0/1/1900,"",VLOOKUP(A952,'ECN-ECO_DATA'!B:J,7,FALSE))),"")</f>
        <v/>
      </c>
      <c r="G952" s="9" t="str">
        <f>IFERROR((IF(VLOOKUP(A952,'ECN-ECO_DATA'!B:J,8,FALSE)=0/1/1900,"",VLOOKUP(A952,'ECN-ECO_DATA'!B:J,8,FALSE))),"")</f>
        <v/>
      </c>
      <c r="H952" s="9" t="str">
        <f>IFERROR((IF(VLOOKUP(A952,'ECN-ECO_DATA'!B:J,9,FALSE)=0/1/1900,"",VLOOKUP(A952,'ECN-ECO_DATA'!B:J,9,FALSE))),"")</f>
        <v/>
      </c>
      <c r="I952" s="10" t="str">
        <f>IFERROR((IF(VLOOKUP(A952,'ECN-ECO_DATA'!B:Q,13,FALSE)="","",VLOOKUP(A952,'ECN-ECO_DATA'!B:Q,13,FALSE))),"")</f>
        <v/>
      </c>
      <c r="J952" s="10" t="str">
        <f>IFERROR((IF(VLOOKUP(A952,'ECN-ECO_DATA'!B:Q,14,FALSE)="","",VLOOKUP(A952,'ECN-ECO_DATA'!B:Q,14,FALSE))),"")</f>
        <v/>
      </c>
      <c r="K952" s="10" t="str">
        <f>IFERROR((IF(VLOOKUP(A952,'ECN-ECO_DATA'!B:Q,15,FALSE)="","",VLOOKUP(A952,'ECN-ECO_DATA'!B:Q,15,FALSE))),"")</f>
        <v/>
      </c>
      <c r="L952" s="10" t="str">
        <f>IFERROR((IF(VLOOKUP(A952,'ECN-ECO_DATA'!B:Q,16,FALSE)="","",VLOOKUP(A952,'ECN-ECO_DATA'!B:Q,16,FALSE))),"")</f>
        <v/>
      </c>
      <c r="M952" s="9" t="str">
        <f>IFERROR((IF(VLOOKUP(A952,'ECN-ECO_DATA'!B:V,18,FALSE)=0/1/1900,"",VLOOKUP(A952,'ECN-ECO_DATA'!B:V,18,FALSE))),"")</f>
        <v/>
      </c>
      <c r="N952" s="9" t="str">
        <f>IFERROR((IF(VLOOKUP(A952,'ECN-ECO_DATA'!B:V,19,FALSE)=0/1/1900,"",VLOOKUP(A952,'ECN-ECO_DATA'!B:V,19,FALSE))),"")</f>
        <v/>
      </c>
      <c r="O952" s="9" t="str">
        <f>IFERROR((IF(VLOOKUP(A952,'ECN-ECO_DATA'!B:V,20,FALSE)=0/1/1900,"",VLOOKUP(A952,'ECN-ECO_DATA'!B:V,20,FALSE))),"")</f>
        <v/>
      </c>
      <c r="P952" s="9" t="str">
        <f>IFERROR((IF(VLOOKUP(A952,'ECN-ECO_DATA'!B:V,21,FALSE)=0/1/1900,"",VLOOKUP(A952,'ECN-ECO_DATA'!B:V,21,FALSE))),"")</f>
        <v/>
      </c>
      <c r="Q952" s="10" t="str">
        <f t="shared" ca="1" si="70"/>
        <v/>
      </c>
      <c r="R952" s="4" t="str">
        <f t="shared" si="71"/>
        <v/>
      </c>
      <c r="S952" s="4" t="str">
        <f t="shared" si="72"/>
        <v/>
      </c>
      <c r="T952" s="4" t="str">
        <f t="shared" si="73"/>
        <v/>
      </c>
      <c r="U952" s="10" t="str">
        <f t="shared" si="74"/>
        <v/>
      </c>
      <c r="V952" s="4"/>
    </row>
    <row r="953" spans="2:22" x14ac:dyDescent="0.25">
      <c r="B953" s="4" t="str">
        <f>IFERROR(VLOOKUP(A953,'ECN-ECO_DATA'!B:G,4,FALSE),"")</f>
        <v/>
      </c>
      <c r="C953" s="9" t="str">
        <f>IFERROR(VLOOKUP(A953,'ECN-ECO_DATA'!B:G,5,FALSE),"")</f>
        <v/>
      </c>
      <c r="D953" s="9" t="str">
        <f ca="1">IFERROR((IF(VLOOKUP(A953,'ECN-ECO_DATA'!B:G,6,FALSE)=0/1/1900,TODAY(),VLOOKUP(A953,'ECN-ECO_DATA'!B:G,6,FALSE))),"")</f>
        <v/>
      </c>
      <c r="E953" s="9" t="str">
        <f>IFERROR((IF(VLOOKUP(A953,'ECN-ECO_DATA'!B:G,6,FALSE)=0/1/1900,"",VLOOKUP(A953,'ECN-ECO_DATA'!B:G,6,FALSE))),"")</f>
        <v/>
      </c>
      <c r="F953" s="9" t="str">
        <f>IFERROR((IF(VLOOKUP(A953,'ECN-ECO_DATA'!B:J,7,FALSE)=0/1/1900,"",VLOOKUP(A953,'ECN-ECO_DATA'!B:J,7,FALSE))),"")</f>
        <v/>
      </c>
      <c r="G953" s="9" t="str">
        <f>IFERROR((IF(VLOOKUP(A953,'ECN-ECO_DATA'!B:J,8,FALSE)=0/1/1900,"",VLOOKUP(A953,'ECN-ECO_DATA'!B:J,8,FALSE))),"")</f>
        <v/>
      </c>
      <c r="H953" s="9" t="str">
        <f>IFERROR((IF(VLOOKUP(A953,'ECN-ECO_DATA'!B:J,9,FALSE)=0/1/1900,"",VLOOKUP(A953,'ECN-ECO_DATA'!B:J,9,FALSE))),"")</f>
        <v/>
      </c>
      <c r="I953" s="10" t="str">
        <f>IFERROR((IF(VLOOKUP(A953,'ECN-ECO_DATA'!B:Q,13,FALSE)="","",VLOOKUP(A953,'ECN-ECO_DATA'!B:Q,13,FALSE))),"")</f>
        <v/>
      </c>
      <c r="J953" s="10" t="str">
        <f>IFERROR((IF(VLOOKUP(A953,'ECN-ECO_DATA'!B:Q,14,FALSE)="","",VLOOKUP(A953,'ECN-ECO_DATA'!B:Q,14,FALSE))),"")</f>
        <v/>
      </c>
      <c r="K953" s="10" t="str">
        <f>IFERROR((IF(VLOOKUP(A953,'ECN-ECO_DATA'!B:Q,15,FALSE)="","",VLOOKUP(A953,'ECN-ECO_DATA'!B:Q,15,FALSE))),"")</f>
        <v/>
      </c>
      <c r="L953" s="10" t="str">
        <f>IFERROR((IF(VLOOKUP(A953,'ECN-ECO_DATA'!B:Q,16,FALSE)="","",VLOOKUP(A953,'ECN-ECO_DATA'!B:Q,16,FALSE))),"")</f>
        <v/>
      </c>
      <c r="M953" s="9" t="str">
        <f>IFERROR((IF(VLOOKUP(A953,'ECN-ECO_DATA'!B:V,18,FALSE)=0/1/1900,"",VLOOKUP(A953,'ECN-ECO_DATA'!B:V,18,FALSE))),"")</f>
        <v/>
      </c>
      <c r="N953" s="9" t="str">
        <f>IFERROR((IF(VLOOKUP(A953,'ECN-ECO_DATA'!B:V,19,FALSE)=0/1/1900,"",VLOOKUP(A953,'ECN-ECO_DATA'!B:V,19,FALSE))),"")</f>
        <v/>
      </c>
      <c r="O953" s="9" t="str">
        <f>IFERROR((IF(VLOOKUP(A953,'ECN-ECO_DATA'!B:V,20,FALSE)=0/1/1900,"",VLOOKUP(A953,'ECN-ECO_DATA'!B:V,20,FALSE))),"")</f>
        <v/>
      </c>
      <c r="P953" s="9" t="str">
        <f>IFERROR((IF(VLOOKUP(A953,'ECN-ECO_DATA'!B:V,21,FALSE)=0/1/1900,"",VLOOKUP(A953,'ECN-ECO_DATA'!B:V,21,FALSE))),"")</f>
        <v/>
      </c>
      <c r="Q953" s="10" t="str">
        <f t="shared" ca="1" si="70"/>
        <v/>
      </c>
      <c r="R953" s="4" t="str">
        <f t="shared" si="71"/>
        <v/>
      </c>
      <c r="S953" s="4" t="str">
        <f t="shared" si="72"/>
        <v/>
      </c>
      <c r="T953" s="4" t="str">
        <f t="shared" si="73"/>
        <v/>
      </c>
      <c r="U953" s="10" t="str">
        <f t="shared" si="74"/>
        <v/>
      </c>
      <c r="V953" s="4"/>
    </row>
    <row r="954" spans="2:22" x14ac:dyDescent="0.25">
      <c r="B954" s="4" t="str">
        <f>IFERROR(VLOOKUP(A954,'ECN-ECO_DATA'!B:G,4,FALSE),"")</f>
        <v/>
      </c>
      <c r="C954" s="9" t="str">
        <f>IFERROR(VLOOKUP(A954,'ECN-ECO_DATA'!B:G,5,FALSE),"")</f>
        <v/>
      </c>
      <c r="D954" s="9" t="str">
        <f ca="1">IFERROR((IF(VLOOKUP(A954,'ECN-ECO_DATA'!B:G,6,FALSE)=0/1/1900,TODAY(),VLOOKUP(A954,'ECN-ECO_DATA'!B:G,6,FALSE))),"")</f>
        <v/>
      </c>
      <c r="E954" s="9" t="str">
        <f>IFERROR((IF(VLOOKUP(A954,'ECN-ECO_DATA'!B:G,6,FALSE)=0/1/1900,"",VLOOKUP(A954,'ECN-ECO_DATA'!B:G,6,FALSE))),"")</f>
        <v/>
      </c>
      <c r="F954" s="9" t="str">
        <f>IFERROR((IF(VLOOKUP(A954,'ECN-ECO_DATA'!B:J,7,FALSE)=0/1/1900,"",VLOOKUP(A954,'ECN-ECO_DATA'!B:J,7,FALSE))),"")</f>
        <v/>
      </c>
      <c r="G954" s="9" t="str">
        <f>IFERROR((IF(VLOOKUP(A954,'ECN-ECO_DATA'!B:J,8,FALSE)=0/1/1900,"",VLOOKUP(A954,'ECN-ECO_DATA'!B:J,8,FALSE))),"")</f>
        <v/>
      </c>
      <c r="H954" s="9" t="str">
        <f>IFERROR((IF(VLOOKUP(A954,'ECN-ECO_DATA'!B:J,9,FALSE)=0/1/1900,"",VLOOKUP(A954,'ECN-ECO_DATA'!B:J,9,FALSE))),"")</f>
        <v/>
      </c>
      <c r="I954" s="10" t="str">
        <f>IFERROR((IF(VLOOKUP(A954,'ECN-ECO_DATA'!B:Q,13,FALSE)="","",VLOOKUP(A954,'ECN-ECO_DATA'!B:Q,13,FALSE))),"")</f>
        <v/>
      </c>
      <c r="J954" s="10" t="str">
        <f>IFERROR((IF(VLOOKUP(A954,'ECN-ECO_DATA'!B:Q,14,FALSE)="","",VLOOKUP(A954,'ECN-ECO_DATA'!B:Q,14,FALSE))),"")</f>
        <v/>
      </c>
      <c r="K954" s="10" t="str">
        <f>IFERROR((IF(VLOOKUP(A954,'ECN-ECO_DATA'!B:Q,15,FALSE)="","",VLOOKUP(A954,'ECN-ECO_DATA'!B:Q,15,FALSE))),"")</f>
        <v/>
      </c>
      <c r="L954" s="10" t="str">
        <f>IFERROR((IF(VLOOKUP(A954,'ECN-ECO_DATA'!B:Q,16,FALSE)="","",VLOOKUP(A954,'ECN-ECO_DATA'!B:Q,16,FALSE))),"")</f>
        <v/>
      </c>
      <c r="M954" s="9" t="str">
        <f>IFERROR((IF(VLOOKUP(A954,'ECN-ECO_DATA'!B:V,18,FALSE)=0/1/1900,"",VLOOKUP(A954,'ECN-ECO_DATA'!B:V,18,FALSE))),"")</f>
        <v/>
      </c>
      <c r="N954" s="9" t="str">
        <f>IFERROR((IF(VLOOKUP(A954,'ECN-ECO_DATA'!B:V,19,FALSE)=0/1/1900,"",VLOOKUP(A954,'ECN-ECO_DATA'!B:V,19,FALSE))),"")</f>
        <v/>
      </c>
      <c r="O954" s="9" t="str">
        <f>IFERROR((IF(VLOOKUP(A954,'ECN-ECO_DATA'!B:V,20,FALSE)=0/1/1900,"",VLOOKUP(A954,'ECN-ECO_DATA'!B:V,20,FALSE))),"")</f>
        <v/>
      </c>
      <c r="P954" s="9" t="str">
        <f>IFERROR((IF(VLOOKUP(A954,'ECN-ECO_DATA'!B:V,21,FALSE)=0/1/1900,"",VLOOKUP(A954,'ECN-ECO_DATA'!B:V,21,FALSE))),"")</f>
        <v/>
      </c>
      <c r="Q954" s="10" t="str">
        <f t="shared" ca="1" si="70"/>
        <v/>
      </c>
      <c r="R954" s="4" t="str">
        <f t="shared" si="71"/>
        <v/>
      </c>
      <c r="S954" s="4" t="str">
        <f t="shared" si="72"/>
        <v/>
      </c>
      <c r="T954" s="4" t="str">
        <f t="shared" si="73"/>
        <v/>
      </c>
      <c r="U954" s="10" t="str">
        <f t="shared" si="74"/>
        <v/>
      </c>
      <c r="V954" s="4"/>
    </row>
    <row r="955" spans="2:22" x14ac:dyDescent="0.25">
      <c r="B955" s="4" t="str">
        <f>IFERROR(VLOOKUP(A955,'ECN-ECO_DATA'!B:G,4,FALSE),"")</f>
        <v/>
      </c>
      <c r="C955" s="9" t="str">
        <f>IFERROR(VLOOKUP(A955,'ECN-ECO_DATA'!B:G,5,FALSE),"")</f>
        <v/>
      </c>
      <c r="D955" s="9" t="str">
        <f ca="1">IFERROR((IF(VLOOKUP(A955,'ECN-ECO_DATA'!B:G,6,FALSE)=0/1/1900,TODAY(),VLOOKUP(A955,'ECN-ECO_DATA'!B:G,6,FALSE))),"")</f>
        <v/>
      </c>
      <c r="E955" s="9" t="str">
        <f>IFERROR((IF(VLOOKUP(A955,'ECN-ECO_DATA'!B:G,6,FALSE)=0/1/1900,"",VLOOKUP(A955,'ECN-ECO_DATA'!B:G,6,FALSE))),"")</f>
        <v/>
      </c>
      <c r="F955" s="9" t="str">
        <f>IFERROR((IF(VLOOKUP(A955,'ECN-ECO_DATA'!B:J,7,FALSE)=0/1/1900,"",VLOOKUP(A955,'ECN-ECO_DATA'!B:J,7,FALSE))),"")</f>
        <v/>
      </c>
      <c r="G955" s="9" t="str">
        <f>IFERROR((IF(VLOOKUP(A955,'ECN-ECO_DATA'!B:J,8,FALSE)=0/1/1900,"",VLOOKUP(A955,'ECN-ECO_DATA'!B:J,8,FALSE))),"")</f>
        <v/>
      </c>
      <c r="H955" s="9" t="str">
        <f>IFERROR((IF(VLOOKUP(A955,'ECN-ECO_DATA'!B:J,9,FALSE)=0/1/1900,"",VLOOKUP(A955,'ECN-ECO_DATA'!B:J,9,FALSE))),"")</f>
        <v/>
      </c>
      <c r="I955" s="10" t="str">
        <f>IFERROR((IF(VLOOKUP(A955,'ECN-ECO_DATA'!B:Q,13,FALSE)="","",VLOOKUP(A955,'ECN-ECO_DATA'!B:Q,13,FALSE))),"")</f>
        <v/>
      </c>
      <c r="J955" s="10" t="str">
        <f>IFERROR((IF(VLOOKUP(A955,'ECN-ECO_DATA'!B:Q,14,FALSE)="","",VLOOKUP(A955,'ECN-ECO_DATA'!B:Q,14,FALSE))),"")</f>
        <v/>
      </c>
      <c r="K955" s="10" t="str">
        <f>IFERROR((IF(VLOOKUP(A955,'ECN-ECO_DATA'!B:Q,15,FALSE)="","",VLOOKUP(A955,'ECN-ECO_DATA'!B:Q,15,FALSE))),"")</f>
        <v/>
      </c>
      <c r="L955" s="10" t="str">
        <f>IFERROR((IF(VLOOKUP(A955,'ECN-ECO_DATA'!B:Q,16,FALSE)="","",VLOOKUP(A955,'ECN-ECO_DATA'!B:Q,16,FALSE))),"")</f>
        <v/>
      </c>
      <c r="M955" s="9" t="str">
        <f>IFERROR((IF(VLOOKUP(A955,'ECN-ECO_DATA'!B:V,18,FALSE)=0/1/1900,"",VLOOKUP(A955,'ECN-ECO_DATA'!B:V,18,FALSE))),"")</f>
        <v/>
      </c>
      <c r="N955" s="9" t="str">
        <f>IFERROR((IF(VLOOKUP(A955,'ECN-ECO_DATA'!B:V,19,FALSE)=0/1/1900,"",VLOOKUP(A955,'ECN-ECO_DATA'!B:V,19,FALSE))),"")</f>
        <v/>
      </c>
      <c r="O955" s="9" t="str">
        <f>IFERROR((IF(VLOOKUP(A955,'ECN-ECO_DATA'!B:V,20,FALSE)=0/1/1900,"",VLOOKUP(A955,'ECN-ECO_DATA'!B:V,20,FALSE))),"")</f>
        <v/>
      </c>
      <c r="P955" s="9" t="str">
        <f>IFERROR((IF(VLOOKUP(A955,'ECN-ECO_DATA'!B:V,21,FALSE)=0/1/1900,"",VLOOKUP(A955,'ECN-ECO_DATA'!B:V,21,FALSE))),"")</f>
        <v/>
      </c>
      <c r="Q955" s="10" t="str">
        <f t="shared" ca="1" si="70"/>
        <v/>
      </c>
      <c r="R955" s="4" t="str">
        <f t="shared" si="71"/>
        <v/>
      </c>
      <c r="S955" s="4" t="str">
        <f t="shared" si="72"/>
        <v/>
      </c>
      <c r="T955" s="4" t="str">
        <f t="shared" si="73"/>
        <v/>
      </c>
      <c r="U955" s="10" t="str">
        <f t="shared" si="74"/>
        <v/>
      </c>
      <c r="V955" s="4"/>
    </row>
    <row r="956" spans="2:22" x14ac:dyDescent="0.25">
      <c r="B956" s="4" t="str">
        <f>IFERROR(VLOOKUP(A956,'ECN-ECO_DATA'!B:G,4,FALSE),"")</f>
        <v/>
      </c>
      <c r="C956" s="9" t="str">
        <f>IFERROR(VLOOKUP(A956,'ECN-ECO_DATA'!B:G,5,FALSE),"")</f>
        <v/>
      </c>
      <c r="D956" s="9" t="str">
        <f ca="1">IFERROR((IF(VLOOKUP(A956,'ECN-ECO_DATA'!B:G,6,FALSE)=0/1/1900,TODAY(),VLOOKUP(A956,'ECN-ECO_DATA'!B:G,6,FALSE))),"")</f>
        <v/>
      </c>
      <c r="E956" s="9" t="str">
        <f>IFERROR((IF(VLOOKUP(A956,'ECN-ECO_DATA'!B:G,6,FALSE)=0/1/1900,"",VLOOKUP(A956,'ECN-ECO_DATA'!B:G,6,FALSE))),"")</f>
        <v/>
      </c>
      <c r="F956" s="9" t="str">
        <f>IFERROR((IF(VLOOKUP(A956,'ECN-ECO_DATA'!B:J,7,FALSE)=0/1/1900,"",VLOOKUP(A956,'ECN-ECO_DATA'!B:J,7,FALSE))),"")</f>
        <v/>
      </c>
      <c r="G956" s="9" t="str">
        <f>IFERROR((IF(VLOOKUP(A956,'ECN-ECO_DATA'!B:J,8,FALSE)=0/1/1900,"",VLOOKUP(A956,'ECN-ECO_DATA'!B:J,8,FALSE))),"")</f>
        <v/>
      </c>
      <c r="H956" s="9" t="str">
        <f>IFERROR((IF(VLOOKUP(A956,'ECN-ECO_DATA'!B:J,9,FALSE)=0/1/1900,"",VLOOKUP(A956,'ECN-ECO_DATA'!B:J,9,FALSE))),"")</f>
        <v/>
      </c>
      <c r="I956" s="10" t="str">
        <f>IFERROR((IF(VLOOKUP(A956,'ECN-ECO_DATA'!B:Q,13,FALSE)="","",VLOOKUP(A956,'ECN-ECO_DATA'!B:Q,13,FALSE))),"")</f>
        <v/>
      </c>
      <c r="J956" s="10" t="str">
        <f>IFERROR((IF(VLOOKUP(A956,'ECN-ECO_DATA'!B:Q,14,FALSE)="","",VLOOKUP(A956,'ECN-ECO_DATA'!B:Q,14,FALSE))),"")</f>
        <v/>
      </c>
      <c r="K956" s="10" t="str">
        <f>IFERROR((IF(VLOOKUP(A956,'ECN-ECO_DATA'!B:Q,15,FALSE)="","",VLOOKUP(A956,'ECN-ECO_DATA'!B:Q,15,FALSE))),"")</f>
        <v/>
      </c>
      <c r="L956" s="10" t="str">
        <f>IFERROR((IF(VLOOKUP(A956,'ECN-ECO_DATA'!B:Q,16,FALSE)="","",VLOOKUP(A956,'ECN-ECO_DATA'!B:Q,16,FALSE))),"")</f>
        <v/>
      </c>
      <c r="M956" s="9" t="str">
        <f>IFERROR((IF(VLOOKUP(A956,'ECN-ECO_DATA'!B:V,18,FALSE)=0/1/1900,"",VLOOKUP(A956,'ECN-ECO_DATA'!B:V,18,FALSE))),"")</f>
        <v/>
      </c>
      <c r="N956" s="9" t="str">
        <f>IFERROR((IF(VLOOKUP(A956,'ECN-ECO_DATA'!B:V,19,FALSE)=0/1/1900,"",VLOOKUP(A956,'ECN-ECO_DATA'!B:V,19,FALSE))),"")</f>
        <v/>
      </c>
      <c r="O956" s="9" t="str">
        <f>IFERROR((IF(VLOOKUP(A956,'ECN-ECO_DATA'!B:V,20,FALSE)=0/1/1900,"",VLOOKUP(A956,'ECN-ECO_DATA'!B:V,20,FALSE))),"")</f>
        <v/>
      </c>
      <c r="P956" s="9" t="str">
        <f>IFERROR((IF(VLOOKUP(A956,'ECN-ECO_DATA'!B:V,21,FALSE)=0/1/1900,"",VLOOKUP(A956,'ECN-ECO_DATA'!B:V,21,FALSE))),"")</f>
        <v/>
      </c>
      <c r="Q956" s="10" t="str">
        <f t="shared" ca="1" si="70"/>
        <v/>
      </c>
      <c r="R956" s="4" t="str">
        <f t="shared" si="71"/>
        <v/>
      </c>
      <c r="S956" s="4" t="str">
        <f t="shared" si="72"/>
        <v/>
      </c>
      <c r="T956" s="4" t="str">
        <f t="shared" si="73"/>
        <v/>
      </c>
      <c r="U956" s="10" t="str">
        <f t="shared" si="74"/>
        <v/>
      </c>
      <c r="V956" s="4"/>
    </row>
    <row r="957" spans="2:22" x14ac:dyDescent="0.25">
      <c r="B957" s="4" t="str">
        <f>IFERROR(VLOOKUP(A957,'ECN-ECO_DATA'!B:G,4,FALSE),"")</f>
        <v/>
      </c>
      <c r="C957" s="9" t="str">
        <f>IFERROR(VLOOKUP(A957,'ECN-ECO_DATA'!B:G,5,FALSE),"")</f>
        <v/>
      </c>
      <c r="D957" s="9" t="str">
        <f ca="1">IFERROR((IF(VLOOKUP(A957,'ECN-ECO_DATA'!B:G,6,FALSE)=0/1/1900,TODAY(),VLOOKUP(A957,'ECN-ECO_DATA'!B:G,6,FALSE))),"")</f>
        <v/>
      </c>
      <c r="E957" s="9" t="str">
        <f>IFERROR((IF(VLOOKUP(A957,'ECN-ECO_DATA'!B:G,6,FALSE)=0/1/1900,"",VLOOKUP(A957,'ECN-ECO_DATA'!B:G,6,FALSE))),"")</f>
        <v/>
      </c>
      <c r="F957" s="9" t="str">
        <f>IFERROR((IF(VLOOKUP(A957,'ECN-ECO_DATA'!B:J,7,FALSE)=0/1/1900,"",VLOOKUP(A957,'ECN-ECO_DATA'!B:J,7,FALSE))),"")</f>
        <v/>
      </c>
      <c r="G957" s="9" t="str">
        <f>IFERROR((IF(VLOOKUP(A957,'ECN-ECO_DATA'!B:J,8,FALSE)=0/1/1900,"",VLOOKUP(A957,'ECN-ECO_DATA'!B:J,8,FALSE))),"")</f>
        <v/>
      </c>
      <c r="H957" s="9" t="str">
        <f>IFERROR((IF(VLOOKUP(A957,'ECN-ECO_DATA'!B:J,9,FALSE)=0/1/1900,"",VLOOKUP(A957,'ECN-ECO_DATA'!B:J,9,FALSE))),"")</f>
        <v/>
      </c>
      <c r="I957" s="10" t="str">
        <f>IFERROR((IF(VLOOKUP(A957,'ECN-ECO_DATA'!B:Q,13,FALSE)="","",VLOOKUP(A957,'ECN-ECO_DATA'!B:Q,13,FALSE))),"")</f>
        <v/>
      </c>
      <c r="J957" s="10" t="str">
        <f>IFERROR((IF(VLOOKUP(A957,'ECN-ECO_DATA'!B:Q,14,FALSE)="","",VLOOKUP(A957,'ECN-ECO_DATA'!B:Q,14,FALSE))),"")</f>
        <v/>
      </c>
      <c r="K957" s="10" t="str">
        <f>IFERROR((IF(VLOOKUP(A957,'ECN-ECO_DATA'!B:Q,15,FALSE)="","",VLOOKUP(A957,'ECN-ECO_DATA'!B:Q,15,FALSE))),"")</f>
        <v/>
      </c>
      <c r="L957" s="10" t="str">
        <f>IFERROR((IF(VLOOKUP(A957,'ECN-ECO_DATA'!B:Q,16,FALSE)="","",VLOOKUP(A957,'ECN-ECO_DATA'!B:Q,16,FALSE))),"")</f>
        <v/>
      </c>
      <c r="M957" s="9" t="str">
        <f>IFERROR((IF(VLOOKUP(A957,'ECN-ECO_DATA'!B:V,18,FALSE)=0/1/1900,"",VLOOKUP(A957,'ECN-ECO_DATA'!B:V,18,FALSE))),"")</f>
        <v/>
      </c>
      <c r="N957" s="9" t="str">
        <f>IFERROR((IF(VLOOKUP(A957,'ECN-ECO_DATA'!B:V,19,FALSE)=0/1/1900,"",VLOOKUP(A957,'ECN-ECO_DATA'!B:V,19,FALSE))),"")</f>
        <v/>
      </c>
      <c r="O957" s="9" t="str">
        <f>IFERROR((IF(VLOOKUP(A957,'ECN-ECO_DATA'!B:V,20,FALSE)=0/1/1900,"",VLOOKUP(A957,'ECN-ECO_DATA'!B:V,20,FALSE))),"")</f>
        <v/>
      </c>
      <c r="P957" s="9" t="str">
        <f>IFERROR((IF(VLOOKUP(A957,'ECN-ECO_DATA'!B:V,21,FALSE)=0/1/1900,"",VLOOKUP(A957,'ECN-ECO_DATA'!B:V,21,FALSE))),"")</f>
        <v/>
      </c>
      <c r="Q957" s="10" t="str">
        <f t="shared" ca="1" si="70"/>
        <v/>
      </c>
      <c r="R957" s="4" t="str">
        <f t="shared" si="71"/>
        <v/>
      </c>
      <c r="S957" s="4" t="str">
        <f t="shared" si="72"/>
        <v/>
      </c>
      <c r="T957" s="4" t="str">
        <f t="shared" si="73"/>
        <v/>
      </c>
      <c r="U957" s="10" t="str">
        <f t="shared" si="74"/>
        <v/>
      </c>
      <c r="V957" s="4"/>
    </row>
    <row r="958" spans="2:22" x14ac:dyDescent="0.25">
      <c r="B958" s="4" t="str">
        <f>IFERROR(VLOOKUP(A958,'ECN-ECO_DATA'!B:G,4,FALSE),"")</f>
        <v/>
      </c>
      <c r="C958" s="9" t="str">
        <f>IFERROR(VLOOKUP(A958,'ECN-ECO_DATA'!B:G,5,FALSE),"")</f>
        <v/>
      </c>
      <c r="D958" s="9" t="str">
        <f ca="1">IFERROR((IF(VLOOKUP(A958,'ECN-ECO_DATA'!B:G,6,FALSE)=0/1/1900,TODAY(),VLOOKUP(A958,'ECN-ECO_DATA'!B:G,6,FALSE))),"")</f>
        <v/>
      </c>
      <c r="E958" s="9" t="str">
        <f>IFERROR((IF(VLOOKUP(A958,'ECN-ECO_DATA'!B:G,6,FALSE)=0/1/1900,"",VLOOKUP(A958,'ECN-ECO_DATA'!B:G,6,FALSE))),"")</f>
        <v/>
      </c>
      <c r="F958" s="9" t="str">
        <f>IFERROR((IF(VLOOKUP(A958,'ECN-ECO_DATA'!B:J,7,FALSE)=0/1/1900,"",VLOOKUP(A958,'ECN-ECO_DATA'!B:J,7,FALSE))),"")</f>
        <v/>
      </c>
      <c r="G958" s="9" t="str">
        <f>IFERROR((IF(VLOOKUP(A958,'ECN-ECO_DATA'!B:J,8,FALSE)=0/1/1900,"",VLOOKUP(A958,'ECN-ECO_DATA'!B:J,8,FALSE))),"")</f>
        <v/>
      </c>
      <c r="H958" s="9" t="str">
        <f>IFERROR((IF(VLOOKUP(A958,'ECN-ECO_DATA'!B:J,9,FALSE)=0/1/1900,"",VLOOKUP(A958,'ECN-ECO_DATA'!B:J,9,FALSE))),"")</f>
        <v/>
      </c>
      <c r="I958" s="10" t="str">
        <f>IFERROR((IF(VLOOKUP(A958,'ECN-ECO_DATA'!B:Q,13,FALSE)="","",VLOOKUP(A958,'ECN-ECO_DATA'!B:Q,13,FALSE))),"")</f>
        <v/>
      </c>
      <c r="J958" s="10" t="str">
        <f>IFERROR((IF(VLOOKUP(A958,'ECN-ECO_DATA'!B:Q,14,FALSE)="","",VLOOKUP(A958,'ECN-ECO_DATA'!B:Q,14,FALSE))),"")</f>
        <v/>
      </c>
      <c r="K958" s="10" t="str">
        <f>IFERROR((IF(VLOOKUP(A958,'ECN-ECO_DATA'!B:Q,15,FALSE)="","",VLOOKUP(A958,'ECN-ECO_DATA'!B:Q,15,FALSE))),"")</f>
        <v/>
      </c>
      <c r="L958" s="10" t="str">
        <f>IFERROR((IF(VLOOKUP(A958,'ECN-ECO_DATA'!B:Q,16,FALSE)="","",VLOOKUP(A958,'ECN-ECO_DATA'!B:Q,16,FALSE))),"")</f>
        <v/>
      </c>
      <c r="M958" s="9" t="str">
        <f>IFERROR((IF(VLOOKUP(A958,'ECN-ECO_DATA'!B:V,18,FALSE)=0/1/1900,"",VLOOKUP(A958,'ECN-ECO_DATA'!B:V,18,FALSE))),"")</f>
        <v/>
      </c>
      <c r="N958" s="9" t="str">
        <f>IFERROR((IF(VLOOKUP(A958,'ECN-ECO_DATA'!B:V,19,FALSE)=0/1/1900,"",VLOOKUP(A958,'ECN-ECO_DATA'!B:V,19,FALSE))),"")</f>
        <v/>
      </c>
      <c r="O958" s="9" t="str">
        <f>IFERROR((IF(VLOOKUP(A958,'ECN-ECO_DATA'!B:V,20,FALSE)=0/1/1900,"",VLOOKUP(A958,'ECN-ECO_DATA'!B:V,20,FALSE))),"")</f>
        <v/>
      </c>
      <c r="P958" s="9" t="str">
        <f>IFERROR((IF(VLOOKUP(A958,'ECN-ECO_DATA'!B:V,21,FALSE)=0/1/1900,"",VLOOKUP(A958,'ECN-ECO_DATA'!B:V,21,FALSE))),"")</f>
        <v/>
      </c>
      <c r="Q958" s="10" t="str">
        <f t="shared" ca="1" si="70"/>
        <v/>
      </c>
      <c r="R958" s="4" t="str">
        <f t="shared" si="71"/>
        <v/>
      </c>
      <c r="S958" s="4" t="str">
        <f t="shared" si="72"/>
        <v/>
      </c>
      <c r="T958" s="4" t="str">
        <f t="shared" si="73"/>
        <v/>
      </c>
      <c r="U958" s="10" t="str">
        <f t="shared" si="74"/>
        <v/>
      </c>
      <c r="V958" s="4"/>
    </row>
    <row r="959" spans="2:22" x14ac:dyDescent="0.25">
      <c r="B959" s="4" t="str">
        <f>IFERROR(VLOOKUP(A959,'ECN-ECO_DATA'!B:G,4,FALSE),"")</f>
        <v/>
      </c>
      <c r="C959" s="9" t="str">
        <f>IFERROR(VLOOKUP(A959,'ECN-ECO_DATA'!B:G,5,FALSE),"")</f>
        <v/>
      </c>
      <c r="D959" s="9" t="str">
        <f ca="1">IFERROR((IF(VLOOKUP(A959,'ECN-ECO_DATA'!B:G,6,FALSE)=0/1/1900,TODAY(),VLOOKUP(A959,'ECN-ECO_DATA'!B:G,6,FALSE))),"")</f>
        <v/>
      </c>
      <c r="E959" s="9" t="str">
        <f>IFERROR((IF(VLOOKUP(A959,'ECN-ECO_DATA'!B:G,6,FALSE)=0/1/1900,"",VLOOKUP(A959,'ECN-ECO_DATA'!B:G,6,FALSE))),"")</f>
        <v/>
      </c>
      <c r="F959" s="9" t="str">
        <f>IFERROR((IF(VLOOKUP(A959,'ECN-ECO_DATA'!B:J,7,FALSE)=0/1/1900,"",VLOOKUP(A959,'ECN-ECO_DATA'!B:J,7,FALSE))),"")</f>
        <v/>
      </c>
      <c r="G959" s="9" t="str">
        <f>IFERROR((IF(VLOOKUP(A959,'ECN-ECO_DATA'!B:J,8,FALSE)=0/1/1900,"",VLOOKUP(A959,'ECN-ECO_DATA'!B:J,8,FALSE))),"")</f>
        <v/>
      </c>
      <c r="H959" s="9" t="str">
        <f>IFERROR((IF(VLOOKUP(A959,'ECN-ECO_DATA'!B:J,9,FALSE)=0/1/1900,"",VLOOKUP(A959,'ECN-ECO_DATA'!B:J,9,FALSE))),"")</f>
        <v/>
      </c>
      <c r="I959" s="10" t="str">
        <f>IFERROR((IF(VLOOKUP(A959,'ECN-ECO_DATA'!B:Q,13,FALSE)="","",VLOOKUP(A959,'ECN-ECO_DATA'!B:Q,13,FALSE))),"")</f>
        <v/>
      </c>
      <c r="J959" s="10" t="str">
        <f>IFERROR((IF(VLOOKUP(A959,'ECN-ECO_DATA'!B:Q,14,FALSE)="","",VLOOKUP(A959,'ECN-ECO_DATA'!B:Q,14,FALSE))),"")</f>
        <v/>
      </c>
      <c r="K959" s="10" t="str">
        <f>IFERROR((IF(VLOOKUP(A959,'ECN-ECO_DATA'!B:Q,15,FALSE)="","",VLOOKUP(A959,'ECN-ECO_DATA'!B:Q,15,FALSE))),"")</f>
        <v/>
      </c>
      <c r="L959" s="10" t="str">
        <f>IFERROR((IF(VLOOKUP(A959,'ECN-ECO_DATA'!B:Q,16,FALSE)="","",VLOOKUP(A959,'ECN-ECO_DATA'!B:Q,16,FALSE))),"")</f>
        <v/>
      </c>
      <c r="M959" s="9" t="str">
        <f>IFERROR((IF(VLOOKUP(A959,'ECN-ECO_DATA'!B:V,18,FALSE)=0/1/1900,"",VLOOKUP(A959,'ECN-ECO_DATA'!B:V,18,FALSE))),"")</f>
        <v/>
      </c>
      <c r="N959" s="9" t="str">
        <f>IFERROR((IF(VLOOKUP(A959,'ECN-ECO_DATA'!B:V,19,FALSE)=0/1/1900,"",VLOOKUP(A959,'ECN-ECO_DATA'!B:V,19,FALSE))),"")</f>
        <v/>
      </c>
      <c r="O959" s="9" t="str">
        <f>IFERROR((IF(VLOOKUP(A959,'ECN-ECO_DATA'!B:V,20,FALSE)=0/1/1900,"",VLOOKUP(A959,'ECN-ECO_DATA'!B:V,20,FALSE))),"")</f>
        <v/>
      </c>
      <c r="P959" s="9" t="str">
        <f>IFERROR((IF(VLOOKUP(A959,'ECN-ECO_DATA'!B:V,21,FALSE)=0/1/1900,"",VLOOKUP(A959,'ECN-ECO_DATA'!B:V,21,FALSE))),"")</f>
        <v/>
      </c>
      <c r="Q959" s="10" t="str">
        <f t="shared" ca="1" si="70"/>
        <v/>
      </c>
      <c r="R959" s="4" t="str">
        <f t="shared" si="71"/>
        <v/>
      </c>
      <c r="S959" s="4" t="str">
        <f t="shared" si="72"/>
        <v/>
      </c>
      <c r="T959" s="4" t="str">
        <f t="shared" si="73"/>
        <v/>
      </c>
      <c r="U959" s="10" t="str">
        <f t="shared" si="74"/>
        <v/>
      </c>
      <c r="V959" s="4"/>
    </row>
    <row r="960" spans="2:22" x14ac:dyDescent="0.25">
      <c r="B960" s="4" t="str">
        <f>IFERROR(VLOOKUP(A960,'ECN-ECO_DATA'!B:G,4,FALSE),"")</f>
        <v/>
      </c>
      <c r="C960" s="9" t="str">
        <f>IFERROR(VLOOKUP(A960,'ECN-ECO_DATA'!B:G,5,FALSE),"")</f>
        <v/>
      </c>
      <c r="D960" s="9" t="str">
        <f ca="1">IFERROR((IF(VLOOKUP(A960,'ECN-ECO_DATA'!B:G,6,FALSE)=0/1/1900,TODAY(),VLOOKUP(A960,'ECN-ECO_DATA'!B:G,6,FALSE))),"")</f>
        <v/>
      </c>
      <c r="E960" s="9" t="str">
        <f>IFERROR((IF(VLOOKUP(A960,'ECN-ECO_DATA'!B:G,6,FALSE)=0/1/1900,"",VLOOKUP(A960,'ECN-ECO_DATA'!B:G,6,FALSE))),"")</f>
        <v/>
      </c>
      <c r="F960" s="9" t="str">
        <f>IFERROR((IF(VLOOKUP(A960,'ECN-ECO_DATA'!B:J,7,FALSE)=0/1/1900,"",VLOOKUP(A960,'ECN-ECO_DATA'!B:J,7,FALSE))),"")</f>
        <v/>
      </c>
      <c r="G960" s="9" t="str">
        <f>IFERROR((IF(VLOOKUP(A960,'ECN-ECO_DATA'!B:J,8,FALSE)=0/1/1900,"",VLOOKUP(A960,'ECN-ECO_DATA'!B:J,8,FALSE))),"")</f>
        <v/>
      </c>
      <c r="H960" s="9" t="str">
        <f>IFERROR((IF(VLOOKUP(A960,'ECN-ECO_DATA'!B:J,9,FALSE)=0/1/1900,"",VLOOKUP(A960,'ECN-ECO_DATA'!B:J,9,FALSE))),"")</f>
        <v/>
      </c>
      <c r="I960" s="10" t="str">
        <f>IFERROR((IF(VLOOKUP(A960,'ECN-ECO_DATA'!B:Q,13,FALSE)="","",VLOOKUP(A960,'ECN-ECO_DATA'!B:Q,13,FALSE))),"")</f>
        <v/>
      </c>
      <c r="J960" s="10" t="str">
        <f>IFERROR((IF(VLOOKUP(A960,'ECN-ECO_DATA'!B:Q,14,FALSE)="","",VLOOKUP(A960,'ECN-ECO_DATA'!B:Q,14,FALSE))),"")</f>
        <v/>
      </c>
      <c r="K960" s="10" t="str">
        <f>IFERROR((IF(VLOOKUP(A960,'ECN-ECO_DATA'!B:Q,15,FALSE)="","",VLOOKUP(A960,'ECN-ECO_DATA'!B:Q,15,FALSE))),"")</f>
        <v/>
      </c>
      <c r="L960" s="10" t="str">
        <f>IFERROR((IF(VLOOKUP(A960,'ECN-ECO_DATA'!B:Q,16,FALSE)="","",VLOOKUP(A960,'ECN-ECO_DATA'!B:Q,16,FALSE))),"")</f>
        <v/>
      </c>
      <c r="M960" s="9" t="str">
        <f>IFERROR((IF(VLOOKUP(A960,'ECN-ECO_DATA'!B:V,18,FALSE)=0/1/1900,"",VLOOKUP(A960,'ECN-ECO_DATA'!B:V,18,FALSE))),"")</f>
        <v/>
      </c>
      <c r="N960" s="9" t="str">
        <f>IFERROR((IF(VLOOKUP(A960,'ECN-ECO_DATA'!B:V,19,FALSE)=0/1/1900,"",VLOOKUP(A960,'ECN-ECO_DATA'!B:V,19,FALSE))),"")</f>
        <v/>
      </c>
      <c r="O960" s="9" t="str">
        <f>IFERROR((IF(VLOOKUP(A960,'ECN-ECO_DATA'!B:V,20,FALSE)=0/1/1900,"",VLOOKUP(A960,'ECN-ECO_DATA'!B:V,20,FALSE))),"")</f>
        <v/>
      </c>
      <c r="P960" s="9" t="str">
        <f>IFERROR((IF(VLOOKUP(A960,'ECN-ECO_DATA'!B:V,21,FALSE)=0/1/1900,"",VLOOKUP(A960,'ECN-ECO_DATA'!B:V,21,FALSE))),"")</f>
        <v/>
      </c>
      <c r="Q960" s="10" t="str">
        <f t="shared" ca="1" si="70"/>
        <v/>
      </c>
      <c r="R960" s="4" t="str">
        <f t="shared" si="71"/>
        <v/>
      </c>
      <c r="S960" s="4" t="str">
        <f t="shared" si="72"/>
        <v/>
      </c>
      <c r="T960" s="4" t="str">
        <f t="shared" si="73"/>
        <v/>
      </c>
      <c r="U960" s="10" t="str">
        <f t="shared" si="74"/>
        <v/>
      </c>
      <c r="V960" s="4"/>
    </row>
    <row r="961" spans="2:22" x14ac:dyDescent="0.25">
      <c r="B961" s="4" t="str">
        <f>IFERROR(VLOOKUP(A961,'ECN-ECO_DATA'!B:G,4,FALSE),"")</f>
        <v/>
      </c>
      <c r="C961" s="9" t="str">
        <f>IFERROR(VLOOKUP(A961,'ECN-ECO_DATA'!B:G,5,FALSE),"")</f>
        <v/>
      </c>
      <c r="D961" s="9" t="str">
        <f ca="1">IFERROR((IF(VLOOKUP(A961,'ECN-ECO_DATA'!B:G,6,FALSE)=0/1/1900,TODAY(),VLOOKUP(A961,'ECN-ECO_DATA'!B:G,6,FALSE))),"")</f>
        <v/>
      </c>
      <c r="E961" s="9" t="str">
        <f>IFERROR((IF(VLOOKUP(A961,'ECN-ECO_DATA'!B:G,6,FALSE)=0/1/1900,"",VLOOKUP(A961,'ECN-ECO_DATA'!B:G,6,FALSE))),"")</f>
        <v/>
      </c>
      <c r="F961" s="9" t="str">
        <f>IFERROR((IF(VLOOKUP(A961,'ECN-ECO_DATA'!B:J,7,FALSE)=0/1/1900,"",VLOOKUP(A961,'ECN-ECO_DATA'!B:J,7,FALSE))),"")</f>
        <v/>
      </c>
      <c r="G961" s="9" t="str">
        <f>IFERROR((IF(VLOOKUP(A961,'ECN-ECO_DATA'!B:J,8,FALSE)=0/1/1900,"",VLOOKUP(A961,'ECN-ECO_DATA'!B:J,8,FALSE))),"")</f>
        <v/>
      </c>
      <c r="H961" s="9" t="str">
        <f>IFERROR((IF(VLOOKUP(A961,'ECN-ECO_DATA'!B:J,9,FALSE)=0/1/1900,"",VLOOKUP(A961,'ECN-ECO_DATA'!B:J,9,FALSE))),"")</f>
        <v/>
      </c>
      <c r="I961" s="10" t="str">
        <f>IFERROR((IF(VLOOKUP(A961,'ECN-ECO_DATA'!B:Q,13,FALSE)="","",VLOOKUP(A961,'ECN-ECO_DATA'!B:Q,13,FALSE))),"")</f>
        <v/>
      </c>
      <c r="J961" s="10" t="str">
        <f>IFERROR((IF(VLOOKUP(A961,'ECN-ECO_DATA'!B:Q,14,FALSE)="","",VLOOKUP(A961,'ECN-ECO_DATA'!B:Q,14,FALSE))),"")</f>
        <v/>
      </c>
      <c r="K961" s="10" t="str">
        <f>IFERROR((IF(VLOOKUP(A961,'ECN-ECO_DATA'!B:Q,15,FALSE)="","",VLOOKUP(A961,'ECN-ECO_DATA'!B:Q,15,FALSE))),"")</f>
        <v/>
      </c>
      <c r="L961" s="10" t="str">
        <f>IFERROR((IF(VLOOKUP(A961,'ECN-ECO_DATA'!B:Q,16,FALSE)="","",VLOOKUP(A961,'ECN-ECO_DATA'!B:Q,16,FALSE))),"")</f>
        <v/>
      </c>
      <c r="M961" s="9" t="str">
        <f>IFERROR((IF(VLOOKUP(A961,'ECN-ECO_DATA'!B:V,18,FALSE)=0/1/1900,"",VLOOKUP(A961,'ECN-ECO_DATA'!B:V,18,FALSE))),"")</f>
        <v/>
      </c>
      <c r="N961" s="9" t="str">
        <f>IFERROR((IF(VLOOKUP(A961,'ECN-ECO_DATA'!B:V,19,FALSE)=0/1/1900,"",VLOOKUP(A961,'ECN-ECO_DATA'!B:V,19,FALSE))),"")</f>
        <v/>
      </c>
      <c r="O961" s="9" t="str">
        <f>IFERROR((IF(VLOOKUP(A961,'ECN-ECO_DATA'!B:V,20,FALSE)=0/1/1900,"",VLOOKUP(A961,'ECN-ECO_DATA'!B:V,20,FALSE))),"")</f>
        <v/>
      </c>
      <c r="P961" s="9" t="str">
        <f>IFERROR((IF(VLOOKUP(A961,'ECN-ECO_DATA'!B:V,21,FALSE)=0/1/1900,"",VLOOKUP(A961,'ECN-ECO_DATA'!B:V,21,FALSE))),"")</f>
        <v/>
      </c>
      <c r="Q961" s="10" t="str">
        <f t="shared" ca="1" si="70"/>
        <v/>
      </c>
      <c r="R961" s="4" t="str">
        <f t="shared" si="71"/>
        <v/>
      </c>
      <c r="S961" s="4" t="str">
        <f t="shared" si="72"/>
        <v/>
      </c>
      <c r="T961" s="4" t="str">
        <f t="shared" si="73"/>
        <v/>
      </c>
      <c r="U961" s="10" t="str">
        <f t="shared" si="74"/>
        <v/>
      </c>
      <c r="V961" s="4"/>
    </row>
    <row r="962" spans="2:22" x14ac:dyDescent="0.25">
      <c r="B962" s="4" t="str">
        <f>IFERROR(VLOOKUP(A962,'ECN-ECO_DATA'!B:G,4,FALSE),"")</f>
        <v/>
      </c>
      <c r="C962" s="9" t="str">
        <f>IFERROR(VLOOKUP(A962,'ECN-ECO_DATA'!B:G,5,FALSE),"")</f>
        <v/>
      </c>
      <c r="D962" s="9" t="str">
        <f ca="1">IFERROR((IF(VLOOKUP(A962,'ECN-ECO_DATA'!B:G,6,FALSE)=0/1/1900,TODAY(),VLOOKUP(A962,'ECN-ECO_DATA'!B:G,6,FALSE))),"")</f>
        <v/>
      </c>
      <c r="E962" s="9" t="str">
        <f>IFERROR((IF(VLOOKUP(A962,'ECN-ECO_DATA'!B:G,6,FALSE)=0/1/1900,"",VLOOKUP(A962,'ECN-ECO_DATA'!B:G,6,FALSE))),"")</f>
        <v/>
      </c>
      <c r="F962" s="9" t="str">
        <f>IFERROR((IF(VLOOKUP(A962,'ECN-ECO_DATA'!B:J,7,FALSE)=0/1/1900,"",VLOOKUP(A962,'ECN-ECO_DATA'!B:J,7,FALSE))),"")</f>
        <v/>
      </c>
      <c r="G962" s="9" t="str">
        <f>IFERROR((IF(VLOOKUP(A962,'ECN-ECO_DATA'!B:J,8,FALSE)=0/1/1900,"",VLOOKUP(A962,'ECN-ECO_DATA'!B:J,8,FALSE))),"")</f>
        <v/>
      </c>
      <c r="H962" s="9" t="str">
        <f>IFERROR((IF(VLOOKUP(A962,'ECN-ECO_DATA'!B:J,9,FALSE)=0/1/1900,"",VLOOKUP(A962,'ECN-ECO_DATA'!B:J,9,FALSE))),"")</f>
        <v/>
      </c>
      <c r="I962" s="10" t="str">
        <f>IFERROR((IF(VLOOKUP(A962,'ECN-ECO_DATA'!B:Q,13,FALSE)="","",VLOOKUP(A962,'ECN-ECO_DATA'!B:Q,13,FALSE))),"")</f>
        <v/>
      </c>
      <c r="J962" s="10" t="str">
        <f>IFERROR((IF(VLOOKUP(A962,'ECN-ECO_DATA'!B:Q,14,FALSE)="","",VLOOKUP(A962,'ECN-ECO_DATA'!B:Q,14,FALSE))),"")</f>
        <v/>
      </c>
      <c r="K962" s="10" t="str">
        <f>IFERROR((IF(VLOOKUP(A962,'ECN-ECO_DATA'!B:Q,15,FALSE)="","",VLOOKUP(A962,'ECN-ECO_DATA'!B:Q,15,FALSE))),"")</f>
        <v/>
      </c>
      <c r="L962" s="10" t="str">
        <f>IFERROR((IF(VLOOKUP(A962,'ECN-ECO_DATA'!B:Q,16,FALSE)="","",VLOOKUP(A962,'ECN-ECO_DATA'!B:Q,16,FALSE))),"")</f>
        <v/>
      </c>
      <c r="M962" s="9" t="str">
        <f>IFERROR((IF(VLOOKUP(A962,'ECN-ECO_DATA'!B:V,18,FALSE)=0/1/1900,"",VLOOKUP(A962,'ECN-ECO_DATA'!B:V,18,FALSE))),"")</f>
        <v/>
      </c>
      <c r="N962" s="9" t="str">
        <f>IFERROR((IF(VLOOKUP(A962,'ECN-ECO_DATA'!B:V,19,FALSE)=0/1/1900,"",VLOOKUP(A962,'ECN-ECO_DATA'!B:V,19,FALSE))),"")</f>
        <v/>
      </c>
      <c r="O962" s="9" t="str">
        <f>IFERROR((IF(VLOOKUP(A962,'ECN-ECO_DATA'!B:V,20,FALSE)=0/1/1900,"",VLOOKUP(A962,'ECN-ECO_DATA'!B:V,20,FALSE))),"")</f>
        <v/>
      </c>
      <c r="P962" s="9" t="str">
        <f>IFERROR((IF(VLOOKUP(A962,'ECN-ECO_DATA'!B:V,21,FALSE)=0/1/1900,"",VLOOKUP(A962,'ECN-ECO_DATA'!B:V,21,FALSE))),"")</f>
        <v/>
      </c>
      <c r="Q962" s="10" t="str">
        <f t="shared" ca="1" si="70"/>
        <v/>
      </c>
      <c r="R962" s="4" t="str">
        <f t="shared" si="71"/>
        <v/>
      </c>
      <c r="S962" s="4" t="str">
        <f t="shared" si="72"/>
        <v/>
      </c>
      <c r="T962" s="4" t="str">
        <f t="shared" si="73"/>
        <v/>
      </c>
      <c r="U962" s="10" t="str">
        <f t="shared" si="74"/>
        <v/>
      </c>
      <c r="V962" s="4"/>
    </row>
    <row r="963" spans="2:22" x14ac:dyDescent="0.25">
      <c r="B963" s="4" t="str">
        <f>IFERROR(VLOOKUP(A963,'ECN-ECO_DATA'!B:G,4,FALSE),"")</f>
        <v/>
      </c>
      <c r="C963" s="9" t="str">
        <f>IFERROR(VLOOKUP(A963,'ECN-ECO_DATA'!B:G,5,FALSE),"")</f>
        <v/>
      </c>
      <c r="D963" s="9" t="str">
        <f ca="1">IFERROR((IF(VLOOKUP(A963,'ECN-ECO_DATA'!B:G,6,FALSE)=0/1/1900,TODAY(),VLOOKUP(A963,'ECN-ECO_DATA'!B:G,6,FALSE))),"")</f>
        <v/>
      </c>
      <c r="E963" s="9" t="str">
        <f>IFERROR((IF(VLOOKUP(A963,'ECN-ECO_DATA'!B:G,6,FALSE)=0/1/1900,"",VLOOKUP(A963,'ECN-ECO_DATA'!B:G,6,FALSE))),"")</f>
        <v/>
      </c>
      <c r="F963" s="9" t="str">
        <f>IFERROR((IF(VLOOKUP(A963,'ECN-ECO_DATA'!B:J,7,FALSE)=0/1/1900,"",VLOOKUP(A963,'ECN-ECO_DATA'!B:J,7,FALSE))),"")</f>
        <v/>
      </c>
      <c r="G963" s="9" t="str">
        <f>IFERROR((IF(VLOOKUP(A963,'ECN-ECO_DATA'!B:J,8,FALSE)=0/1/1900,"",VLOOKUP(A963,'ECN-ECO_DATA'!B:J,8,FALSE))),"")</f>
        <v/>
      </c>
      <c r="H963" s="9" t="str">
        <f>IFERROR((IF(VLOOKUP(A963,'ECN-ECO_DATA'!B:J,9,FALSE)=0/1/1900,"",VLOOKUP(A963,'ECN-ECO_DATA'!B:J,9,FALSE))),"")</f>
        <v/>
      </c>
      <c r="I963" s="10" t="str">
        <f>IFERROR((IF(VLOOKUP(A963,'ECN-ECO_DATA'!B:Q,13,FALSE)="","",VLOOKUP(A963,'ECN-ECO_DATA'!B:Q,13,FALSE))),"")</f>
        <v/>
      </c>
      <c r="J963" s="10" t="str">
        <f>IFERROR((IF(VLOOKUP(A963,'ECN-ECO_DATA'!B:Q,14,FALSE)="","",VLOOKUP(A963,'ECN-ECO_DATA'!B:Q,14,FALSE))),"")</f>
        <v/>
      </c>
      <c r="K963" s="10" t="str">
        <f>IFERROR((IF(VLOOKUP(A963,'ECN-ECO_DATA'!B:Q,15,FALSE)="","",VLOOKUP(A963,'ECN-ECO_DATA'!B:Q,15,FALSE))),"")</f>
        <v/>
      </c>
      <c r="L963" s="10" t="str">
        <f>IFERROR((IF(VLOOKUP(A963,'ECN-ECO_DATA'!B:Q,16,FALSE)="","",VLOOKUP(A963,'ECN-ECO_DATA'!B:Q,16,FALSE))),"")</f>
        <v/>
      </c>
      <c r="M963" s="9" t="str">
        <f>IFERROR((IF(VLOOKUP(A963,'ECN-ECO_DATA'!B:V,18,FALSE)=0/1/1900,"",VLOOKUP(A963,'ECN-ECO_DATA'!B:V,18,FALSE))),"")</f>
        <v/>
      </c>
      <c r="N963" s="9" t="str">
        <f>IFERROR((IF(VLOOKUP(A963,'ECN-ECO_DATA'!B:V,19,FALSE)=0/1/1900,"",VLOOKUP(A963,'ECN-ECO_DATA'!B:V,19,FALSE))),"")</f>
        <v/>
      </c>
      <c r="O963" s="9" t="str">
        <f>IFERROR((IF(VLOOKUP(A963,'ECN-ECO_DATA'!B:V,20,FALSE)=0/1/1900,"",VLOOKUP(A963,'ECN-ECO_DATA'!B:V,20,FALSE))),"")</f>
        <v/>
      </c>
      <c r="P963" s="9" t="str">
        <f>IFERROR((IF(VLOOKUP(A963,'ECN-ECO_DATA'!B:V,21,FALSE)=0/1/1900,"",VLOOKUP(A963,'ECN-ECO_DATA'!B:V,21,FALSE))),"")</f>
        <v/>
      </c>
      <c r="Q963" s="10" t="str">
        <f t="shared" ref="Q963:Q1000" ca="1" si="75">IFERROR(D963-C963,"")</f>
        <v/>
      </c>
      <c r="R963" s="4" t="str">
        <f t="shared" ref="R963:R1000" si="76">IFERROR(H963-E963,"")</f>
        <v/>
      </c>
      <c r="S963" s="4" t="str">
        <f t="shared" ref="S963:S1000" si="77">IFERROR(N963-H963,"")</f>
        <v/>
      </c>
      <c r="T963" s="4" t="str">
        <f t="shared" ref="T963:T1000" si="78">IFERROR(O963-N963,"")</f>
        <v/>
      </c>
      <c r="U963" s="10" t="str">
        <f t="shared" ref="U963:U1000" si="79">IF(O963="","",IF(SUM(Q963:T963)=0,"",SUM(Q963:T963)))</f>
        <v/>
      </c>
      <c r="V963" s="4"/>
    </row>
    <row r="964" spans="2:22" x14ac:dyDescent="0.25">
      <c r="B964" s="4" t="str">
        <f>IFERROR(VLOOKUP(A964,'ECN-ECO_DATA'!B:G,4,FALSE),"")</f>
        <v/>
      </c>
      <c r="C964" s="9" t="str">
        <f>IFERROR(VLOOKUP(A964,'ECN-ECO_DATA'!B:G,5,FALSE),"")</f>
        <v/>
      </c>
      <c r="D964" s="9" t="str">
        <f ca="1">IFERROR((IF(VLOOKUP(A964,'ECN-ECO_DATA'!B:G,6,FALSE)=0/1/1900,TODAY(),VLOOKUP(A964,'ECN-ECO_DATA'!B:G,6,FALSE))),"")</f>
        <v/>
      </c>
      <c r="E964" s="9" t="str">
        <f>IFERROR((IF(VLOOKUP(A964,'ECN-ECO_DATA'!B:G,6,FALSE)=0/1/1900,"",VLOOKUP(A964,'ECN-ECO_DATA'!B:G,6,FALSE))),"")</f>
        <v/>
      </c>
      <c r="F964" s="9" t="str">
        <f>IFERROR((IF(VLOOKUP(A964,'ECN-ECO_DATA'!B:J,7,FALSE)=0/1/1900,"",VLOOKUP(A964,'ECN-ECO_DATA'!B:J,7,FALSE))),"")</f>
        <v/>
      </c>
      <c r="G964" s="9" t="str">
        <f>IFERROR((IF(VLOOKUP(A964,'ECN-ECO_DATA'!B:J,8,FALSE)=0/1/1900,"",VLOOKUP(A964,'ECN-ECO_DATA'!B:J,8,FALSE))),"")</f>
        <v/>
      </c>
      <c r="H964" s="9" t="str">
        <f>IFERROR((IF(VLOOKUP(A964,'ECN-ECO_DATA'!B:J,9,FALSE)=0/1/1900,"",VLOOKUP(A964,'ECN-ECO_DATA'!B:J,9,FALSE))),"")</f>
        <v/>
      </c>
      <c r="I964" s="10" t="str">
        <f>IFERROR((IF(VLOOKUP(A964,'ECN-ECO_DATA'!B:Q,13,FALSE)="","",VLOOKUP(A964,'ECN-ECO_DATA'!B:Q,13,FALSE))),"")</f>
        <v/>
      </c>
      <c r="J964" s="10" t="str">
        <f>IFERROR((IF(VLOOKUP(A964,'ECN-ECO_DATA'!B:Q,14,FALSE)="","",VLOOKUP(A964,'ECN-ECO_DATA'!B:Q,14,FALSE))),"")</f>
        <v/>
      </c>
      <c r="K964" s="10" t="str">
        <f>IFERROR((IF(VLOOKUP(A964,'ECN-ECO_DATA'!B:Q,15,FALSE)="","",VLOOKUP(A964,'ECN-ECO_DATA'!B:Q,15,FALSE))),"")</f>
        <v/>
      </c>
      <c r="L964" s="10" t="str">
        <f>IFERROR((IF(VLOOKUP(A964,'ECN-ECO_DATA'!B:Q,16,FALSE)="","",VLOOKUP(A964,'ECN-ECO_DATA'!B:Q,16,FALSE))),"")</f>
        <v/>
      </c>
      <c r="M964" s="9" t="str">
        <f>IFERROR((IF(VLOOKUP(A964,'ECN-ECO_DATA'!B:V,18,FALSE)=0/1/1900,"",VLOOKUP(A964,'ECN-ECO_DATA'!B:V,18,FALSE))),"")</f>
        <v/>
      </c>
      <c r="N964" s="9" t="str">
        <f>IFERROR((IF(VLOOKUP(A964,'ECN-ECO_DATA'!B:V,19,FALSE)=0/1/1900,"",VLOOKUP(A964,'ECN-ECO_DATA'!B:V,19,FALSE))),"")</f>
        <v/>
      </c>
      <c r="O964" s="9" t="str">
        <f>IFERROR((IF(VLOOKUP(A964,'ECN-ECO_DATA'!B:V,20,FALSE)=0/1/1900,"",VLOOKUP(A964,'ECN-ECO_DATA'!B:V,20,FALSE))),"")</f>
        <v/>
      </c>
      <c r="P964" s="9" t="str">
        <f>IFERROR((IF(VLOOKUP(A964,'ECN-ECO_DATA'!B:V,21,FALSE)=0/1/1900,"",VLOOKUP(A964,'ECN-ECO_DATA'!B:V,21,FALSE))),"")</f>
        <v/>
      </c>
      <c r="Q964" s="10" t="str">
        <f t="shared" ca="1" si="75"/>
        <v/>
      </c>
      <c r="R964" s="4" t="str">
        <f t="shared" si="76"/>
        <v/>
      </c>
      <c r="S964" s="4" t="str">
        <f t="shared" si="77"/>
        <v/>
      </c>
      <c r="T964" s="4" t="str">
        <f t="shared" si="78"/>
        <v/>
      </c>
      <c r="U964" s="10" t="str">
        <f t="shared" si="79"/>
        <v/>
      </c>
      <c r="V964" s="4"/>
    </row>
    <row r="965" spans="2:22" x14ac:dyDescent="0.25">
      <c r="B965" s="4" t="str">
        <f>IFERROR(VLOOKUP(A965,'ECN-ECO_DATA'!B:G,4,FALSE),"")</f>
        <v/>
      </c>
      <c r="C965" s="9" t="str">
        <f>IFERROR(VLOOKUP(A965,'ECN-ECO_DATA'!B:G,5,FALSE),"")</f>
        <v/>
      </c>
      <c r="D965" s="9" t="str">
        <f ca="1">IFERROR((IF(VLOOKUP(A965,'ECN-ECO_DATA'!B:G,6,FALSE)=0/1/1900,TODAY(),VLOOKUP(A965,'ECN-ECO_DATA'!B:G,6,FALSE))),"")</f>
        <v/>
      </c>
      <c r="E965" s="9" t="str">
        <f>IFERROR((IF(VLOOKUP(A965,'ECN-ECO_DATA'!B:G,6,FALSE)=0/1/1900,"",VLOOKUP(A965,'ECN-ECO_DATA'!B:G,6,FALSE))),"")</f>
        <v/>
      </c>
      <c r="F965" s="9" t="str">
        <f>IFERROR((IF(VLOOKUP(A965,'ECN-ECO_DATA'!B:J,7,FALSE)=0/1/1900,"",VLOOKUP(A965,'ECN-ECO_DATA'!B:J,7,FALSE))),"")</f>
        <v/>
      </c>
      <c r="G965" s="9" t="str">
        <f>IFERROR((IF(VLOOKUP(A965,'ECN-ECO_DATA'!B:J,8,FALSE)=0/1/1900,"",VLOOKUP(A965,'ECN-ECO_DATA'!B:J,8,FALSE))),"")</f>
        <v/>
      </c>
      <c r="H965" s="9" t="str">
        <f>IFERROR((IF(VLOOKUP(A965,'ECN-ECO_DATA'!B:J,9,FALSE)=0/1/1900,"",VLOOKUP(A965,'ECN-ECO_DATA'!B:J,9,FALSE))),"")</f>
        <v/>
      </c>
      <c r="I965" s="10" t="str">
        <f>IFERROR((IF(VLOOKUP(A965,'ECN-ECO_DATA'!B:Q,13,FALSE)="","",VLOOKUP(A965,'ECN-ECO_DATA'!B:Q,13,FALSE))),"")</f>
        <v/>
      </c>
      <c r="J965" s="10" t="str">
        <f>IFERROR((IF(VLOOKUP(A965,'ECN-ECO_DATA'!B:Q,14,FALSE)="","",VLOOKUP(A965,'ECN-ECO_DATA'!B:Q,14,FALSE))),"")</f>
        <v/>
      </c>
      <c r="K965" s="10" t="str">
        <f>IFERROR((IF(VLOOKUP(A965,'ECN-ECO_DATA'!B:Q,15,FALSE)="","",VLOOKUP(A965,'ECN-ECO_DATA'!B:Q,15,FALSE))),"")</f>
        <v/>
      </c>
      <c r="L965" s="10" t="str">
        <f>IFERROR((IF(VLOOKUP(A965,'ECN-ECO_DATA'!B:Q,16,FALSE)="","",VLOOKUP(A965,'ECN-ECO_DATA'!B:Q,16,FALSE))),"")</f>
        <v/>
      </c>
      <c r="M965" s="9" t="str">
        <f>IFERROR((IF(VLOOKUP(A965,'ECN-ECO_DATA'!B:V,18,FALSE)=0/1/1900,"",VLOOKUP(A965,'ECN-ECO_DATA'!B:V,18,FALSE))),"")</f>
        <v/>
      </c>
      <c r="N965" s="9" t="str">
        <f>IFERROR((IF(VLOOKUP(A965,'ECN-ECO_DATA'!B:V,19,FALSE)=0/1/1900,"",VLOOKUP(A965,'ECN-ECO_DATA'!B:V,19,FALSE))),"")</f>
        <v/>
      </c>
      <c r="O965" s="9" t="str">
        <f>IFERROR((IF(VLOOKUP(A965,'ECN-ECO_DATA'!B:V,20,FALSE)=0/1/1900,"",VLOOKUP(A965,'ECN-ECO_DATA'!B:V,20,FALSE))),"")</f>
        <v/>
      </c>
      <c r="P965" s="9" t="str">
        <f>IFERROR((IF(VLOOKUP(A965,'ECN-ECO_DATA'!B:V,21,FALSE)=0/1/1900,"",VLOOKUP(A965,'ECN-ECO_DATA'!B:V,21,FALSE))),"")</f>
        <v/>
      </c>
      <c r="Q965" s="10" t="str">
        <f t="shared" ca="1" si="75"/>
        <v/>
      </c>
      <c r="R965" s="4" t="str">
        <f t="shared" si="76"/>
        <v/>
      </c>
      <c r="S965" s="4" t="str">
        <f t="shared" si="77"/>
        <v/>
      </c>
      <c r="T965" s="4" t="str">
        <f t="shared" si="78"/>
        <v/>
      </c>
      <c r="U965" s="10" t="str">
        <f t="shared" si="79"/>
        <v/>
      </c>
      <c r="V965" s="4"/>
    </row>
    <row r="966" spans="2:22" x14ac:dyDescent="0.25">
      <c r="B966" s="4" t="str">
        <f>IFERROR(VLOOKUP(A966,'ECN-ECO_DATA'!B:G,4,FALSE),"")</f>
        <v/>
      </c>
      <c r="C966" s="9" t="str">
        <f>IFERROR(VLOOKUP(A966,'ECN-ECO_DATA'!B:G,5,FALSE),"")</f>
        <v/>
      </c>
      <c r="D966" s="9" t="str">
        <f ca="1">IFERROR((IF(VLOOKUP(A966,'ECN-ECO_DATA'!B:G,6,FALSE)=0/1/1900,TODAY(),VLOOKUP(A966,'ECN-ECO_DATA'!B:G,6,FALSE))),"")</f>
        <v/>
      </c>
      <c r="E966" s="9" t="str">
        <f>IFERROR((IF(VLOOKUP(A966,'ECN-ECO_DATA'!B:G,6,FALSE)=0/1/1900,"",VLOOKUP(A966,'ECN-ECO_DATA'!B:G,6,FALSE))),"")</f>
        <v/>
      </c>
      <c r="F966" s="9" t="str">
        <f>IFERROR((IF(VLOOKUP(A966,'ECN-ECO_DATA'!B:J,7,FALSE)=0/1/1900,"",VLOOKUP(A966,'ECN-ECO_DATA'!B:J,7,FALSE))),"")</f>
        <v/>
      </c>
      <c r="G966" s="9" t="str">
        <f>IFERROR((IF(VLOOKUP(A966,'ECN-ECO_DATA'!B:J,8,FALSE)=0/1/1900,"",VLOOKUP(A966,'ECN-ECO_DATA'!B:J,8,FALSE))),"")</f>
        <v/>
      </c>
      <c r="H966" s="9" t="str">
        <f>IFERROR((IF(VLOOKUP(A966,'ECN-ECO_DATA'!B:J,9,FALSE)=0/1/1900,"",VLOOKUP(A966,'ECN-ECO_DATA'!B:J,9,FALSE))),"")</f>
        <v/>
      </c>
      <c r="I966" s="10" t="str">
        <f>IFERROR((IF(VLOOKUP(A966,'ECN-ECO_DATA'!B:Q,13,FALSE)="","",VLOOKUP(A966,'ECN-ECO_DATA'!B:Q,13,FALSE))),"")</f>
        <v/>
      </c>
      <c r="J966" s="10" t="str">
        <f>IFERROR((IF(VLOOKUP(A966,'ECN-ECO_DATA'!B:Q,14,FALSE)="","",VLOOKUP(A966,'ECN-ECO_DATA'!B:Q,14,FALSE))),"")</f>
        <v/>
      </c>
      <c r="K966" s="10" t="str">
        <f>IFERROR((IF(VLOOKUP(A966,'ECN-ECO_DATA'!B:Q,15,FALSE)="","",VLOOKUP(A966,'ECN-ECO_DATA'!B:Q,15,FALSE))),"")</f>
        <v/>
      </c>
      <c r="L966" s="10" t="str">
        <f>IFERROR((IF(VLOOKUP(A966,'ECN-ECO_DATA'!B:Q,16,FALSE)="","",VLOOKUP(A966,'ECN-ECO_DATA'!B:Q,16,FALSE))),"")</f>
        <v/>
      </c>
      <c r="M966" s="9" t="str">
        <f>IFERROR((IF(VLOOKUP(A966,'ECN-ECO_DATA'!B:V,18,FALSE)=0/1/1900,"",VLOOKUP(A966,'ECN-ECO_DATA'!B:V,18,FALSE))),"")</f>
        <v/>
      </c>
      <c r="N966" s="9" t="str">
        <f>IFERROR((IF(VLOOKUP(A966,'ECN-ECO_DATA'!B:V,19,FALSE)=0/1/1900,"",VLOOKUP(A966,'ECN-ECO_DATA'!B:V,19,FALSE))),"")</f>
        <v/>
      </c>
      <c r="O966" s="9" t="str">
        <f>IFERROR((IF(VLOOKUP(A966,'ECN-ECO_DATA'!B:V,20,FALSE)=0/1/1900,"",VLOOKUP(A966,'ECN-ECO_DATA'!B:V,20,FALSE))),"")</f>
        <v/>
      </c>
      <c r="P966" s="9" t="str">
        <f>IFERROR((IF(VLOOKUP(A966,'ECN-ECO_DATA'!B:V,21,FALSE)=0/1/1900,"",VLOOKUP(A966,'ECN-ECO_DATA'!B:V,21,FALSE))),"")</f>
        <v/>
      </c>
      <c r="Q966" s="10" t="str">
        <f t="shared" ca="1" si="75"/>
        <v/>
      </c>
      <c r="R966" s="4" t="str">
        <f t="shared" si="76"/>
        <v/>
      </c>
      <c r="S966" s="4" t="str">
        <f t="shared" si="77"/>
        <v/>
      </c>
      <c r="T966" s="4" t="str">
        <f t="shared" si="78"/>
        <v/>
      </c>
      <c r="U966" s="10" t="str">
        <f t="shared" si="79"/>
        <v/>
      </c>
      <c r="V966" s="4"/>
    </row>
    <row r="967" spans="2:22" x14ac:dyDescent="0.25">
      <c r="B967" s="4" t="str">
        <f>IFERROR(VLOOKUP(A967,'ECN-ECO_DATA'!B:G,4,FALSE),"")</f>
        <v/>
      </c>
      <c r="C967" s="9" t="str">
        <f>IFERROR(VLOOKUP(A967,'ECN-ECO_DATA'!B:G,5,FALSE),"")</f>
        <v/>
      </c>
      <c r="D967" s="9" t="str">
        <f ca="1">IFERROR((IF(VLOOKUP(A967,'ECN-ECO_DATA'!B:G,6,FALSE)=0/1/1900,TODAY(),VLOOKUP(A967,'ECN-ECO_DATA'!B:G,6,FALSE))),"")</f>
        <v/>
      </c>
      <c r="E967" s="9" t="str">
        <f>IFERROR((IF(VLOOKUP(A967,'ECN-ECO_DATA'!B:G,6,FALSE)=0/1/1900,"",VLOOKUP(A967,'ECN-ECO_DATA'!B:G,6,FALSE))),"")</f>
        <v/>
      </c>
      <c r="F967" s="9" t="str">
        <f>IFERROR((IF(VLOOKUP(A967,'ECN-ECO_DATA'!B:J,7,FALSE)=0/1/1900,"",VLOOKUP(A967,'ECN-ECO_DATA'!B:J,7,FALSE))),"")</f>
        <v/>
      </c>
      <c r="G967" s="9" t="str">
        <f>IFERROR((IF(VLOOKUP(A967,'ECN-ECO_DATA'!B:J,8,FALSE)=0/1/1900,"",VLOOKUP(A967,'ECN-ECO_DATA'!B:J,8,FALSE))),"")</f>
        <v/>
      </c>
      <c r="H967" s="9" t="str">
        <f>IFERROR((IF(VLOOKUP(A967,'ECN-ECO_DATA'!B:J,9,FALSE)=0/1/1900,"",VLOOKUP(A967,'ECN-ECO_DATA'!B:J,9,FALSE))),"")</f>
        <v/>
      </c>
      <c r="I967" s="10" t="str">
        <f>IFERROR((IF(VLOOKUP(A967,'ECN-ECO_DATA'!B:Q,13,FALSE)="","",VLOOKUP(A967,'ECN-ECO_DATA'!B:Q,13,FALSE))),"")</f>
        <v/>
      </c>
      <c r="J967" s="10" t="str">
        <f>IFERROR((IF(VLOOKUP(A967,'ECN-ECO_DATA'!B:Q,14,FALSE)="","",VLOOKUP(A967,'ECN-ECO_DATA'!B:Q,14,FALSE))),"")</f>
        <v/>
      </c>
      <c r="K967" s="10" t="str">
        <f>IFERROR((IF(VLOOKUP(A967,'ECN-ECO_DATA'!B:Q,15,FALSE)="","",VLOOKUP(A967,'ECN-ECO_DATA'!B:Q,15,FALSE))),"")</f>
        <v/>
      </c>
      <c r="L967" s="10" t="str">
        <f>IFERROR((IF(VLOOKUP(A967,'ECN-ECO_DATA'!B:Q,16,FALSE)="","",VLOOKUP(A967,'ECN-ECO_DATA'!B:Q,16,FALSE))),"")</f>
        <v/>
      </c>
      <c r="M967" s="9" t="str">
        <f>IFERROR((IF(VLOOKUP(A967,'ECN-ECO_DATA'!B:V,18,FALSE)=0/1/1900,"",VLOOKUP(A967,'ECN-ECO_DATA'!B:V,18,FALSE))),"")</f>
        <v/>
      </c>
      <c r="N967" s="9" t="str">
        <f>IFERROR((IF(VLOOKUP(A967,'ECN-ECO_DATA'!B:V,19,FALSE)=0/1/1900,"",VLOOKUP(A967,'ECN-ECO_DATA'!B:V,19,FALSE))),"")</f>
        <v/>
      </c>
      <c r="O967" s="9" t="str">
        <f>IFERROR((IF(VLOOKUP(A967,'ECN-ECO_DATA'!B:V,20,FALSE)=0/1/1900,"",VLOOKUP(A967,'ECN-ECO_DATA'!B:V,20,FALSE))),"")</f>
        <v/>
      </c>
      <c r="P967" s="9" t="str">
        <f>IFERROR((IF(VLOOKUP(A967,'ECN-ECO_DATA'!B:V,21,FALSE)=0/1/1900,"",VLOOKUP(A967,'ECN-ECO_DATA'!B:V,21,FALSE))),"")</f>
        <v/>
      </c>
      <c r="Q967" s="10" t="str">
        <f t="shared" ca="1" si="75"/>
        <v/>
      </c>
      <c r="R967" s="4" t="str">
        <f t="shared" si="76"/>
        <v/>
      </c>
      <c r="S967" s="4" t="str">
        <f t="shared" si="77"/>
        <v/>
      </c>
      <c r="T967" s="4" t="str">
        <f t="shared" si="78"/>
        <v/>
      </c>
      <c r="U967" s="10" t="str">
        <f t="shared" si="79"/>
        <v/>
      </c>
      <c r="V967" s="4"/>
    </row>
    <row r="968" spans="2:22" x14ac:dyDescent="0.25">
      <c r="B968" s="4" t="str">
        <f>IFERROR(VLOOKUP(A968,'ECN-ECO_DATA'!B:G,4,FALSE),"")</f>
        <v/>
      </c>
      <c r="C968" s="9" t="str">
        <f>IFERROR(VLOOKUP(A968,'ECN-ECO_DATA'!B:G,5,FALSE),"")</f>
        <v/>
      </c>
      <c r="D968" s="9" t="str">
        <f ca="1">IFERROR((IF(VLOOKUP(A968,'ECN-ECO_DATA'!B:G,6,FALSE)=0/1/1900,TODAY(),VLOOKUP(A968,'ECN-ECO_DATA'!B:G,6,FALSE))),"")</f>
        <v/>
      </c>
      <c r="E968" s="9" t="str">
        <f>IFERROR((IF(VLOOKUP(A968,'ECN-ECO_DATA'!B:G,6,FALSE)=0/1/1900,"",VLOOKUP(A968,'ECN-ECO_DATA'!B:G,6,FALSE))),"")</f>
        <v/>
      </c>
      <c r="F968" s="9" t="str">
        <f>IFERROR((IF(VLOOKUP(A968,'ECN-ECO_DATA'!B:J,7,FALSE)=0/1/1900,"",VLOOKUP(A968,'ECN-ECO_DATA'!B:J,7,FALSE))),"")</f>
        <v/>
      </c>
      <c r="G968" s="9" t="str">
        <f>IFERROR((IF(VLOOKUP(A968,'ECN-ECO_DATA'!B:J,8,FALSE)=0/1/1900,"",VLOOKUP(A968,'ECN-ECO_DATA'!B:J,8,FALSE))),"")</f>
        <v/>
      </c>
      <c r="H968" s="9" t="str">
        <f>IFERROR((IF(VLOOKUP(A968,'ECN-ECO_DATA'!B:J,9,FALSE)=0/1/1900,"",VLOOKUP(A968,'ECN-ECO_DATA'!B:J,9,FALSE))),"")</f>
        <v/>
      </c>
      <c r="I968" s="10" t="str">
        <f>IFERROR((IF(VLOOKUP(A968,'ECN-ECO_DATA'!B:Q,13,FALSE)="","",VLOOKUP(A968,'ECN-ECO_DATA'!B:Q,13,FALSE))),"")</f>
        <v/>
      </c>
      <c r="J968" s="10" t="str">
        <f>IFERROR((IF(VLOOKUP(A968,'ECN-ECO_DATA'!B:Q,14,FALSE)="","",VLOOKUP(A968,'ECN-ECO_DATA'!B:Q,14,FALSE))),"")</f>
        <v/>
      </c>
      <c r="K968" s="10" t="str">
        <f>IFERROR((IF(VLOOKUP(A968,'ECN-ECO_DATA'!B:Q,15,FALSE)="","",VLOOKUP(A968,'ECN-ECO_DATA'!B:Q,15,FALSE))),"")</f>
        <v/>
      </c>
      <c r="L968" s="10" t="str">
        <f>IFERROR((IF(VLOOKUP(A968,'ECN-ECO_DATA'!B:Q,16,FALSE)="","",VLOOKUP(A968,'ECN-ECO_DATA'!B:Q,16,FALSE))),"")</f>
        <v/>
      </c>
      <c r="M968" s="9" t="str">
        <f>IFERROR((IF(VLOOKUP(A968,'ECN-ECO_DATA'!B:V,18,FALSE)=0/1/1900,"",VLOOKUP(A968,'ECN-ECO_DATA'!B:V,18,FALSE))),"")</f>
        <v/>
      </c>
      <c r="N968" s="9" t="str">
        <f>IFERROR((IF(VLOOKUP(A968,'ECN-ECO_DATA'!B:V,19,FALSE)=0/1/1900,"",VLOOKUP(A968,'ECN-ECO_DATA'!B:V,19,FALSE))),"")</f>
        <v/>
      </c>
      <c r="O968" s="9" t="str">
        <f>IFERROR((IF(VLOOKUP(A968,'ECN-ECO_DATA'!B:V,20,FALSE)=0/1/1900,"",VLOOKUP(A968,'ECN-ECO_DATA'!B:V,20,FALSE))),"")</f>
        <v/>
      </c>
      <c r="P968" s="9" t="str">
        <f>IFERROR((IF(VLOOKUP(A968,'ECN-ECO_DATA'!B:V,21,FALSE)=0/1/1900,"",VLOOKUP(A968,'ECN-ECO_DATA'!B:V,21,FALSE))),"")</f>
        <v/>
      </c>
      <c r="Q968" s="10" t="str">
        <f t="shared" ca="1" si="75"/>
        <v/>
      </c>
      <c r="R968" s="4" t="str">
        <f t="shared" si="76"/>
        <v/>
      </c>
      <c r="S968" s="4" t="str">
        <f t="shared" si="77"/>
        <v/>
      </c>
      <c r="T968" s="4" t="str">
        <f t="shared" si="78"/>
        <v/>
      </c>
      <c r="U968" s="10" t="str">
        <f t="shared" si="79"/>
        <v/>
      </c>
      <c r="V968" s="4"/>
    </row>
    <row r="969" spans="2:22" x14ac:dyDescent="0.25">
      <c r="B969" s="4" t="str">
        <f>IFERROR(VLOOKUP(A969,'ECN-ECO_DATA'!B:G,4,FALSE),"")</f>
        <v/>
      </c>
      <c r="C969" s="9" t="str">
        <f>IFERROR(VLOOKUP(A969,'ECN-ECO_DATA'!B:G,5,FALSE),"")</f>
        <v/>
      </c>
      <c r="D969" s="9" t="str">
        <f ca="1">IFERROR((IF(VLOOKUP(A969,'ECN-ECO_DATA'!B:G,6,FALSE)=0/1/1900,TODAY(),VLOOKUP(A969,'ECN-ECO_DATA'!B:G,6,FALSE))),"")</f>
        <v/>
      </c>
      <c r="E969" s="9" t="str">
        <f>IFERROR((IF(VLOOKUP(A969,'ECN-ECO_DATA'!B:G,6,FALSE)=0/1/1900,"",VLOOKUP(A969,'ECN-ECO_DATA'!B:G,6,FALSE))),"")</f>
        <v/>
      </c>
      <c r="F969" s="9" t="str">
        <f>IFERROR((IF(VLOOKUP(A969,'ECN-ECO_DATA'!B:J,7,FALSE)=0/1/1900,"",VLOOKUP(A969,'ECN-ECO_DATA'!B:J,7,FALSE))),"")</f>
        <v/>
      </c>
      <c r="G969" s="9" t="str">
        <f>IFERROR((IF(VLOOKUP(A969,'ECN-ECO_DATA'!B:J,8,FALSE)=0/1/1900,"",VLOOKUP(A969,'ECN-ECO_DATA'!B:J,8,FALSE))),"")</f>
        <v/>
      </c>
      <c r="H969" s="9" t="str">
        <f>IFERROR((IF(VLOOKUP(A969,'ECN-ECO_DATA'!B:J,9,FALSE)=0/1/1900,"",VLOOKUP(A969,'ECN-ECO_DATA'!B:J,9,FALSE))),"")</f>
        <v/>
      </c>
      <c r="I969" s="10" t="str">
        <f>IFERROR((IF(VLOOKUP(A969,'ECN-ECO_DATA'!B:Q,13,FALSE)="","",VLOOKUP(A969,'ECN-ECO_DATA'!B:Q,13,FALSE))),"")</f>
        <v/>
      </c>
      <c r="J969" s="10" t="str">
        <f>IFERROR((IF(VLOOKUP(A969,'ECN-ECO_DATA'!B:Q,14,FALSE)="","",VLOOKUP(A969,'ECN-ECO_DATA'!B:Q,14,FALSE))),"")</f>
        <v/>
      </c>
      <c r="K969" s="10" t="str">
        <f>IFERROR((IF(VLOOKUP(A969,'ECN-ECO_DATA'!B:Q,15,FALSE)="","",VLOOKUP(A969,'ECN-ECO_DATA'!B:Q,15,FALSE))),"")</f>
        <v/>
      </c>
      <c r="L969" s="10" t="str">
        <f>IFERROR((IF(VLOOKUP(A969,'ECN-ECO_DATA'!B:Q,16,FALSE)="","",VLOOKUP(A969,'ECN-ECO_DATA'!B:Q,16,FALSE))),"")</f>
        <v/>
      </c>
      <c r="M969" s="9" t="str">
        <f>IFERROR((IF(VLOOKUP(A969,'ECN-ECO_DATA'!B:V,18,FALSE)=0/1/1900,"",VLOOKUP(A969,'ECN-ECO_DATA'!B:V,18,FALSE))),"")</f>
        <v/>
      </c>
      <c r="N969" s="9" t="str">
        <f>IFERROR((IF(VLOOKUP(A969,'ECN-ECO_DATA'!B:V,19,FALSE)=0/1/1900,"",VLOOKUP(A969,'ECN-ECO_DATA'!B:V,19,FALSE))),"")</f>
        <v/>
      </c>
      <c r="O969" s="9" t="str">
        <f>IFERROR((IF(VLOOKUP(A969,'ECN-ECO_DATA'!B:V,20,FALSE)=0/1/1900,"",VLOOKUP(A969,'ECN-ECO_DATA'!B:V,20,FALSE))),"")</f>
        <v/>
      </c>
      <c r="P969" s="9" t="str">
        <f>IFERROR((IF(VLOOKUP(A969,'ECN-ECO_DATA'!B:V,21,FALSE)=0/1/1900,"",VLOOKUP(A969,'ECN-ECO_DATA'!B:V,21,FALSE))),"")</f>
        <v/>
      </c>
      <c r="Q969" s="10" t="str">
        <f t="shared" ca="1" si="75"/>
        <v/>
      </c>
      <c r="R969" s="4" t="str">
        <f t="shared" si="76"/>
        <v/>
      </c>
      <c r="S969" s="4" t="str">
        <f t="shared" si="77"/>
        <v/>
      </c>
      <c r="T969" s="4" t="str">
        <f t="shared" si="78"/>
        <v/>
      </c>
      <c r="U969" s="10" t="str">
        <f t="shared" si="79"/>
        <v/>
      </c>
      <c r="V969" s="4"/>
    </row>
    <row r="970" spans="2:22" x14ac:dyDescent="0.25">
      <c r="B970" s="4" t="str">
        <f>IFERROR(VLOOKUP(A970,'ECN-ECO_DATA'!B:G,4,FALSE),"")</f>
        <v/>
      </c>
      <c r="C970" s="9" t="str">
        <f>IFERROR(VLOOKUP(A970,'ECN-ECO_DATA'!B:G,5,FALSE),"")</f>
        <v/>
      </c>
      <c r="D970" s="9" t="str">
        <f ca="1">IFERROR((IF(VLOOKUP(A970,'ECN-ECO_DATA'!B:G,6,FALSE)=0/1/1900,TODAY(),VLOOKUP(A970,'ECN-ECO_DATA'!B:G,6,FALSE))),"")</f>
        <v/>
      </c>
      <c r="E970" s="9" t="str">
        <f>IFERROR((IF(VLOOKUP(A970,'ECN-ECO_DATA'!B:G,6,FALSE)=0/1/1900,"",VLOOKUP(A970,'ECN-ECO_DATA'!B:G,6,FALSE))),"")</f>
        <v/>
      </c>
      <c r="F970" s="9" t="str">
        <f>IFERROR((IF(VLOOKUP(A970,'ECN-ECO_DATA'!B:J,7,FALSE)=0/1/1900,"",VLOOKUP(A970,'ECN-ECO_DATA'!B:J,7,FALSE))),"")</f>
        <v/>
      </c>
      <c r="G970" s="9" t="str">
        <f>IFERROR((IF(VLOOKUP(A970,'ECN-ECO_DATA'!B:J,8,FALSE)=0/1/1900,"",VLOOKUP(A970,'ECN-ECO_DATA'!B:J,8,FALSE))),"")</f>
        <v/>
      </c>
      <c r="H970" s="9" t="str">
        <f>IFERROR((IF(VLOOKUP(A970,'ECN-ECO_DATA'!B:J,9,FALSE)=0/1/1900,"",VLOOKUP(A970,'ECN-ECO_DATA'!B:J,9,FALSE))),"")</f>
        <v/>
      </c>
      <c r="I970" s="10" t="str">
        <f>IFERROR((IF(VLOOKUP(A970,'ECN-ECO_DATA'!B:Q,13,FALSE)="","",VLOOKUP(A970,'ECN-ECO_DATA'!B:Q,13,FALSE))),"")</f>
        <v/>
      </c>
      <c r="J970" s="10" t="str">
        <f>IFERROR((IF(VLOOKUP(A970,'ECN-ECO_DATA'!B:Q,14,FALSE)="","",VLOOKUP(A970,'ECN-ECO_DATA'!B:Q,14,FALSE))),"")</f>
        <v/>
      </c>
      <c r="K970" s="10" t="str">
        <f>IFERROR((IF(VLOOKUP(A970,'ECN-ECO_DATA'!B:Q,15,FALSE)="","",VLOOKUP(A970,'ECN-ECO_DATA'!B:Q,15,FALSE))),"")</f>
        <v/>
      </c>
      <c r="L970" s="10" t="str">
        <f>IFERROR((IF(VLOOKUP(A970,'ECN-ECO_DATA'!B:Q,16,FALSE)="","",VLOOKUP(A970,'ECN-ECO_DATA'!B:Q,16,FALSE))),"")</f>
        <v/>
      </c>
      <c r="M970" s="9" t="str">
        <f>IFERROR((IF(VLOOKUP(A970,'ECN-ECO_DATA'!B:V,18,FALSE)=0/1/1900,"",VLOOKUP(A970,'ECN-ECO_DATA'!B:V,18,FALSE))),"")</f>
        <v/>
      </c>
      <c r="N970" s="9" t="str">
        <f>IFERROR((IF(VLOOKUP(A970,'ECN-ECO_DATA'!B:V,19,FALSE)=0/1/1900,"",VLOOKUP(A970,'ECN-ECO_DATA'!B:V,19,FALSE))),"")</f>
        <v/>
      </c>
      <c r="O970" s="9" t="str">
        <f>IFERROR((IF(VLOOKUP(A970,'ECN-ECO_DATA'!B:V,20,FALSE)=0/1/1900,"",VLOOKUP(A970,'ECN-ECO_DATA'!B:V,20,FALSE))),"")</f>
        <v/>
      </c>
      <c r="P970" s="9" t="str">
        <f>IFERROR((IF(VLOOKUP(A970,'ECN-ECO_DATA'!B:V,21,FALSE)=0/1/1900,"",VLOOKUP(A970,'ECN-ECO_DATA'!B:V,21,FALSE))),"")</f>
        <v/>
      </c>
      <c r="Q970" s="10" t="str">
        <f t="shared" ca="1" si="75"/>
        <v/>
      </c>
      <c r="R970" s="4" t="str">
        <f t="shared" si="76"/>
        <v/>
      </c>
      <c r="S970" s="4" t="str">
        <f t="shared" si="77"/>
        <v/>
      </c>
      <c r="T970" s="4" t="str">
        <f t="shared" si="78"/>
        <v/>
      </c>
      <c r="U970" s="10" t="str">
        <f t="shared" si="79"/>
        <v/>
      </c>
      <c r="V970" s="4"/>
    </row>
    <row r="971" spans="2:22" x14ac:dyDescent="0.25">
      <c r="B971" s="4" t="str">
        <f>IFERROR(VLOOKUP(A971,'ECN-ECO_DATA'!B:G,4,FALSE),"")</f>
        <v/>
      </c>
      <c r="C971" s="9" t="str">
        <f>IFERROR(VLOOKUP(A971,'ECN-ECO_DATA'!B:G,5,FALSE),"")</f>
        <v/>
      </c>
      <c r="D971" s="9" t="str">
        <f ca="1">IFERROR((IF(VLOOKUP(A971,'ECN-ECO_DATA'!B:G,6,FALSE)=0/1/1900,TODAY(),VLOOKUP(A971,'ECN-ECO_DATA'!B:G,6,FALSE))),"")</f>
        <v/>
      </c>
      <c r="E971" s="9" t="str">
        <f>IFERROR((IF(VLOOKUP(A971,'ECN-ECO_DATA'!B:G,6,FALSE)=0/1/1900,"",VLOOKUP(A971,'ECN-ECO_DATA'!B:G,6,FALSE))),"")</f>
        <v/>
      </c>
      <c r="F971" s="9" t="str">
        <f>IFERROR((IF(VLOOKUP(A971,'ECN-ECO_DATA'!B:J,7,FALSE)=0/1/1900,"",VLOOKUP(A971,'ECN-ECO_DATA'!B:J,7,FALSE))),"")</f>
        <v/>
      </c>
      <c r="G971" s="9" t="str">
        <f>IFERROR((IF(VLOOKUP(A971,'ECN-ECO_DATA'!B:J,8,FALSE)=0/1/1900,"",VLOOKUP(A971,'ECN-ECO_DATA'!B:J,8,FALSE))),"")</f>
        <v/>
      </c>
      <c r="H971" s="9" t="str">
        <f>IFERROR((IF(VLOOKUP(A971,'ECN-ECO_DATA'!B:J,9,FALSE)=0/1/1900,"",VLOOKUP(A971,'ECN-ECO_DATA'!B:J,9,FALSE))),"")</f>
        <v/>
      </c>
      <c r="I971" s="10" t="str">
        <f>IFERROR((IF(VLOOKUP(A971,'ECN-ECO_DATA'!B:Q,13,FALSE)="","",VLOOKUP(A971,'ECN-ECO_DATA'!B:Q,13,FALSE))),"")</f>
        <v/>
      </c>
      <c r="J971" s="10" t="str">
        <f>IFERROR((IF(VLOOKUP(A971,'ECN-ECO_DATA'!B:Q,14,FALSE)="","",VLOOKUP(A971,'ECN-ECO_DATA'!B:Q,14,FALSE))),"")</f>
        <v/>
      </c>
      <c r="K971" s="10" t="str">
        <f>IFERROR((IF(VLOOKUP(A971,'ECN-ECO_DATA'!B:Q,15,FALSE)="","",VLOOKUP(A971,'ECN-ECO_DATA'!B:Q,15,FALSE))),"")</f>
        <v/>
      </c>
      <c r="L971" s="10" t="str">
        <f>IFERROR((IF(VLOOKUP(A971,'ECN-ECO_DATA'!B:Q,16,FALSE)="","",VLOOKUP(A971,'ECN-ECO_DATA'!B:Q,16,FALSE))),"")</f>
        <v/>
      </c>
      <c r="M971" s="9" t="str">
        <f>IFERROR((IF(VLOOKUP(A971,'ECN-ECO_DATA'!B:V,18,FALSE)=0/1/1900,"",VLOOKUP(A971,'ECN-ECO_DATA'!B:V,18,FALSE))),"")</f>
        <v/>
      </c>
      <c r="N971" s="9" t="str">
        <f>IFERROR((IF(VLOOKUP(A971,'ECN-ECO_DATA'!B:V,19,FALSE)=0/1/1900,"",VLOOKUP(A971,'ECN-ECO_DATA'!B:V,19,FALSE))),"")</f>
        <v/>
      </c>
      <c r="O971" s="9" t="str">
        <f>IFERROR((IF(VLOOKUP(A971,'ECN-ECO_DATA'!B:V,20,FALSE)=0/1/1900,"",VLOOKUP(A971,'ECN-ECO_DATA'!B:V,20,FALSE))),"")</f>
        <v/>
      </c>
      <c r="P971" s="9" t="str">
        <f>IFERROR((IF(VLOOKUP(A971,'ECN-ECO_DATA'!B:V,21,FALSE)=0/1/1900,"",VLOOKUP(A971,'ECN-ECO_DATA'!B:V,21,FALSE))),"")</f>
        <v/>
      </c>
      <c r="Q971" s="10" t="str">
        <f t="shared" ca="1" si="75"/>
        <v/>
      </c>
      <c r="R971" s="4" t="str">
        <f t="shared" si="76"/>
        <v/>
      </c>
      <c r="S971" s="4" t="str">
        <f t="shared" si="77"/>
        <v/>
      </c>
      <c r="T971" s="4" t="str">
        <f t="shared" si="78"/>
        <v/>
      </c>
      <c r="U971" s="10" t="str">
        <f t="shared" si="79"/>
        <v/>
      </c>
      <c r="V971" s="4"/>
    </row>
    <row r="972" spans="2:22" x14ac:dyDescent="0.25">
      <c r="B972" s="4" t="str">
        <f>IFERROR(VLOOKUP(A972,'ECN-ECO_DATA'!B:G,4,FALSE),"")</f>
        <v/>
      </c>
      <c r="C972" s="9" t="str">
        <f>IFERROR(VLOOKUP(A972,'ECN-ECO_DATA'!B:G,5,FALSE),"")</f>
        <v/>
      </c>
      <c r="D972" s="9" t="str">
        <f ca="1">IFERROR((IF(VLOOKUP(A972,'ECN-ECO_DATA'!B:G,6,FALSE)=0/1/1900,TODAY(),VLOOKUP(A972,'ECN-ECO_DATA'!B:G,6,FALSE))),"")</f>
        <v/>
      </c>
      <c r="E972" s="9" t="str">
        <f>IFERROR((IF(VLOOKUP(A972,'ECN-ECO_DATA'!B:G,6,FALSE)=0/1/1900,"",VLOOKUP(A972,'ECN-ECO_DATA'!B:G,6,FALSE))),"")</f>
        <v/>
      </c>
      <c r="F972" s="9" t="str">
        <f>IFERROR((IF(VLOOKUP(A972,'ECN-ECO_DATA'!B:J,7,FALSE)=0/1/1900,"",VLOOKUP(A972,'ECN-ECO_DATA'!B:J,7,FALSE))),"")</f>
        <v/>
      </c>
      <c r="G972" s="9" t="str">
        <f>IFERROR((IF(VLOOKUP(A972,'ECN-ECO_DATA'!B:J,8,FALSE)=0/1/1900,"",VLOOKUP(A972,'ECN-ECO_DATA'!B:J,8,FALSE))),"")</f>
        <v/>
      </c>
      <c r="H972" s="9" t="str">
        <f>IFERROR((IF(VLOOKUP(A972,'ECN-ECO_DATA'!B:J,9,FALSE)=0/1/1900,"",VLOOKUP(A972,'ECN-ECO_DATA'!B:J,9,FALSE))),"")</f>
        <v/>
      </c>
      <c r="I972" s="10" t="str">
        <f>IFERROR((IF(VLOOKUP(A972,'ECN-ECO_DATA'!B:Q,13,FALSE)="","",VLOOKUP(A972,'ECN-ECO_DATA'!B:Q,13,FALSE))),"")</f>
        <v/>
      </c>
      <c r="J972" s="10" t="str">
        <f>IFERROR((IF(VLOOKUP(A972,'ECN-ECO_DATA'!B:Q,14,FALSE)="","",VLOOKUP(A972,'ECN-ECO_DATA'!B:Q,14,FALSE))),"")</f>
        <v/>
      </c>
      <c r="K972" s="10" t="str">
        <f>IFERROR((IF(VLOOKUP(A972,'ECN-ECO_DATA'!B:Q,15,FALSE)="","",VLOOKUP(A972,'ECN-ECO_DATA'!B:Q,15,FALSE))),"")</f>
        <v/>
      </c>
      <c r="L972" s="10" t="str">
        <f>IFERROR((IF(VLOOKUP(A972,'ECN-ECO_DATA'!B:Q,16,FALSE)="","",VLOOKUP(A972,'ECN-ECO_DATA'!B:Q,16,FALSE))),"")</f>
        <v/>
      </c>
      <c r="M972" s="9" t="str">
        <f>IFERROR((IF(VLOOKUP(A972,'ECN-ECO_DATA'!B:V,18,FALSE)=0/1/1900,"",VLOOKUP(A972,'ECN-ECO_DATA'!B:V,18,FALSE))),"")</f>
        <v/>
      </c>
      <c r="N972" s="9" t="str">
        <f>IFERROR((IF(VLOOKUP(A972,'ECN-ECO_DATA'!B:V,19,FALSE)=0/1/1900,"",VLOOKUP(A972,'ECN-ECO_DATA'!B:V,19,FALSE))),"")</f>
        <v/>
      </c>
      <c r="O972" s="9" t="str">
        <f>IFERROR((IF(VLOOKUP(A972,'ECN-ECO_DATA'!B:V,20,FALSE)=0/1/1900,"",VLOOKUP(A972,'ECN-ECO_DATA'!B:V,20,FALSE))),"")</f>
        <v/>
      </c>
      <c r="P972" s="9" t="str">
        <f>IFERROR((IF(VLOOKUP(A972,'ECN-ECO_DATA'!B:V,21,FALSE)=0/1/1900,"",VLOOKUP(A972,'ECN-ECO_DATA'!B:V,21,FALSE))),"")</f>
        <v/>
      </c>
      <c r="Q972" s="10" t="str">
        <f t="shared" ca="1" si="75"/>
        <v/>
      </c>
      <c r="R972" s="4" t="str">
        <f t="shared" si="76"/>
        <v/>
      </c>
      <c r="S972" s="4" t="str">
        <f t="shared" si="77"/>
        <v/>
      </c>
      <c r="T972" s="4" t="str">
        <f t="shared" si="78"/>
        <v/>
      </c>
      <c r="U972" s="10" t="str">
        <f t="shared" si="79"/>
        <v/>
      </c>
      <c r="V972" s="4"/>
    </row>
    <row r="973" spans="2:22" x14ac:dyDescent="0.25">
      <c r="B973" s="4" t="str">
        <f>IFERROR(VLOOKUP(A973,'ECN-ECO_DATA'!B:G,4,FALSE),"")</f>
        <v/>
      </c>
      <c r="C973" s="9" t="str">
        <f>IFERROR(VLOOKUP(A973,'ECN-ECO_DATA'!B:G,5,FALSE),"")</f>
        <v/>
      </c>
      <c r="D973" s="9" t="str">
        <f ca="1">IFERROR((IF(VLOOKUP(A973,'ECN-ECO_DATA'!B:G,6,FALSE)=0/1/1900,TODAY(),VLOOKUP(A973,'ECN-ECO_DATA'!B:G,6,FALSE))),"")</f>
        <v/>
      </c>
      <c r="E973" s="9" t="str">
        <f>IFERROR((IF(VLOOKUP(A973,'ECN-ECO_DATA'!B:G,6,FALSE)=0/1/1900,"",VLOOKUP(A973,'ECN-ECO_DATA'!B:G,6,FALSE))),"")</f>
        <v/>
      </c>
      <c r="F973" s="9" t="str">
        <f>IFERROR((IF(VLOOKUP(A973,'ECN-ECO_DATA'!B:J,7,FALSE)=0/1/1900,"",VLOOKUP(A973,'ECN-ECO_DATA'!B:J,7,FALSE))),"")</f>
        <v/>
      </c>
      <c r="G973" s="9" t="str">
        <f>IFERROR((IF(VLOOKUP(A973,'ECN-ECO_DATA'!B:J,8,FALSE)=0/1/1900,"",VLOOKUP(A973,'ECN-ECO_DATA'!B:J,8,FALSE))),"")</f>
        <v/>
      </c>
      <c r="H973" s="9" t="str">
        <f>IFERROR((IF(VLOOKUP(A973,'ECN-ECO_DATA'!B:J,9,FALSE)=0/1/1900,"",VLOOKUP(A973,'ECN-ECO_DATA'!B:J,9,FALSE))),"")</f>
        <v/>
      </c>
      <c r="I973" s="10" t="str">
        <f>IFERROR((IF(VLOOKUP(A973,'ECN-ECO_DATA'!B:Q,13,FALSE)="","",VLOOKUP(A973,'ECN-ECO_DATA'!B:Q,13,FALSE))),"")</f>
        <v/>
      </c>
      <c r="J973" s="10" t="str">
        <f>IFERROR((IF(VLOOKUP(A973,'ECN-ECO_DATA'!B:Q,14,FALSE)="","",VLOOKUP(A973,'ECN-ECO_DATA'!B:Q,14,FALSE))),"")</f>
        <v/>
      </c>
      <c r="K973" s="10" t="str">
        <f>IFERROR((IF(VLOOKUP(A973,'ECN-ECO_DATA'!B:Q,15,FALSE)="","",VLOOKUP(A973,'ECN-ECO_DATA'!B:Q,15,FALSE))),"")</f>
        <v/>
      </c>
      <c r="L973" s="10" t="str">
        <f>IFERROR((IF(VLOOKUP(A973,'ECN-ECO_DATA'!B:Q,16,FALSE)="","",VLOOKUP(A973,'ECN-ECO_DATA'!B:Q,16,FALSE))),"")</f>
        <v/>
      </c>
      <c r="M973" s="9" t="str">
        <f>IFERROR((IF(VLOOKUP(A973,'ECN-ECO_DATA'!B:V,18,FALSE)=0/1/1900,"",VLOOKUP(A973,'ECN-ECO_DATA'!B:V,18,FALSE))),"")</f>
        <v/>
      </c>
      <c r="N973" s="9" t="str">
        <f>IFERROR((IF(VLOOKUP(A973,'ECN-ECO_DATA'!B:V,19,FALSE)=0/1/1900,"",VLOOKUP(A973,'ECN-ECO_DATA'!B:V,19,FALSE))),"")</f>
        <v/>
      </c>
      <c r="O973" s="9" t="str">
        <f>IFERROR((IF(VLOOKUP(A973,'ECN-ECO_DATA'!B:V,20,FALSE)=0/1/1900,"",VLOOKUP(A973,'ECN-ECO_DATA'!B:V,20,FALSE))),"")</f>
        <v/>
      </c>
      <c r="P973" s="9" t="str">
        <f>IFERROR((IF(VLOOKUP(A973,'ECN-ECO_DATA'!B:V,21,FALSE)=0/1/1900,"",VLOOKUP(A973,'ECN-ECO_DATA'!B:V,21,FALSE))),"")</f>
        <v/>
      </c>
      <c r="Q973" s="10" t="str">
        <f t="shared" ca="1" si="75"/>
        <v/>
      </c>
      <c r="R973" s="4" t="str">
        <f t="shared" si="76"/>
        <v/>
      </c>
      <c r="S973" s="4" t="str">
        <f t="shared" si="77"/>
        <v/>
      </c>
      <c r="T973" s="4" t="str">
        <f t="shared" si="78"/>
        <v/>
      </c>
      <c r="U973" s="10" t="str">
        <f t="shared" si="79"/>
        <v/>
      </c>
      <c r="V973" s="4"/>
    </row>
    <row r="974" spans="2:22" x14ac:dyDescent="0.25">
      <c r="B974" s="4" t="str">
        <f>IFERROR(VLOOKUP(A974,'ECN-ECO_DATA'!B:G,4,FALSE),"")</f>
        <v/>
      </c>
      <c r="C974" s="9" t="str">
        <f>IFERROR(VLOOKUP(A974,'ECN-ECO_DATA'!B:G,5,FALSE),"")</f>
        <v/>
      </c>
      <c r="D974" s="9" t="str">
        <f ca="1">IFERROR((IF(VLOOKUP(A974,'ECN-ECO_DATA'!B:G,6,FALSE)=0/1/1900,TODAY(),VLOOKUP(A974,'ECN-ECO_DATA'!B:G,6,FALSE))),"")</f>
        <v/>
      </c>
      <c r="E974" s="9" t="str">
        <f>IFERROR((IF(VLOOKUP(A974,'ECN-ECO_DATA'!B:G,6,FALSE)=0/1/1900,"",VLOOKUP(A974,'ECN-ECO_DATA'!B:G,6,FALSE))),"")</f>
        <v/>
      </c>
      <c r="F974" s="9" t="str">
        <f>IFERROR((IF(VLOOKUP(A974,'ECN-ECO_DATA'!B:J,7,FALSE)=0/1/1900,"",VLOOKUP(A974,'ECN-ECO_DATA'!B:J,7,FALSE))),"")</f>
        <v/>
      </c>
      <c r="G974" s="9" t="str">
        <f>IFERROR((IF(VLOOKUP(A974,'ECN-ECO_DATA'!B:J,8,FALSE)=0/1/1900,"",VLOOKUP(A974,'ECN-ECO_DATA'!B:J,8,FALSE))),"")</f>
        <v/>
      </c>
      <c r="H974" s="9" t="str">
        <f>IFERROR((IF(VLOOKUP(A974,'ECN-ECO_DATA'!B:J,9,FALSE)=0/1/1900,"",VLOOKUP(A974,'ECN-ECO_DATA'!B:J,9,FALSE))),"")</f>
        <v/>
      </c>
      <c r="I974" s="10" t="str">
        <f>IFERROR((IF(VLOOKUP(A974,'ECN-ECO_DATA'!B:Q,13,FALSE)="","",VLOOKUP(A974,'ECN-ECO_DATA'!B:Q,13,FALSE))),"")</f>
        <v/>
      </c>
      <c r="J974" s="10" t="str">
        <f>IFERROR((IF(VLOOKUP(A974,'ECN-ECO_DATA'!B:Q,14,FALSE)="","",VLOOKUP(A974,'ECN-ECO_DATA'!B:Q,14,FALSE))),"")</f>
        <v/>
      </c>
      <c r="K974" s="10" t="str">
        <f>IFERROR((IF(VLOOKUP(A974,'ECN-ECO_DATA'!B:Q,15,FALSE)="","",VLOOKUP(A974,'ECN-ECO_DATA'!B:Q,15,FALSE))),"")</f>
        <v/>
      </c>
      <c r="L974" s="10" t="str">
        <f>IFERROR((IF(VLOOKUP(A974,'ECN-ECO_DATA'!B:Q,16,FALSE)="","",VLOOKUP(A974,'ECN-ECO_DATA'!B:Q,16,FALSE))),"")</f>
        <v/>
      </c>
      <c r="M974" s="9" t="str">
        <f>IFERROR((IF(VLOOKUP(A974,'ECN-ECO_DATA'!B:V,18,FALSE)=0/1/1900,"",VLOOKUP(A974,'ECN-ECO_DATA'!B:V,18,FALSE))),"")</f>
        <v/>
      </c>
      <c r="N974" s="9" t="str">
        <f>IFERROR((IF(VLOOKUP(A974,'ECN-ECO_DATA'!B:V,19,FALSE)=0/1/1900,"",VLOOKUP(A974,'ECN-ECO_DATA'!B:V,19,FALSE))),"")</f>
        <v/>
      </c>
      <c r="O974" s="9" t="str">
        <f>IFERROR((IF(VLOOKUP(A974,'ECN-ECO_DATA'!B:V,20,FALSE)=0/1/1900,"",VLOOKUP(A974,'ECN-ECO_DATA'!B:V,20,FALSE))),"")</f>
        <v/>
      </c>
      <c r="P974" s="9" t="str">
        <f>IFERROR((IF(VLOOKUP(A974,'ECN-ECO_DATA'!B:V,21,FALSE)=0/1/1900,"",VLOOKUP(A974,'ECN-ECO_DATA'!B:V,21,FALSE))),"")</f>
        <v/>
      </c>
      <c r="Q974" s="10" t="str">
        <f t="shared" ca="1" si="75"/>
        <v/>
      </c>
      <c r="R974" s="4" t="str">
        <f t="shared" si="76"/>
        <v/>
      </c>
      <c r="S974" s="4" t="str">
        <f t="shared" si="77"/>
        <v/>
      </c>
      <c r="T974" s="4" t="str">
        <f t="shared" si="78"/>
        <v/>
      </c>
      <c r="U974" s="10" t="str">
        <f t="shared" si="79"/>
        <v/>
      </c>
      <c r="V974" s="4"/>
    </row>
    <row r="975" spans="2:22" x14ac:dyDescent="0.25">
      <c r="B975" s="4" t="str">
        <f>IFERROR(VLOOKUP(A975,'ECN-ECO_DATA'!B:G,4,FALSE),"")</f>
        <v/>
      </c>
      <c r="C975" s="9" t="str">
        <f>IFERROR(VLOOKUP(A975,'ECN-ECO_DATA'!B:G,5,FALSE),"")</f>
        <v/>
      </c>
      <c r="D975" s="9" t="str">
        <f ca="1">IFERROR((IF(VLOOKUP(A975,'ECN-ECO_DATA'!B:G,6,FALSE)=0/1/1900,TODAY(),VLOOKUP(A975,'ECN-ECO_DATA'!B:G,6,FALSE))),"")</f>
        <v/>
      </c>
      <c r="E975" s="9" t="str">
        <f>IFERROR((IF(VLOOKUP(A975,'ECN-ECO_DATA'!B:G,6,FALSE)=0/1/1900,"",VLOOKUP(A975,'ECN-ECO_DATA'!B:G,6,FALSE))),"")</f>
        <v/>
      </c>
      <c r="F975" s="9" t="str">
        <f>IFERROR((IF(VLOOKUP(A975,'ECN-ECO_DATA'!B:J,7,FALSE)=0/1/1900,"",VLOOKUP(A975,'ECN-ECO_DATA'!B:J,7,FALSE))),"")</f>
        <v/>
      </c>
      <c r="G975" s="9" t="str">
        <f>IFERROR((IF(VLOOKUP(A975,'ECN-ECO_DATA'!B:J,8,FALSE)=0/1/1900,"",VLOOKUP(A975,'ECN-ECO_DATA'!B:J,8,FALSE))),"")</f>
        <v/>
      </c>
      <c r="H975" s="9" t="str">
        <f>IFERROR((IF(VLOOKUP(A975,'ECN-ECO_DATA'!B:J,9,FALSE)=0/1/1900,"",VLOOKUP(A975,'ECN-ECO_DATA'!B:J,9,FALSE))),"")</f>
        <v/>
      </c>
      <c r="I975" s="10" t="str">
        <f>IFERROR((IF(VLOOKUP(A975,'ECN-ECO_DATA'!B:Q,13,FALSE)="","",VLOOKUP(A975,'ECN-ECO_DATA'!B:Q,13,FALSE))),"")</f>
        <v/>
      </c>
      <c r="J975" s="10" t="str">
        <f>IFERROR((IF(VLOOKUP(A975,'ECN-ECO_DATA'!B:Q,14,FALSE)="","",VLOOKUP(A975,'ECN-ECO_DATA'!B:Q,14,FALSE))),"")</f>
        <v/>
      </c>
      <c r="K975" s="10" t="str">
        <f>IFERROR((IF(VLOOKUP(A975,'ECN-ECO_DATA'!B:Q,15,FALSE)="","",VLOOKUP(A975,'ECN-ECO_DATA'!B:Q,15,FALSE))),"")</f>
        <v/>
      </c>
      <c r="L975" s="10" t="str">
        <f>IFERROR((IF(VLOOKUP(A975,'ECN-ECO_DATA'!B:Q,16,FALSE)="","",VLOOKUP(A975,'ECN-ECO_DATA'!B:Q,16,FALSE))),"")</f>
        <v/>
      </c>
      <c r="M975" s="9" t="str">
        <f>IFERROR((IF(VLOOKUP(A975,'ECN-ECO_DATA'!B:V,18,FALSE)=0/1/1900,"",VLOOKUP(A975,'ECN-ECO_DATA'!B:V,18,FALSE))),"")</f>
        <v/>
      </c>
      <c r="N975" s="9" t="str">
        <f>IFERROR((IF(VLOOKUP(A975,'ECN-ECO_DATA'!B:V,19,FALSE)=0/1/1900,"",VLOOKUP(A975,'ECN-ECO_DATA'!B:V,19,FALSE))),"")</f>
        <v/>
      </c>
      <c r="O975" s="9" t="str">
        <f>IFERROR((IF(VLOOKUP(A975,'ECN-ECO_DATA'!B:V,20,FALSE)=0/1/1900,"",VLOOKUP(A975,'ECN-ECO_DATA'!B:V,20,FALSE))),"")</f>
        <v/>
      </c>
      <c r="P975" s="9" t="str">
        <f>IFERROR((IF(VLOOKUP(A975,'ECN-ECO_DATA'!B:V,21,FALSE)=0/1/1900,"",VLOOKUP(A975,'ECN-ECO_DATA'!B:V,21,FALSE))),"")</f>
        <v/>
      </c>
      <c r="Q975" s="10" t="str">
        <f t="shared" ca="1" si="75"/>
        <v/>
      </c>
      <c r="R975" s="4" t="str">
        <f t="shared" si="76"/>
        <v/>
      </c>
      <c r="S975" s="4" t="str">
        <f t="shared" si="77"/>
        <v/>
      </c>
      <c r="T975" s="4" t="str">
        <f t="shared" si="78"/>
        <v/>
      </c>
      <c r="U975" s="10" t="str">
        <f t="shared" si="79"/>
        <v/>
      </c>
      <c r="V975" s="4"/>
    </row>
    <row r="976" spans="2:22" x14ac:dyDescent="0.25">
      <c r="B976" s="4" t="str">
        <f>IFERROR(VLOOKUP(A976,'ECN-ECO_DATA'!B:G,4,FALSE),"")</f>
        <v/>
      </c>
      <c r="C976" s="9" t="str">
        <f>IFERROR(VLOOKUP(A976,'ECN-ECO_DATA'!B:G,5,FALSE),"")</f>
        <v/>
      </c>
      <c r="D976" s="9" t="str">
        <f ca="1">IFERROR((IF(VLOOKUP(A976,'ECN-ECO_DATA'!B:G,6,FALSE)=0/1/1900,TODAY(),VLOOKUP(A976,'ECN-ECO_DATA'!B:G,6,FALSE))),"")</f>
        <v/>
      </c>
      <c r="E976" s="9" t="str">
        <f>IFERROR((IF(VLOOKUP(A976,'ECN-ECO_DATA'!B:G,6,FALSE)=0/1/1900,"",VLOOKUP(A976,'ECN-ECO_DATA'!B:G,6,FALSE))),"")</f>
        <v/>
      </c>
      <c r="F976" s="9" t="str">
        <f>IFERROR((IF(VLOOKUP(A976,'ECN-ECO_DATA'!B:J,7,FALSE)=0/1/1900,"",VLOOKUP(A976,'ECN-ECO_DATA'!B:J,7,FALSE))),"")</f>
        <v/>
      </c>
      <c r="G976" s="9" t="str">
        <f>IFERROR((IF(VLOOKUP(A976,'ECN-ECO_DATA'!B:J,8,FALSE)=0/1/1900,"",VLOOKUP(A976,'ECN-ECO_DATA'!B:J,8,FALSE))),"")</f>
        <v/>
      </c>
      <c r="H976" s="9" t="str">
        <f>IFERROR((IF(VLOOKUP(A976,'ECN-ECO_DATA'!B:J,9,FALSE)=0/1/1900,"",VLOOKUP(A976,'ECN-ECO_DATA'!B:J,9,FALSE))),"")</f>
        <v/>
      </c>
      <c r="I976" s="10" t="str">
        <f>IFERROR((IF(VLOOKUP(A976,'ECN-ECO_DATA'!B:Q,13,FALSE)="","",VLOOKUP(A976,'ECN-ECO_DATA'!B:Q,13,FALSE))),"")</f>
        <v/>
      </c>
      <c r="J976" s="10" t="str">
        <f>IFERROR((IF(VLOOKUP(A976,'ECN-ECO_DATA'!B:Q,14,FALSE)="","",VLOOKUP(A976,'ECN-ECO_DATA'!B:Q,14,FALSE))),"")</f>
        <v/>
      </c>
      <c r="K976" s="10" t="str">
        <f>IFERROR((IF(VLOOKUP(A976,'ECN-ECO_DATA'!B:Q,15,FALSE)="","",VLOOKUP(A976,'ECN-ECO_DATA'!B:Q,15,FALSE))),"")</f>
        <v/>
      </c>
      <c r="L976" s="10" t="str">
        <f>IFERROR((IF(VLOOKUP(A976,'ECN-ECO_DATA'!B:Q,16,FALSE)="","",VLOOKUP(A976,'ECN-ECO_DATA'!B:Q,16,FALSE))),"")</f>
        <v/>
      </c>
      <c r="M976" s="9" t="str">
        <f>IFERROR((IF(VLOOKUP(A976,'ECN-ECO_DATA'!B:V,18,FALSE)=0/1/1900,"",VLOOKUP(A976,'ECN-ECO_DATA'!B:V,18,FALSE))),"")</f>
        <v/>
      </c>
      <c r="N976" s="9" t="str">
        <f>IFERROR((IF(VLOOKUP(A976,'ECN-ECO_DATA'!B:V,19,FALSE)=0/1/1900,"",VLOOKUP(A976,'ECN-ECO_DATA'!B:V,19,FALSE))),"")</f>
        <v/>
      </c>
      <c r="O976" s="9" t="str">
        <f>IFERROR((IF(VLOOKUP(A976,'ECN-ECO_DATA'!B:V,20,FALSE)=0/1/1900,"",VLOOKUP(A976,'ECN-ECO_DATA'!B:V,20,FALSE))),"")</f>
        <v/>
      </c>
      <c r="P976" s="9" t="str">
        <f>IFERROR((IF(VLOOKUP(A976,'ECN-ECO_DATA'!B:V,21,FALSE)=0/1/1900,"",VLOOKUP(A976,'ECN-ECO_DATA'!B:V,21,FALSE))),"")</f>
        <v/>
      </c>
      <c r="Q976" s="10" t="str">
        <f t="shared" ca="1" si="75"/>
        <v/>
      </c>
      <c r="R976" s="4" t="str">
        <f t="shared" si="76"/>
        <v/>
      </c>
      <c r="S976" s="4" t="str">
        <f t="shared" si="77"/>
        <v/>
      </c>
      <c r="T976" s="4" t="str">
        <f t="shared" si="78"/>
        <v/>
      </c>
      <c r="U976" s="10" t="str">
        <f t="shared" si="79"/>
        <v/>
      </c>
      <c r="V976" s="4"/>
    </row>
    <row r="977" spans="2:22" x14ac:dyDescent="0.25">
      <c r="B977" s="4" t="str">
        <f>IFERROR(VLOOKUP(A977,'ECN-ECO_DATA'!B:G,4,FALSE),"")</f>
        <v/>
      </c>
      <c r="C977" s="9" t="str">
        <f>IFERROR(VLOOKUP(A977,'ECN-ECO_DATA'!B:G,5,FALSE),"")</f>
        <v/>
      </c>
      <c r="D977" s="9" t="str">
        <f ca="1">IFERROR((IF(VLOOKUP(A977,'ECN-ECO_DATA'!B:G,6,FALSE)=0/1/1900,TODAY(),VLOOKUP(A977,'ECN-ECO_DATA'!B:G,6,FALSE))),"")</f>
        <v/>
      </c>
      <c r="E977" s="9" t="str">
        <f>IFERROR((IF(VLOOKUP(A977,'ECN-ECO_DATA'!B:G,6,FALSE)=0/1/1900,"",VLOOKUP(A977,'ECN-ECO_DATA'!B:G,6,FALSE))),"")</f>
        <v/>
      </c>
      <c r="F977" s="9" t="str">
        <f>IFERROR((IF(VLOOKUP(A977,'ECN-ECO_DATA'!B:J,7,FALSE)=0/1/1900,"",VLOOKUP(A977,'ECN-ECO_DATA'!B:J,7,FALSE))),"")</f>
        <v/>
      </c>
      <c r="G977" s="9" t="str">
        <f>IFERROR((IF(VLOOKUP(A977,'ECN-ECO_DATA'!B:J,8,FALSE)=0/1/1900,"",VLOOKUP(A977,'ECN-ECO_DATA'!B:J,8,FALSE))),"")</f>
        <v/>
      </c>
      <c r="H977" s="9" t="str">
        <f>IFERROR((IF(VLOOKUP(A977,'ECN-ECO_DATA'!B:J,9,FALSE)=0/1/1900,"",VLOOKUP(A977,'ECN-ECO_DATA'!B:J,9,FALSE))),"")</f>
        <v/>
      </c>
      <c r="I977" s="10" t="str">
        <f>IFERROR((IF(VLOOKUP(A977,'ECN-ECO_DATA'!B:Q,13,FALSE)="","",VLOOKUP(A977,'ECN-ECO_DATA'!B:Q,13,FALSE))),"")</f>
        <v/>
      </c>
      <c r="J977" s="10" t="str">
        <f>IFERROR((IF(VLOOKUP(A977,'ECN-ECO_DATA'!B:Q,14,FALSE)="","",VLOOKUP(A977,'ECN-ECO_DATA'!B:Q,14,FALSE))),"")</f>
        <v/>
      </c>
      <c r="K977" s="10" t="str">
        <f>IFERROR((IF(VLOOKUP(A977,'ECN-ECO_DATA'!B:Q,15,FALSE)="","",VLOOKUP(A977,'ECN-ECO_DATA'!B:Q,15,FALSE))),"")</f>
        <v/>
      </c>
      <c r="L977" s="10" t="str">
        <f>IFERROR((IF(VLOOKUP(A977,'ECN-ECO_DATA'!B:Q,16,FALSE)="","",VLOOKUP(A977,'ECN-ECO_DATA'!B:Q,16,FALSE))),"")</f>
        <v/>
      </c>
      <c r="M977" s="9" t="str">
        <f>IFERROR((IF(VLOOKUP(A977,'ECN-ECO_DATA'!B:V,18,FALSE)=0/1/1900,"",VLOOKUP(A977,'ECN-ECO_DATA'!B:V,18,FALSE))),"")</f>
        <v/>
      </c>
      <c r="N977" s="9" t="str">
        <f>IFERROR((IF(VLOOKUP(A977,'ECN-ECO_DATA'!B:V,19,FALSE)=0/1/1900,"",VLOOKUP(A977,'ECN-ECO_DATA'!B:V,19,FALSE))),"")</f>
        <v/>
      </c>
      <c r="O977" s="9" t="str">
        <f>IFERROR((IF(VLOOKUP(A977,'ECN-ECO_DATA'!B:V,20,FALSE)=0/1/1900,"",VLOOKUP(A977,'ECN-ECO_DATA'!B:V,20,FALSE))),"")</f>
        <v/>
      </c>
      <c r="P977" s="9" t="str">
        <f>IFERROR((IF(VLOOKUP(A977,'ECN-ECO_DATA'!B:V,21,FALSE)=0/1/1900,"",VLOOKUP(A977,'ECN-ECO_DATA'!B:V,21,FALSE))),"")</f>
        <v/>
      </c>
      <c r="Q977" s="10" t="str">
        <f t="shared" ca="1" si="75"/>
        <v/>
      </c>
      <c r="R977" s="4" t="str">
        <f t="shared" si="76"/>
        <v/>
      </c>
      <c r="S977" s="4" t="str">
        <f t="shared" si="77"/>
        <v/>
      </c>
      <c r="T977" s="4" t="str">
        <f t="shared" si="78"/>
        <v/>
      </c>
      <c r="U977" s="10" t="str">
        <f t="shared" si="79"/>
        <v/>
      </c>
      <c r="V977" s="4"/>
    </row>
    <row r="978" spans="2:22" x14ac:dyDescent="0.25">
      <c r="B978" s="4" t="str">
        <f>IFERROR(VLOOKUP(A978,'ECN-ECO_DATA'!B:G,4,FALSE),"")</f>
        <v/>
      </c>
      <c r="C978" s="9" t="str">
        <f>IFERROR(VLOOKUP(A978,'ECN-ECO_DATA'!B:G,5,FALSE),"")</f>
        <v/>
      </c>
      <c r="D978" s="9" t="str">
        <f ca="1">IFERROR((IF(VLOOKUP(A978,'ECN-ECO_DATA'!B:G,6,FALSE)=0/1/1900,TODAY(),VLOOKUP(A978,'ECN-ECO_DATA'!B:G,6,FALSE))),"")</f>
        <v/>
      </c>
      <c r="E978" s="9" t="str">
        <f>IFERROR((IF(VLOOKUP(A978,'ECN-ECO_DATA'!B:G,6,FALSE)=0/1/1900,"",VLOOKUP(A978,'ECN-ECO_DATA'!B:G,6,FALSE))),"")</f>
        <v/>
      </c>
      <c r="F978" s="9" t="str">
        <f>IFERROR((IF(VLOOKUP(A978,'ECN-ECO_DATA'!B:J,7,FALSE)=0/1/1900,"",VLOOKUP(A978,'ECN-ECO_DATA'!B:J,7,FALSE))),"")</f>
        <v/>
      </c>
      <c r="G978" s="9" t="str">
        <f>IFERROR((IF(VLOOKUP(A978,'ECN-ECO_DATA'!B:J,8,FALSE)=0/1/1900,"",VLOOKUP(A978,'ECN-ECO_DATA'!B:J,8,FALSE))),"")</f>
        <v/>
      </c>
      <c r="H978" s="9" t="str">
        <f>IFERROR((IF(VLOOKUP(A978,'ECN-ECO_DATA'!B:J,9,FALSE)=0/1/1900,"",VLOOKUP(A978,'ECN-ECO_DATA'!B:J,9,FALSE))),"")</f>
        <v/>
      </c>
      <c r="I978" s="10" t="str">
        <f>IFERROR((IF(VLOOKUP(A978,'ECN-ECO_DATA'!B:Q,13,FALSE)="","",VLOOKUP(A978,'ECN-ECO_DATA'!B:Q,13,FALSE))),"")</f>
        <v/>
      </c>
      <c r="J978" s="10" t="str">
        <f>IFERROR((IF(VLOOKUP(A978,'ECN-ECO_DATA'!B:Q,14,FALSE)="","",VLOOKUP(A978,'ECN-ECO_DATA'!B:Q,14,FALSE))),"")</f>
        <v/>
      </c>
      <c r="K978" s="10" t="str">
        <f>IFERROR((IF(VLOOKUP(A978,'ECN-ECO_DATA'!B:Q,15,FALSE)="","",VLOOKUP(A978,'ECN-ECO_DATA'!B:Q,15,FALSE))),"")</f>
        <v/>
      </c>
      <c r="L978" s="10" t="str">
        <f>IFERROR((IF(VLOOKUP(A978,'ECN-ECO_DATA'!B:Q,16,FALSE)="","",VLOOKUP(A978,'ECN-ECO_DATA'!B:Q,16,FALSE))),"")</f>
        <v/>
      </c>
      <c r="M978" s="9" t="str">
        <f>IFERROR((IF(VLOOKUP(A978,'ECN-ECO_DATA'!B:V,18,FALSE)=0/1/1900,"",VLOOKUP(A978,'ECN-ECO_DATA'!B:V,18,FALSE))),"")</f>
        <v/>
      </c>
      <c r="N978" s="9" t="str">
        <f>IFERROR((IF(VLOOKUP(A978,'ECN-ECO_DATA'!B:V,19,FALSE)=0/1/1900,"",VLOOKUP(A978,'ECN-ECO_DATA'!B:V,19,FALSE))),"")</f>
        <v/>
      </c>
      <c r="O978" s="9" t="str">
        <f>IFERROR((IF(VLOOKUP(A978,'ECN-ECO_DATA'!B:V,20,FALSE)=0/1/1900,"",VLOOKUP(A978,'ECN-ECO_DATA'!B:V,20,FALSE))),"")</f>
        <v/>
      </c>
      <c r="P978" s="9" t="str">
        <f>IFERROR((IF(VLOOKUP(A978,'ECN-ECO_DATA'!B:V,21,FALSE)=0/1/1900,"",VLOOKUP(A978,'ECN-ECO_DATA'!B:V,21,FALSE))),"")</f>
        <v/>
      </c>
      <c r="Q978" s="10" t="str">
        <f t="shared" ca="1" si="75"/>
        <v/>
      </c>
      <c r="R978" s="4" t="str">
        <f t="shared" si="76"/>
        <v/>
      </c>
      <c r="S978" s="4" t="str">
        <f t="shared" si="77"/>
        <v/>
      </c>
      <c r="T978" s="4" t="str">
        <f t="shared" si="78"/>
        <v/>
      </c>
      <c r="U978" s="10" t="str">
        <f t="shared" si="79"/>
        <v/>
      </c>
      <c r="V978" s="4"/>
    </row>
    <row r="979" spans="2:22" x14ac:dyDescent="0.25">
      <c r="B979" s="4" t="str">
        <f>IFERROR(VLOOKUP(A979,'ECN-ECO_DATA'!B:G,4,FALSE),"")</f>
        <v/>
      </c>
      <c r="C979" s="9" t="str">
        <f>IFERROR(VLOOKUP(A979,'ECN-ECO_DATA'!B:G,5,FALSE),"")</f>
        <v/>
      </c>
      <c r="D979" s="9" t="str">
        <f ca="1">IFERROR((IF(VLOOKUP(A979,'ECN-ECO_DATA'!B:G,6,FALSE)=0/1/1900,TODAY(),VLOOKUP(A979,'ECN-ECO_DATA'!B:G,6,FALSE))),"")</f>
        <v/>
      </c>
      <c r="E979" s="9" t="str">
        <f>IFERROR((IF(VLOOKUP(A979,'ECN-ECO_DATA'!B:G,6,FALSE)=0/1/1900,"",VLOOKUP(A979,'ECN-ECO_DATA'!B:G,6,FALSE))),"")</f>
        <v/>
      </c>
      <c r="F979" s="9" t="str">
        <f>IFERROR((IF(VLOOKUP(A979,'ECN-ECO_DATA'!B:J,7,FALSE)=0/1/1900,"",VLOOKUP(A979,'ECN-ECO_DATA'!B:J,7,FALSE))),"")</f>
        <v/>
      </c>
      <c r="G979" s="9" t="str">
        <f>IFERROR((IF(VLOOKUP(A979,'ECN-ECO_DATA'!B:J,8,FALSE)=0/1/1900,"",VLOOKUP(A979,'ECN-ECO_DATA'!B:J,8,FALSE))),"")</f>
        <v/>
      </c>
      <c r="H979" s="9" t="str">
        <f>IFERROR((IF(VLOOKUP(A979,'ECN-ECO_DATA'!B:J,9,FALSE)=0/1/1900,"",VLOOKUP(A979,'ECN-ECO_DATA'!B:J,9,FALSE))),"")</f>
        <v/>
      </c>
      <c r="I979" s="10" t="str">
        <f>IFERROR((IF(VLOOKUP(A979,'ECN-ECO_DATA'!B:Q,13,FALSE)="","",VLOOKUP(A979,'ECN-ECO_DATA'!B:Q,13,FALSE))),"")</f>
        <v/>
      </c>
      <c r="J979" s="10" t="str">
        <f>IFERROR((IF(VLOOKUP(A979,'ECN-ECO_DATA'!B:Q,14,FALSE)="","",VLOOKUP(A979,'ECN-ECO_DATA'!B:Q,14,FALSE))),"")</f>
        <v/>
      </c>
      <c r="K979" s="10" t="str">
        <f>IFERROR((IF(VLOOKUP(A979,'ECN-ECO_DATA'!B:Q,15,FALSE)="","",VLOOKUP(A979,'ECN-ECO_DATA'!B:Q,15,FALSE))),"")</f>
        <v/>
      </c>
      <c r="L979" s="10" t="str">
        <f>IFERROR((IF(VLOOKUP(A979,'ECN-ECO_DATA'!B:Q,16,FALSE)="","",VLOOKUP(A979,'ECN-ECO_DATA'!B:Q,16,FALSE))),"")</f>
        <v/>
      </c>
      <c r="M979" s="9" t="str">
        <f>IFERROR((IF(VLOOKUP(A979,'ECN-ECO_DATA'!B:V,18,FALSE)=0/1/1900,"",VLOOKUP(A979,'ECN-ECO_DATA'!B:V,18,FALSE))),"")</f>
        <v/>
      </c>
      <c r="N979" s="9" t="str">
        <f>IFERROR((IF(VLOOKUP(A979,'ECN-ECO_DATA'!B:V,19,FALSE)=0/1/1900,"",VLOOKUP(A979,'ECN-ECO_DATA'!B:V,19,FALSE))),"")</f>
        <v/>
      </c>
      <c r="O979" s="9" t="str">
        <f>IFERROR((IF(VLOOKUP(A979,'ECN-ECO_DATA'!B:V,20,FALSE)=0/1/1900,"",VLOOKUP(A979,'ECN-ECO_DATA'!B:V,20,FALSE))),"")</f>
        <v/>
      </c>
      <c r="P979" s="9" t="str">
        <f>IFERROR((IF(VLOOKUP(A979,'ECN-ECO_DATA'!B:V,21,FALSE)=0/1/1900,"",VLOOKUP(A979,'ECN-ECO_DATA'!B:V,21,FALSE))),"")</f>
        <v/>
      </c>
      <c r="Q979" s="10" t="str">
        <f t="shared" ca="1" si="75"/>
        <v/>
      </c>
      <c r="R979" s="4" t="str">
        <f t="shared" si="76"/>
        <v/>
      </c>
      <c r="S979" s="4" t="str">
        <f t="shared" si="77"/>
        <v/>
      </c>
      <c r="T979" s="4" t="str">
        <f t="shared" si="78"/>
        <v/>
      </c>
      <c r="U979" s="10" t="str">
        <f t="shared" si="79"/>
        <v/>
      </c>
      <c r="V979" s="4"/>
    </row>
    <row r="980" spans="2:22" x14ac:dyDescent="0.25">
      <c r="B980" s="4" t="str">
        <f>IFERROR(VLOOKUP(A980,'ECN-ECO_DATA'!B:G,4,FALSE),"")</f>
        <v/>
      </c>
      <c r="C980" s="9" t="str">
        <f>IFERROR(VLOOKUP(A980,'ECN-ECO_DATA'!B:G,5,FALSE),"")</f>
        <v/>
      </c>
      <c r="D980" s="9" t="str">
        <f ca="1">IFERROR((IF(VLOOKUP(A980,'ECN-ECO_DATA'!B:G,6,FALSE)=0/1/1900,TODAY(),VLOOKUP(A980,'ECN-ECO_DATA'!B:G,6,FALSE))),"")</f>
        <v/>
      </c>
      <c r="E980" s="9" t="str">
        <f>IFERROR((IF(VLOOKUP(A980,'ECN-ECO_DATA'!B:G,6,FALSE)=0/1/1900,"",VLOOKUP(A980,'ECN-ECO_DATA'!B:G,6,FALSE))),"")</f>
        <v/>
      </c>
      <c r="F980" s="9" t="str">
        <f>IFERROR((IF(VLOOKUP(A980,'ECN-ECO_DATA'!B:J,7,FALSE)=0/1/1900,"",VLOOKUP(A980,'ECN-ECO_DATA'!B:J,7,FALSE))),"")</f>
        <v/>
      </c>
      <c r="G980" s="9" t="str">
        <f>IFERROR((IF(VLOOKUP(A980,'ECN-ECO_DATA'!B:J,8,FALSE)=0/1/1900,"",VLOOKUP(A980,'ECN-ECO_DATA'!B:J,8,FALSE))),"")</f>
        <v/>
      </c>
      <c r="H980" s="9" t="str">
        <f>IFERROR((IF(VLOOKUP(A980,'ECN-ECO_DATA'!B:J,9,FALSE)=0/1/1900,"",VLOOKUP(A980,'ECN-ECO_DATA'!B:J,9,FALSE))),"")</f>
        <v/>
      </c>
      <c r="I980" s="10" t="str">
        <f>IFERROR((IF(VLOOKUP(A980,'ECN-ECO_DATA'!B:Q,13,FALSE)="","",VLOOKUP(A980,'ECN-ECO_DATA'!B:Q,13,FALSE))),"")</f>
        <v/>
      </c>
      <c r="J980" s="10" t="str">
        <f>IFERROR((IF(VLOOKUP(A980,'ECN-ECO_DATA'!B:Q,14,FALSE)="","",VLOOKUP(A980,'ECN-ECO_DATA'!B:Q,14,FALSE))),"")</f>
        <v/>
      </c>
      <c r="K980" s="10" t="str">
        <f>IFERROR((IF(VLOOKUP(A980,'ECN-ECO_DATA'!B:Q,15,FALSE)="","",VLOOKUP(A980,'ECN-ECO_DATA'!B:Q,15,FALSE))),"")</f>
        <v/>
      </c>
      <c r="L980" s="10" t="str">
        <f>IFERROR((IF(VLOOKUP(A980,'ECN-ECO_DATA'!B:Q,16,FALSE)="","",VLOOKUP(A980,'ECN-ECO_DATA'!B:Q,16,FALSE))),"")</f>
        <v/>
      </c>
      <c r="M980" s="9" t="str">
        <f>IFERROR((IF(VLOOKUP(A980,'ECN-ECO_DATA'!B:V,18,FALSE)=0/1/1900,"",VLOOKUP(A980,'ECN-ECO_DATA'!B:V,18,FALSE))),"")</f>
        <v/>
      </c>
      <c r="N980" s="9" t="str">
        <f>IFERROR((IF(VLOOKUP(A980,'ECN-ECO_DATA'!B:V,19,FALSE)=0/1/1900,"",VLOOKUP(A980,'ECN-ECO_DATA'!B:V,19,FALSE))),"")</f>
        <v/>
      </c>
      <c r="O980" s="9" t="str">
        <f>IFERROR((IF(VLOOKUP(A980,'ECN-ECO_DATA'!B:V,20,FALSE)=0/1/1900,"",VLOOKUP(A980,'ECN-ECO_DATA'!B:V,20,FALSE))),"")</f>
        <v/>
      </c>
      <c r="P980" s="9" t="str">
        <f>IFERROR((IF(VLOOKUP(A980,'ECN-ECO_DATA'!B:V,21,FALSE)=0/1/1900,"",VLOOKUP(A980,'ECN-ECO_DATA'!B:V,21,FALSE))),"")</f>
        <v/>
      </c>
      <c r="Q980" s="10" t="str">
        <f t="shared" ca="1" si="75"/>
        <v/>
      </c>
      <c r="R980" s="4" t="str">
        <f t="shared" si="76"/>
        <v/>
      </c>
      <c r="S980" s="4" t="str">
        <f t="shared" si="77"/>
        <v/>
      </c>
      <c r="T980" s="4" t="str">
        <f t="shared" si="78"/>
        <v/>
      </c>
      <c r="U980" s="10" t="str">
        <f t="shared" si="79"/>
        <v/>
      </c>
      <c r="V980" s="4"/>
    </row>
    <row r="981" spans="2:22" x14ac:dyDescent="0.25">
      <c r="B981" s="4" t="str">
        <f>IFERROR(VLOOKUP(A981,'ECN-ECO_DATA'!B:G,4,FALSE),"")</f>
        <v/>
      </c>
      <c r="C981" s="9" t="str">
        <f>IFERROR(VLOOKUP(A981,'ECN-ECO_DATA'!B:G,5,FALSE),"")</f>
        <v/>
      </c>
      <c r="D981" s="9" t="str">
        <f ca="1">IFERROR((IF(VLOOKUP(A981,'ECN-ECO_DATA'!B:G,6,FALSE)=0/1/1900,TODAY(),VLOOKUP(A981,'ECN-ECO_DATA'!B:G,6,FALSE))),"")</f>
        <v/>
      </c>
      <c r="E981" s="9" t="str">
        <f>IFERROR((IF(VLOOKUP(A981,'ECN-ECO_DATA'!B:G,6,FALSE)=0/1/1900,"",VLOOKUP(A981,'ECN-ECO_DATA'!B:G,6,FALSE))),"")</f>
        <v/>
      </c>
      <c r="F981" s="9" t="str">
        <f>IFERROR((IF(VLOOKUP(A981,'ECN-ECO_DATA'!B:J,7,FALSE)=0/1/1900,"",VLOOKUP(A981,'ECN-ECO_DATA'!B:J,7,FALSE))),"")</f>
        <v/>
      </c>
      <c r="G981" s="9" t="str">
        <f>IFERROR((IF(VLOOKUP(A981,'ECN-ECO_DATA'!B:J,8,FALSE)=0/1/1900,"",VLOOKUP(A981,'ECN-ECO_DATA'!B:J,8,FALSE))),"")</f>
        <v/>
      </c>
      <c r="H981" s="9" t="str">
        <f>IFERROR((IF(VLOOKUP(A981,'ECN-ECO_DATA'!B:J,9,FALSE)=0/1/1900,"",VLOOKUP(A981,'ECN-ECO_DATA'!B:J,9,FALSE))),"")</f>
        <v/>
      </c>
      <c r="I981" s="10" t="str">
        <f>IFERROR((IF(VLOOKUP(A981,'ECN-ECO_DATA'!B:Q,13,FALSE)="","",VLOOKUP(A981,'ECN-ECO_DATA'!B:Q,13,FALSE))),"")</f>
        <v/>
      </c>
      <c r="J981" s="10" t="str">
        <f>IFERROR((IF(VLOOKUP(A981,'ECN-ECO_DATA'!B:Q,14,FALSE)="","",VLOOKUP(A981,'ECN-ECO_DATA'!B:Q,14,FALSE))),"")</f>
        <v/>
      </c>
      <c r="K981" s="10" t="str">
        <f>IFERROR((IF(VLOOKUP(A981,'ECN-ECO_DATA'!B:Q,15,FALSE)="","",VLOOKUP(A981,'ECN-ECO_DATA'!B:Q,15,FALSE))),"")</f>
        <v/>
      </c>
      <c r="L981" s="10" t="str">
        <f>IFERROR((IF(VLOOKUP(A981,'ECN-ECO_DATA'!B:Q,16,FALSE)="","",VLOOKUP(A981,'ECN-ECO_DATA'!B:Q,16,FALSE))),"")</f>
        <v/>
      </c>
      <c r="M981" s="9" t="str">
        <f>IFERROR((IF(VLOOKUP(A981,'ECN-ECO_DATA'!B:V,18,FALSE)=0/1/1900,"",VLOOKUP(A981,'ECN-ECO_DATA'!B:V,18,FALSE))),"")</f>
        <v/>
      </c>
      <c r="N981" s="9" t="str">
        <f>IFERROR((IF(VLOOKUP(A981,'ECN-ECO_DATA'!B:V,19,FALSE)=0/1/1900,"",VLOOKUP(A981,'ECN-ECO_DATA'!B:V,19,FALSE))),"")</f>
        <v/>
      </c>
      <c r="O981" s="9" t="str">
        <f>IFERROR((IF(VLOOKUP(A981,'ECN-ECO_DATA'!B:V,20,FALSE)=0/1/1900,"",VLOOKUP(A981,'ECN-ECO_DATA'!B:V,20,FALSE))),"")</f>
        <v/>
      </c>
      <c r="P981" s="9" t="str">
        <f>IFERROR((IF(VLOOKUP(A981,'ECN-ECO_DATA'!B:V,21,FALSE)=0/1/1900,"",VLOOKUP(A981,'ECN-ECO_DATA'!B:V,21,FALSE))),"")</f>
        <v/>
      </c>
      <c r="Q981" s="10" t="str">
        <f t="shared" ca="1" si="75"/>
        <v/>
      </c>
      <c r="R981" s="4" t="str">
        <f t="shared" si="76"/>
        <v/>
      </c>
      <c r="S981" s="4" t="str">
        <f t="shared" si="77"/>
        <v/>
      </c>
      <c r="T981" s="4" t="str">
        <f t="shared" si="78"/>
        <v/>
      </c>
      <c r="U981" s="10" t="str">
        <f t="shared" si="79"/>
        <v/>
      </c>
      <c r="V981" s="4"/>
    </row>
    <row r="982" spans="2:22" x14ac:dyDescent="0.25">
      <c r="B982" s="4" t="str">
        <f>IFERROR(VLOOKUP(A982,'ECN-ECO_DATA'!B:G,4,FALSE),"")</f>
        <v/>
      </c>
      <c r="C982" s="9" t="str">
        <f>IFERROR(VLOOKUP(A982,'ECN-ECO_DATA'!B:G,5,FALSE),"")</f>
        <v/>
      </c>
      <c r="D982" s="9" t="str">
        <f ca="1">IFERROR((IF(VLOOKUP(A982,'ECN-ECO_DATA'!B:G,6,FALSE)=0/1/1900,TODAY(),VLOOKUP(A982,'ECN-ECO_DATA'!B:G,6,FALSE))),"")</f>
        <v/>
      </c>
      <c r="E982" s="9" t="str">
        <f>IFERROR((IF(VLOOKUP(A982,'ECN-ECO_DATA'!B:G,6,FALSE)=0/1/1900,"",VLOOKUP(A982,'ECN-ECO_DATA'!B:G,6,FALSE))),"")</f>
        <v/>
      </c>
      <c r="F982" s="9" t="str">
        <f>IFERROR((IF(VLOOKUP(A982,'ECN-ECO_DATA'!B:J,7,FALSE)=0/1/1900,"",VLOOKUP(A982,'ECN-ECO_DATA'!B:J,7,FALSE))),"")</f>
        <v/>
      </c>
      <c r="G982" s="9" t="str">
        <f>IFERROR((IF(VLOOKUP(A982,'ECN-ECO_DATA'!B:J,8,FALSE)=0/1/1900,"",VLOOKUP(A982,'ECN-ECO_DATA'!B:J,8,FALSE))),"")</f>
        <v/>
      </c>
      <c r="H982" s="9" t="str">
        <f>IFERROR((IF(VLOOKUP(A982,'ECN-ECO_DATA'!B:J,9,FALSE)=0/1/1900,"",VLOOKUP(A982,'ECN-ECO_DATA'!B:J,9,FALSE))),"")</f>
        <v/>
      </c>
      <c r="I982" s="10" t="str">
        <f>IFERROR((IF(VLOOKUP(A982,'ECN-ECO_DATA'!B:Q,13,FALSE)="","",VLOOKUP(A982,'ECN-ECO_DATA'!B:Q,13,FALSE))),"")</f>
        <v/>
      </c>
      <c r="J982" s="10" t="str">
        <f>IFERROR((IF(VLOOKUP(A982,'ECN-ECO_DATA'!B:Q,14,FALSE)="","",VLOOKUP(A982,'ECN-ECO_DATA'!B:Q,14,FALSE))),"")</f>
        <v/>
      </c>
      <c r="K982" s="10" t="str">
        <f>IFERROR((IF(VLOOKUP(A982,'ECN-ECO_DATA'!B:Q,15,FALSE)="","",VLOOKUP(A982,'ECN-ECO_DATA'!B:Q,15,FALSE))),"")</f>
        <v/>
      </c>
      <c r="L982" s="10" t="str">
        <f>IFERROR((IF(VLOOKUP(A982,'ECN-ECO_DATA'!B:Q,16,FALSE)="","",VLOOKUP(A982,'ECN-ECO_DATA'!B:Q,16,FALSE))),"")</f>
        <v/>
      </c>
      <c r="M982" s="9" t="str">
        <f>IFERROR((IF(VLOOKUP(A982,'ECN-ECO_DATA'!B:V,18,FALSE)=0/1/1900,"",VLOOKUP(A982,'ECN-ECO_DATA'!B:V,18,FALSE))),"")</f>
        <v/>
      </c>
      <c r="N982" s="9" t="str">
        <f>IFERROR((IF(VLOOKUP(A982,'ECN-ECO_DATA'!B:V,19,FALSE)=0/1/1900,"",VLOOKUP(A982,'ECN-ECO_DATA'!B:V,19,FALSE))),"")</f>
        <v/>
      </c>
      <c r="O982" s="9" t="str">
        <f>IFERROR((IF(VLOOKUP(A982,'ECN-ECO_DATA'!B:V,20,FALSE)=0/1/1900,"",VLOOKUP(A982,'ECN-ECO_DATA'!B:V,20,FALSE))),"")</f>
        <v/>
      </c>
      <c r="P982" s="9" t="str">
        <f>IFERROR((IF(VLOOKUP(A982,'ECN-ECO_DATA'!B:V,21,FALSE)=0/1/1900,"",VLOOKUP(A982,'ECN-ECO_DATA'!B:V,21,FALSE))),"")</f>
        <v/>
      </c>
      <c r="Q982" s="10" t="str">
        <f t="shared" ca="1" si="75"/>
        <v/>
      </c>
      <c r="R982" s="4" t="str">
        <f t="shared" si="76"/>
        <v/>
      </c>
      <c r="S982" s="4" t="str">
        <f t="shared" si="77"/>
        <v/>
      </c>
      <c r="T982" s="4" t="str">
        <f t="shared" si="78"/>
        <v/>
      </c>
      <c r="U982" s="10" t="str">
        <f t="shared" si="79"/>
        <v/>
      </c>
      <c r="V982" s="4"/>
    </row>
    <row r="983" spans="2:22" x14ac:dyDescent="0.25">
      <c r="B983" s="4" t="str">
        <f>IFERROR(VLOOKUP(A983,'ECN-ECO_DATA'!B:G,4,FALSE),"")</f>
        <v/>
      </c>
      <c r="C983" s="9" t="str">
        <f>IFERROR(VLOOKUP(A983,'ECN-ECO_DATA'!B:G,5,FALSE),"")</f>
        <v/>
      </c>
      <c r="D983" s="9" t="str">
        <f ca="1">IFERROR((IF(VLOOKUP(A983,'ECN-ECO_DATA'!B:G,6,FALSE)=0/1/1900,TODAY(),VLOOKUP(A983,'ECN-ECO_DATA'!B:G,6,FALSE))),"")</f>
        <v/>
      </c>
      <c r="E983" s="9" t="str">
        <f>IFERROR((IF(VLOOKUP(A983,'ECN-ECO_DATA'!B:G,6,FALSE)=0/1/1900,"",VLOOKUP(A983,'ECN-ECO_DATA'!B:G,6,FALSE))),"")</f>
        <v/>
      </c>
      <c r="F983" s="9" t="str">
        <f>IFERROR((IF(VLOOKUP(A983,'ECN-ECO_DATA'!B:J,7,FALSE)=0/1/1900,"",VLOOKUP(A983,'ECN-ECO_DATA'!B:J,7,FALSE))),"")</f>
        <v/>
      </c>
      <c r="G983" s="9" t="str">
        <f>IFERROR((IF(VLOOKUP(A983,'ECN-ECO_DATA'!B:J,8,FALSE)=0/1/1900,"",VLOOKUP(A983,'ECN-ECO_DATA'!B:J,8,FALSE))),"")</f>
        <v/>
      </c>
      <c r="H983" s="9" t="str">
        <f>IFERROR((IF(VLOOKUP(A983,'ECN-ECO_DATA'!B:J,9,FALSE)=0/1/1900,"",VLOOKUP(A983,'ECN-ECO_DATA'!B:J,9,FALSE))),"")</f>
        <v/>
      </c>
      <c r="I983" s="10" t="str">
        <f>IFERROR((IF(VLOOKUP(A983,'ECN-ECO_DATA'!B:Q,13,FALSE)="","",VLOOKUP(A983,'ECN-ECO_DATA'!B:Q,13,FALSE))),"")</f>
        <v/>
      </c>
      <c r="J983" s="10" t="str">
        <f>IFERROR((IF(VLOOKUP(A983,'ECN-ECO_DATA'!B:Q,14,FALSE)="","",VLOOKUP(A983,'ECN-ECO_DATA'!B:Q,14,FALSE))),"")</f>
        <v/>
      </c>
      <c r="K983" s="10" t="str">
        <f>IFERROR((IF(VLOOKUP(A983,'ECN-ECO_DATA'!B:Q,15,FALSE)="","",VLOOKUP(A983,'ECN-ECO_DATA'!B:Q,15,FALSE))),"")</f>
        <v/>
      </c>
      <c r="L983" s="10" t="str">
        <f>IFERROR((IF(VLOOKUP(A983,'ECN-ECO_DATA'!B:Q,16,FALSE)="","",VLOOKUP(A983,'ECN-ECO_DATA'!B:Q,16,FALSE))),"")</f>
        <v/>
      </c>
      <c r="M983" s="9" t="str">
        <f>IFERROR((IF(VLOOKUP(A983,'ECN-ECO_DATA'!B:V,18,FALSE)=0/1/1900,"",VLOOKUP(A983,'ECN-ECO_DATA'!B:V,18,FALSE))),"")</f>
        <v/>
      </c>
      <c r="N983" s="9" t="str">
        <f>IFERROR((IF(VLOOKUP(A983,'ECN-ECO_DATA'!B:V,19,FALSE)=0/1/1900,"",VLOOKUP(A983,'ECN-ECO_DATA'!B:V,19,FALSE))),"")</f>
        <v/>
      </c>
      <c r="O983" s="9" t="str">
        <f>IFERROR((IF(VLOOKUP(A983,'ECN-ECO_DATA'!B:V,20,FALSE)=0/1/1900,"",VLOOKUP(A983,'ECN-ECO_DATA'!B:V,20,FALSE))),"")</f>
        <v/>
      </c>
      <c r="P983" s="9" t="str">
        <f>IFERROR((IF(VLOOKUP(A983,'ECN-ECO_DATA'!B:V,21,FALSE)=0/1/1900,"",VLOOKUP(A983,'ECN-ECO_DATA'!B:V,21,FALSE))),"")</f>
        <v/>
      </c>
      <c r="Q983" s="10" t="str">
        <f t="shared" ca="1" si="75"/>
        <v/>
      </c>
      <c r="R983" s="4" t="str">
        <f t="shared" si="76"/>
        <v/>
      </c>
      <c r="S983" s="4" t="str">
        <f t="shared" si="77"/>
        <v/>
      </c>
      <c r="T983" s="4" t="str">
        <f t="shared" si="78"/>
        <v/>
      </c>
      <c r="U983" s="10" t="str">
        <f t="shared" si="79"/>
        <v/>
      </c>
      <c r="V983" s="4"/>
    </row>
    <row r="984" spans="2:22" x14ac:dyDescent="0.25">
      <c r="B984" s="4" t="str">
        <f>IFERROR(VLOOKUP(A984,'ECN-ECO_DATA'!B:G,4,FALSE),"")</f>
        <v/>
      </c>
      <c r="C984" s="9" t="str">
        <f>IFERROR(VLOOKUP(A984,'ECN-ECO_DATA'!B:G,5,FALSE),"")</f>
        <v/>
      </c>
      <c r="D984" s="9" t="str">
        <f ca="1">IFERROR((IF(VLOOKUP(A984,'ECN-ECO_DATA'!B:G,6,FALSE)=0/1/1900,TODAY(),VLOOKUP(A984,'ECN-ECO_DATA'!B:G,6,FALSE))),"")</f>
        <v/>
      </c>
      <c r="E984" s="9" t="str">
        <f>IFERROR((IF(VLOOKUP(A984,'ECN-ECO_DATA'!B:G,6,FALSE)=0/1/1900,"",VLOOKUP(A984,'ECN-ECO_DATA'!B:G,6,FALSE))),"")</f>
        <v/>
      </c>
      <c r="F984" s="9" t="str">
        <f>IFERROR((IF(VLOOKUP(A984,'ECN-ECO_DATA'!B:J,7,FALSE)=0/1/1900,"",VLOOKUP(A984,'ECN-ECO_DATA'!B:J,7,FALSE))),"")</f>
        <v/>
      </c>
      <c r="G984" s="9" t="str">
        <f>IFERROR((IF(VLOOKUP(A984,'ECN-ECO_DATA'!B:J,8,FALSE)=0/1/1900,"",VLOOKUP(A984,'ECN-ECO_DATA'!B:J,8,FALSE))),"")</f>
        <v/>
      </c>
      <c r="H984" s="9" t="str">
        <f>IFERROR((IF(VLOOKUP(A984,'ECN-ECO_DATA'!B:J,9,FALSE)=0/1/1900,"",VLOOKUP(A984,'ECN-ECO_DATA'!B:J,9,FALSE))),"")</f>
        <v/>
      </c>
      <c r="I984" s="10" t="str">
        <f>IFERROR((IF(VLOOKUP(A984,'ECN-ECO_DATA'!B:Q,13,FALSE)="","",VLOOKUP(A984,'ECN-ECO_DATA'!B:Q,13,FALSE))),"")</f>
        <v/>
      </c>
      <c r="J984" s="10" t="str">
        <f>IFERROR((IF(VLOOKUP(A984,'ECN-ECO_DATA'!B:Q,14,FALSE)="","",VLOOKUP(A984,'ECN-ECO_DATA'!B:Q,14,FALSE))),"")</f>
        <v/>
      </c>
      <c r="K984" s="10" t="str">
        <f>IFERROR((IF(VLOOKUP(A984,'ECN-ECO_DATA'!B:Q,15,FALSE)="","",VLOOKUP(A984,'ECN-ECO_DATA'!B:Q,15,FALSE))),"")</f>
        <v/>
      </c>
      <c r="L984" s="10" t="str">
        <f>IFERROR((IF(VLOOKUP(A984,'ECN-ECO_DATA'!B:Q,16,FALSE)="","",VLOOKUP(A984,'ECN-ECO_DATA'!B:Q,16,FALSE))),"")</f>
        <v/>
      </c>
      <c r="M984" s="9" t="str">
        <f>IFERROR((IF(VLOOKUP(A984,'ECN-ECO_DATA'!B:V,18,FALSE)=0/1/1900,"",VLOOKUP(A984,'ECN-ECO_DATA'!B:V,18,FALSE))),"")</f>
        <v/>
      </c>
      <c r="N984" s="9" t="str">
        <f>IFERROR((IF(VLOOKUP(A984,'ECN-ECO_DATA'!B:V,19,FALSE)=0/1/1900,"",VLOOKUP(A984,'ECN-ECO_DATA'!B:V,19,FALSE))),"")</f>
        <v/>
      </c>
      <c r="O984" s="9" t="str">
        <f>IFERROR((IF(VLOOKUP(A984,'ECN-ECO_DATA'!B:V,20,FALSE)=0/1/1900,"",VLOOKUP(A984,'ECN-ECO_DATA'!B:V,20,FALSE))),"")</f>
        <v/>
      </c>
      <c r="P984" s="9" t="str">
        <f>IFERROR((IF(VLOOKUP(A984,'ECN-ECO_DATA'!B:V,21,FALSE)=0/1/1900,"",VLOOKUP(A984,'ECN-ECO_DATA'!B:V,21,FALSE))),"")</f>
        <v/>
      </c>
      <c r="Q984" s="10" t="str">
        <f t="shared" ca="1" si="75"/>
        <v/>
      </c>
      <c r="R984" s="4" t="str">
        <f t="shared" si="76"/>
        <v/>
      </c>
      <c r="S984" s="4" t="str">
        <f t="shared" si="77"/>
        <v/>
      </c>
      <c r="T984" s="4" t="str">
        <f t="shared" si="78"/>
        <v/>
      </c>
      <c r="U984" s="10" t="str">
        <f t="shared" si="79"/>
        <v/>
      </c>
      <c r="V984" s="4"/>
    </row>
    <row r="985" spans="2:22" x14ac:dyDescent="0.25">
      <c r="B985" s="4" t="str">
        <f>IFERROR(VLOOKUP(A985,'ECN-ECO_DATA'!B:G,4,FALSE),"")</f>
        <v/>
      </c>
      <c r="C985" s="9" t="str">
        <f>IFERROR(VLOOKUP(A985,'ECN-ECO_DATA'!B:G,5,FALSE),"")</f>
        <v/>
      </c>
      <c r="D985" s="9" t="str">
        <f ca="1">IFERROR((IF(VLOOKUP(A985,'ECN-ECO_DATA'!B:G,6,FALSE)=0/1/1900,TODAY(),VLOOKUP(A985,'ECN-ECO_DATA'!B:G,6,FALSE))),"")</f>
        <v/>
      </c>
      <c r="E985" s="9" t="str">
        <f>IFERROR((IF(VLOOKUP(A985,'ECN-ECO_DATA'!B:G,6,FALSE)=0/1/1900,"",VLOOKUP(A985,'ECN-ECO_DATA'!B:G,6,FALSE))),"")</f>
        <v/>
      </c>
      <c r="F985" s="9" t="str">
        <f>IFERROR((IF(VLOOKUP(A985,'ECN-ECO_DATA'!B:J,7,FALSE)=0/1/1900,"",VLOOKUP(A985,'ECN-ECO_DATA'!B:J,7,FALSE))),"")</f>
        <v/>
      </c>
      <c r="G985" s="9" t="str">
        <f>IFERROR((IF(VLOOKUP(A985,'ECN-ECO_DATA'!B:J,8,FALSE)=0/1/1900,"",VLOOKUP(A985,'ECN-ECO_DATA'!B:J,8,FALSE))),"")</f>
        <v/>
      </c>
      <c r="H985" s="9" t="str">
        <f>IFERROR((IF(VLOOKUP(A985,'ECN-ECO_DATA'!B:J,9,FALSE)=0/1/1900,"",VLOOKUP(A985,'ECN-ECO_DATA'!B:J,9,FALSE))),"")</f>
        <v/>
      </c>
      <c r="I985" s="10" t="str">
        <f>IFERROR((IF(VLOOKUP(A985,'ECN-ECO_DATA'!B:Q,13,FALSE)="","",VLOOKUP(A985,'ECN-ECO_DATA'!B:Q,13,FALSE))),"")</f>
        <v/>
      </c>
      <c r="J985" s="10" t="str">
        <f>IFERROR((IF(VLOOKUP(A985,'ECN-ECO_DATA'!B:Q,14,FALSE)="","",VLOOKUP(A985,'ECN-ECO_DATA'!B:Q,14,FALSE))),"")</f>
        <v/>
      </c>
      <c r="K985" s="10" t="str">
        <f>IFERROR((IF(VLOOKUP(A985,'ECN-ECO_DATA'!B:Q,15,FALSE)="","",VLOOKUP(A985,'ECN-ECO_DATA'!B:Q,15,FALSE))),"")</f>
        <v/>
      </c>
      <c r="L985" s="10" t="str">
        <f>IFERROR((IF(VLOOKUP(A985,'ECN-ECO_DATA'!B:Q,16,FALSE)="","",VLOOKUP(A985,'ECN-ECO_DATA'!B:Q,16,FALSE))),"")</f>
        <v/>
      </c>
      <c r="M985" s="9" t="str">
        <f>IFERROR((IF(VLOOKUP(A985,'ECN-ECO_DATA'!B:V,18,FALSE)=0/1/1900,"",VLOOKUP(A985,'ECN-ECO_DATA'!B:V,18,FALSE))),"")</f>
        <v/>
      </c>
      <c r="N985" s="9" t="str">
        <f>IFERROR((IF(VLOOKUP(A985,'ECN-ECO_DATA'!B:V,19,FALSE)=0/1/1900,"",VLOOKUP(A985,'ECN-ECO_DATA'!B:V,19,FALSE))),"")</f>
        <v/>
      </c>
      <c r="O985" s="9" t="str">
        <f>IFERROR((IF(VLOOKUP(A985,'ECN-ECO_DATA'!B:V,20,FALSE)=0/1/1900,"",VLOOKUP(A985,'ECN-ECO_DATA'!B:V,20,FALSE))),"")</f>
        <v/>
      </c>
      <c r="P985" s="9" t="str">
        <f>IFERROR((IF(VLOOKUP(A985,'ECN-ECO_DATA'!B:V,21,FALSE)=0/1/1900,"",VLOOKUP(A985,'ECN-ECO_DATA'!B:V,21,FALSE))),"")</f>
        <v/>
      </c>
      <c r="Q985" s="10" t="str">
        <f t="shared" ca="1" si="75"/>
        <v/>
      </c>
      <c r="R985" s="4" t="str">
        <f t="shared" si="76"/>
        <v/>
      </c>
      <c r="S985" s="4" t="str">
        <f t="shared" si="77"/>
        <v/>
      </c>
      <c r="T985" s="4" t="str">
        <f t="shared" si="78"/>
        <v/>
      </c>
      <c r="U985" s="10" t="str">
        <f t="shared" si="79"/>
        <v/>
      </c>
      <c r="V985" s="4"/>
    </row>
    <row r="986" spans="2:22" x14ac:dyDescent="0.25">
      <c r="B986" s="4" t="str">
        <f>IFERROR(VLOOKUP(A986,'ECN-ECO_DATA'!B:G,4,FALSE),"")</f>
        <v/>
      </c>
      <c r="C986" s="9" t="str">
        <f>IFERROR(VLOOKUP(A986,'ECN-ECO_DATA'!B:G,5,FALSE),"")</f>
        <v/>
      </c>
      <c r="D986" s="9" t="str">
        <f ca="1">IFERROR((IF(VLOOKUP(A986,'ECN-ECO_DATA'!B:G,6,FALSE)=0/1/1900,TODAY(),VLOOKUP(A986,'ECN-ECO_DATA'!B:G,6,FALSE))),"")</f>
        <v/>
      </c>
      <c r="E986" s="9" t="str">
        <f>IFERROR((IF(VLOOKUP(A986,'ECN-ECO_DATA'!B:G,6,FALSE)=0/1/1900,"",VLOOKUP(A986,'ECN-ECO_DATA'!B:G,6,FALSE))),"")</f>
        <v/>
      </c>
      <c r="F986" s="9" t="str">
        <f>IFERROR((IF(VLOOKUP(A986,'ECN-ECO_DATA'!B:J,7,FALSE)=0/1/1900,"",VLOOKUP(A986,'ECN-ECO_DATA'!B:J,7,FALSE))),"")</f>
        <v/>
      </c>
      <c r="G986" s="9" t="str">
        <f>IFERROR((IF(VLOOKUP(A986,'ECN-ECO_DATA'!B:J,8,FALSE)=0/1/1900,"",VLOOKUP(A986,'ECN-ECO_DATA'!B:J,8,FALSE))),"")</f>
        <v/>
      </c>
      <c r="H986" s="9" t="str">
        <f>IFERROR((IF(VLOOKUP(A986,'ECN-ECO_DATA'!B:J,9,FALSE)=0/1/1900,"",VLOOKUP(A986,'ECN-ECO_DATA'!B:J,9,FALSE))),"")</f>
        <v/>
      </c>
      <c r="I986" s="10" t="str">
        <f>IFERROR((IF(VLOOKUP(A986,'ECN-ECO_DATA'!B:Q,13,FALSE)="","",VLOOKUP(A986,'ECN-ECO_DATA'!B:Q,13,FALSE))),"")</f>
        <v/>
      </c>
      <c r="J986" s="10" t="str">
        <f>IFERROR((IF(VLOOKUP(A986,'ECN-ECO_DATA'!B:Q,14,FALSE)="","",VLOOKUP(A986,'ECN-ECO_DATA'!B:Q,14,FALSE))),"")</f>
        <v/>
      </c>
      <c r="K986" s="10" t="str">
        <f>IFERROR((IF(VLOOKUP(A986,'ECN-ECO_DATA'!B:Q,15,FALSE)="","",VLOOKUP(A986,'ECN-ECO_DATA'!B:Q,15,FALSE))),"")</f>
        <v/>
      </c>
      <c r="L986" s="10" t="str">
        <f>IFERROR((IF(VLOOKUP(A986,'ECN-ECO_DATA'!B:Q,16,FALSE)="","",VLOOKUP(A986,'ECN-ECO_DATA'!B:Q,16,FALSE))),"")</f>
        <v/>
      </c>
      <c r="M986" s="9" t="str">
        <f>IFERROR((IF(VLOOKUP(A986,'ECN-ECO_DATA'!B:V,18,FALSE)=0/1/1900,"",VLOOKUP(A986,'ECN-ECO_DATA'!B:V,18,FALSE))),"")</f>
        <v/>
      </c>
      <c r="N986" s="9" t="str">
        <f>IFERROR((IF(VLOOKUP(A986,'ECN-ECO_DATA'!B:V,19,FALSE)=0/1/1900,"",VLOOKUP(A986,'ECN-ECO_DATA'!B:V,19,FALSE))),"")</f>
        <v/>
      </c>
      <c r="O986" s="9" t="str">
        <f>IFERROR((IF(VLOOKUP(A986,'ECN-ECO_DATA'!B:V,20,FALSE)=0/1/1900,"",VLOOKUP(A986,'ECN-ECO_DATA'!B:V,20,FALSE))),"")</f>
        <v/>
      </c>
      <c r="P986" s="9" t="str">
        <f>IFERROR((IF(VLOOKUP(A986,'ECN-ECO_DATA'!B:V,21,FALSE)=0/1/1900,"",VLOOKUP(A986,'ECN-ECO_DATA'!B:V,21,FALSE))),"")</f>
        <v/>
      </c>
      <c r="Q986" s="10" t="str">
        <f t="shared" ca="1" si="75"/>
        <v/>
      </c>
      <c r="R986" s="4" t="str">
        <f t="shared" si="76"/>
        <v/>
      </c>
      <c r="S986" s="4" t="str">
        <f t="shared" si="77"/>
        <v/>
      </c>
      <c r="T986" s="4" t="str">
        <f t="shared" si="78"/>
        <v/>
      </c>
      <c r="U986" s="10" t="str">
        <f t="shared" si="79"/>
        <v/>
      </c>
      <c r="V986" s="4"/>
    </row>
    <row r="987" spans="2:22" x14ac:dyDescent="0.25">
      <c r="B987" s="4" t="str">
        <f>IFERROR(VLOOKUP(A987,'ECN-ECO_DATA'!B:G,4,FALSE),"")</f>
        <v/>
      </c>
      <c r="C987" s="9" t="str">
        <f>IFERROR(VLOOKUP(A987,'ECN-ECO_DATA'!B:G,5,FALSE),"")</f>
        <v/>
      </c>
      <c r="D987" s="9" t="str">
        <f ca="1">IFERROR((IF(VLOOKUP(A987,'ECN-ECO_DATA'!B:G,6,FALSE)=0/1/1900,TODAY(),VLOOKUP(A987,'ECN-ECO_DATA'!B:G,6,FALSE))),"")</f>
        <v/>
      </c>
      <c r="E987" s="9" t="str">
        <f>IFERROR((IF(VLOOKUP(A987,'ECN-ECO_DATA'!B:G,6,FALSE)=0/1/1900,"",VLOOKUP(A987,'ECN-ECO_DATA'!B:G,6,FALSE))),"")</f>
        <v/>
      </c>
      <c r="F987" s="9" t="str">
        <f>IFERROR((IF(VLOOKUP(A987,'ECN-ECO_DATA'!B:J,7,FALSE)=0/1/1900,"",VLOOKUP(A987,'ECN-ECO_DATA'!B:J,7,FALSE))),"")</f>
        <v/>
      </c>
      <c r="G987" s="9" t="str">
        <f>IFERROR((IF(VLOOKUP(A987,'ECN-ECO_DATA'!B:J,8,FALSE)=0/1/1900,"",VLOOKUP(A987,'ECN-ECO_DATA'!B:J,8,FALSE))),"")</f>
        <v/>
      </c>
      <c r="H987" s="9" t="str">
        <f>IFERROR((IF(VLOOKUP(A987,'ECN-ECO_DATA'!B:J,9,FALSE)=0/1/1900,"",VLOOKUP(A987,'ECN-ECO_DATA'!B:J,9,FALSE))),"")</f>
        <v/>
      </c>
      <c r="I987" s="10" t="str">
        <f>IFERROR((IF(VLOOKUP(A987,'ECN-ECO_DATA'!B:Q,13,FALSE)="","",VLOOKUP(A987,'ECN-ECO_DATA'!B:Q,13,FALSE))),"")</f>
        <v/>
      </c>
      <c r="J987" s="10" t="str">
        <f>IFERROR((IF(VLOOKUP(A987,'ECN-ECO_DATA'!B:Q,14,FALSE)="","",VLOOKUP(A987,'ECN-ECO_DATA'!B:Q,14,FALSE))),"")</f>
        <v/>
      </c>
      <c r="K987" s="10" t="str">
        <f>IFERROR((IF(VLOOKUP(A987,'ECN-ECO_DATA'!B:Q,15,FALSE)="","",VLOOKUP(A987,'ECN-ECO_DATA'!B:Q,15,FALSE))),"")</f>
        <v/>
      </c>
      <c r="L987" s="10" t="str">
        <f>IFERROR((IF(VLOOKUP(A987,'ECN-ECO_DATA'!B:Q,16,FALSE)="","",VLOOKUP(A987,'ECN-ECO_DATA'!B:Q,16,FALSE))),"")</f>
        <v/>
      </c>
      <c r="M987" s="9" t="str">
        <f>IFERROR((IF(VLOOKUP(A987,'ECN-ECO_DATA'!B:V,18,FALSE)=0/1/1900,"",VLOOKUP(A987,'ECN-ECO_DATA'!B:V,18,FALSE))),"")</f>
        <v/>
      </c>
      <c r="N987" s="9" t="str">
        <f>IFERROR((IF(VLOOKUP(A987,'ECN-ECO_DATA'!B:V,19,FALSE)=0/1/1900,"",VLOOKUP(A987,'ECN-ECO_DATA'!B:V,19,FALSE))),"")</f>
        <v/>
      </c>
      <c r="O987" s="9" t="str">
        <f>IFERROR((IF(VLOOKUP(A987,'ECN-ECO_DATA'!B:V,20,FALSE)=0/1/1900,"",VLOOKUP(A987,'ECN-ECO_DATA'!B:V,20,FALSE))),"")</f>
        <v/>
      </c>
      <c r="P987" s="9" t="str">
        <f>IFERROR((IF(VLOOKUP(A987,'ECN-ECO_DATA'!B:V,21,FALSE)=0/1/1900,"",VLOOKUP(A987,'ECN-ECO_DATA'!B:V,21,FALSE))),"")</f>
        <v/>
      </c>
      <c r="Q987" s="10" t="str">
        <f t="shared" ca="1" si="75"/>
        <v/>
      </c>
      <c r="R987" s="4" t="str">
        <f t="shared" si="76"/>
        <v/>
      </c>
      <c r="S987" s="4" t="str">
        <f t="shared" si="77"/>
        <v/>
      </c>
      <c r="T987" s="4" t="str">
        <f t="shared" si="78"/>
        <v/>
      </c>
      <c r="U987" s="10" t="str">
        <f t="shared" si="79"/>
        <v/>
      </c>
      <c r="V987" s="4"/>
    </row>
    <row r="988" spans="2:22" x14ac:dyDescent="0.25">
      <c r="B988" s="4" t="str">
        <f>IFERROR(VLOOKUP(A988,'ECN-ECO_DATA'!B:G,4,FALSE),"")</f>
        <v/>
      </c>
      <c r="C988" s="9" t="str">
        <f>IFERROR(VLOOKUP(A988,'ECN-ECO_DATA'!B:G,5,FALSE),"")</f>
        <v/>
      </c>
      <c r="D988" s="9" t="str">
        <f ca="1">IFERROR((IF(VLOOKUP(A988,'ECN-ECO_DATA'!B:G,6,FALSE)=0/1/1900,TODAY(),VLOOKUP(A988,'ECN-ECO_DATA'!B:G,6,FALSE))),"")</f>
        <v/>
      </c>
      <c r="E988" s="9" t="str">
        <f>IFERROR((IF(VLOOKUP(A988,'ECN-ECO_DATA'!B:G,6,FALSE)=0/1/1900,"",VLOOKUP(A988,'ECN-ECO_DATA'!B:G,6,FALSE))),"")</f>
        <v/>
      </c>
      <c r="F988" s="9" t="str">
        <f>IFERROR((IF(VLOOKUP(A988,'ECN-ECO_DATA'!B:J,7,FALSE)=0/1/1900,"",VLOOKUP(A988,'ECN-ECO_DATA'!B:J,7,FALSE))),"")</f>
        <v/>
      </c>
      <c r="G988" s="9" t="str">
        <f>IFERROR((IF(VLOOKUP(A988,'ECN-ECO_DATA'!B:J,8,FALSE)=0/1/1900,"",VLOOKUP(A988,'ECN-ECO_DATA'!B:J,8,FALSE))),"")</f>
        <v/>
      </c>
      <c r="H988" s="9" t="str">
        <f>IFERROR((IF(VLOOKUP(A988,'ECN-ECO_DATA'!B:J,9,FALSE)=0/1/1900,"",VLOOKUP(A988,'ECN-ECO_DATA'!B:J,9,FALSE))),"")</f>
        <v/>
      </c>
      <c r="I988" s="10" t="str">
        <f>IFERROR((IF(VLOOKUP(A988,'ECN-ECO_DATA'!B:Q,13,FALSE)="","",VLOOKUP(A988,'ECN-ECO_DATA'!B:Q,13,FALSE))),"")</f>
        <v/>
      </c>
      <c r="J988" s="10" t="str">
        <f>IFERROR((IF(VLOOKUP(A988,'ECN-ECO_DATA'!B:Q,14,FALSE)="","",VLOOKUP(A988,'ECN-ECO_DATA'!B:Q,14,FALSE))),"")</f>
        <v/>
      </c>
      <c r="K988" s="10" t="str">
        <f>IFERROR((IF(VLOOKUP(A988,'ECN-ECO_DATA'!B:Q,15,FALSE)="","",VLOOKUP(A988,'ECN-ECO_DATA'!B:Q,15,FALSE))),"")</f>
        <v/>
      </c>
      <c r="L988" s="10" t="str">
        <f>IFERROR((IF(VLOOKUP(A988,'ECN-ECO_DATA'!B:Q,16,FALSE)="","",VLOOKUP(A988,'ECN-ECO_DATA'!B:Q,16,FALSE))),"")</f>
        <v/>
      </c>
      <c r="M988" s="9" t="str">
        <f>IFERROR((IF(VLOOKUP(A988,'ECN-ECO_DATA'!B:V,18,FALSE)=0/1/1900,"",VLOOKUP(A988,'ECN-ECO_DATA'!B:V,18,FALSE))),"")</f>
        <v/>
      </c>
      <c r="N988" s="9" t="str">
        <f>IFERROR((IF(VLOOKUP(A988,'ECN-ECO_DATA'!B:V,19,FALSE)=0/1/1900,"",VLOOKUP(A988,'ECN-ECO_DATA'!B:V,19,FALSE))),"")</f>
        <v/>
      </c>
      <c r="O988" s="9" t="str">
        <f>IFERROR((IF(VLOOKUP(A988,'ECN-ECO_DATA'!B:V,20,FALSE)=0/1/1900,"",VLOOKUP(A988,'ECN-ECO_DATA'!B:V,20,FALSE))),"")</f>
        <v/>
      </c>
      <c r="P988" s="9" t="str">
        <f>IFERROR((IF(VLOOKUP(A988,'ECN-ECO_DATA'!B:V,21,FALSE)=0/1/1900,"",VLOOKUP(A988,'ECN-ECO_DATA'!B:V,21,FALSE))),"")</f>
        <v/>
      </c>
      <c r="Q988" s="10" t="str">
        <f t="shared" ca="1" si="75"/>
        <v/>
      </c>
      <c r="R988" s="4" t="str">
        <f t="shared" si="76"/>
        <v/>
      </c>
      <c r="S988" s="4" t="str">
        <f t="shared" si="77"/>
        <v/>
      </c>
      <c r="T988" s="4" t="str">
        <f t="shared" si="78"/>
        <v/>
      </c>
      <c r="U988" s="10" t="str">
        <f t="shared" si="79"/>
        <v/>
      </c>
      <c r="V988" s="4"/>
    </row>
    <row r="989" spans="2:22" x14ac:dyDescent="0.25">
      <c r="B989" s="4" t="str">
        <f>IFERROR(VLOOKUP(A989,'ECN-ECO_DATA'!B:G,4,FALSE),"")</f>
        <v/>
      </c>
      <c r="C989" s="9" t="str">
        <f>IFERROR(VLOOKUP(A989,'ECN-ECO_DATA'!B:G,5,FALSE),"")</f>
        <v/>
      </c>
      <c r="D989" s="9" t="str">
        <f ca="1">IFERROR((IF(VLOOKUP(A989,'ECN-ECO_DATA'!B:G,6,FALSE)=0/1/1900,TODAY(),VLOOKUP(A989,'ECN-ECO_DATA'!B:G,6,FALSE))),"")</f>
        <v/>
      </c>
      <c r="E989" s="9" t="str">
        <f>IFERROR((IF(VLOOKUP(A989,'ECN-ECO_DATA'!B:G,6,FALSE)=0/1/1900,"",VLOOKUP(A989,'ECN-ECO_DATA'!B:G,6,FALSE))),"")</f>
        <v/>
      </c>
      <c r="F989" s="9" t="str">
        <f>IFERROR((IF(VLOOKUP(A989,'ECN-ECO_DATA'!B:J,7,FALSE)=0/1/1900,"",VLOOKUP(A989,'ECN-ECO_DATA'!B:J,7,FALSE))),"")</f>
        <v/>
      </c>
      <c r="G989" s="9" t="str">
        <f>IFERROR((IF(VLOOKUP(A989,'ECN-ECO_DATA'!B:J,8,FALSE)=0/1/1900,"",VLOOKUP(A989,'ECN-ECO_DATA'!B:J,8,FALSE))),"")</f>
        <v/>
      </c>
      <c r="H989" s="9" t="str">
        <f>IFERROR((IF(VLOOKUP(A989,'ECN-ECO_DATA'!B:J,9,FALSE)=0/1/1900,"",VLOOKUP(A989,'ECN-ECO_DATA'!B:J,9,FALSE))),"")</f>
        <v/>
      </c>
      <c r="I989" s="10" t="str">
        <f>IFERROR((IF(VLOOKUP(A989,'ECN-ECO_DATA'!B:Q,13,FALSE)="","",VLOOKUP(A989,'ECN-ECO_DATA'!B:Q,13,FALSE))),"")</f>
        <v/>
      </c>
      <c r="J989" s="10" t="str">
        <f>IFERROR((IF(VLOOKUP(A989,'ECN-ECO_DATA'!B:Q,14,FALSE)="","",VLOOKUP(A989,'ECN-ECO_DATA'!B:Q,14,FALSE))),"")</f>
        <v/>
      </c>
      <c r="K989" s="10" t="str">
        <f>IFERROR((IF(VLOOKUP(A989,'ECN-ECO_DATA'!B:Q,15,FALSE)="","",VLOOKUP(A989,'ECN-ECO_DATA'!B:Q,15,FALSE))),"")</f>
        <v/>
      </c>
      <c r="L989" s="10" t="str">
        <f>IFERROR((IF(VLOOKUP(A989,'ECN-ECO_DATA'!B:Q,16,FALSE)="","",VLOOKUP(A989,'ECN-ECO_DATA'!B:Q,16,FALSE))),"")</f>
        <v/>
      </c>
      <c r="M989" s="9" t="str">
        <f>IFERROR((IF(VLOOKUP(A989,'ECN-ECO_DATA'!B:V,18,FALSE)=0/1/1900,"",VLOOKUP(A989,'ECN-ECO_DATA'!B:V,18,FALSE))),"")</f>
        <v/>
      </c>
      <c r="N989" s="9" t="str">
        <f>IFERROR((IF(VLOOKUP(A989,'ECN-ECO_DATA'!B:V,19,FALSE)=0/1/1900,"",VLOOKUP(A989,'ECN-ECO_DATA'!B:V,19,FALSE))),"")</f>
        <v/>
      </c>
      <c r="O989" s="9" t="str">
        <f>IFERROR((IF(VLOOKUP(A989,'ECN-ECO_DATA'!B:V,20,FALSE)=0/1/1900,"",VLOOKUP(A989,'ECN-ECO_DATA'!B:V,20,FALSE))),"")</f>
        <v/>
      </c>
      <c r="P989" s="9" t="str">
        <f>IFERROR((IF(VLOOKUP(A989,'ECN-ECO_DATA'!B:V,21,FALSE)=0/1/1900,"",VLOOKUP(A989,'ECN-ECO_DATA'!B:V,21,FALSE))),"")</f>
        <v/>
      </c>
      <c r="Q989" s="10" t="str">
        <f t="shared" ca="1" si="75"/>
        <v/>
      </c>
      <c r="R989" s="4" t="str">
        <f t="shared" si="76"/>
        <v/>
      </c>
      <c r="S989" s="4" t="str">
        <f t="shared" si="77"/>
        <v/>
      </c>
      <c r="T989" s="4" t="str">
        <f t="shared" si="78"/>
        <v/>
      </c>
      <c r="U989" s="10" t="str">
        <f t="shared" si="79"/>
        <v/>
      </c>
      <c r="V989" s="4"/>
    </row>
    <row r="990" spans="2:22" x14ac:dyDescent="0.25">
      <c r="B990" s="4" t="str">
        <f>IFERROR(VLOOKUP(A990,'ECN-ECO_DATA'!B:G,4,FALSE),"")</f>
        <v/>
      </c>
      <c r="C990" s="9" t="str">
        <f>IFERROR(VLOOKUP(A990,'ECN-ECO_DATA'!B:G,5,FALSE),"")</f>
        <v/>
      </c>
      <c r="D990" s="9" t="str">
        <f ca="1">IFERROR((IF(VLOOKUP(A990,'ECN-ECO_DATA'!B:G,6,FALSE)=0/1/1900,TODAY(),VLOOKUP(A990,'ECN-ECO_DATA'!B:G,6,FALSE))),"")</f>
        <v/>
      </c>
      <c r="E990" s="9" t="str">
        <f>IFERROR((IF(VLOOKUP(A990,'ECN-ECO_DATA'!B:G,6,FALSE)=0/1/1900,"",VLOOKUP(A990,'ECN-ECO_DATA'!B:G,6,FALSE))),"")</f>
        <v/>
      </c>
      <c r="F990" s="9" t="str">
        <f>IFERROR((IF(VLOOKUP(A990,'ECN-ECO_DATA'!B:J,7,FALSE)=0/1/1900,"",VLOOKUP(A990,'ECN-ECO_DATA'!B:J,7,FALSE))),"")</f>
        <v/>
      </c>
      <c r="G990" s="9" t="str">
        <f>IFERROR((IF(VLOOKUP(A990,'ECN-ECO_DATA'!B:J,8,FALSE)=0/1/1900,"",VLOOKUP(A990,'ECN-ECO_DATA'!B:J,8,FALSE))),"")</f>
        <v/>
      </c>
      <c r="H990" s="9" t="str">
        <f>IFERROR((IF(VLOOKUP(A990,'ECN-ECO_DATA'!B:J,9,FALSE)=0/1/1900,"",VLOOKUP(A990,'ECN-ECO_DATA'!B:J,9,FALSE))),"")</f>
        <v/>
      </c>
      <c r="I990" s="10" t="str">
        <f>IFERROR((IF(VLOOKUP(A990,'ECN-ECO_DATA'!B:Q,13,FALSE)="","",VLOOKUP(A990,'ECN-ECO_DATA'!B:Q,13,FALSE))),"")</f>
        <v/>
      </c>
      <c r="J990" s="10" t="str">
        <f>IFERROR((IF(VLOOKUP(A990,'ECN-ECO_DATA'!B:Q,14,FALSE)="","",VLOOKUP(A990,'ECN-ECO_DATA'!B:Q,14,FALSE))),"")</f>
        <v/>
      </c>
      <c r="K990" s="10" t="str">
        <f>IFERROR((IF(VLOOKUP(A990,'ECN-ECO_DATA'!B:Q,15,FALSE)="","",VLOOKUP(A990,'ECN-ECO_DATA'!B:Q,15,FALSE))),"")</f>
        <v/>
      </c>
      <c r="L990" s="10" t="str">
        <f>IFERROR((IF(VLOOKUP(A990,'ECN-ECO_DATA'!B:Q,16,FALSE)="","",VLOOKUP(A990,'ECN-ECO_DATA'!B:Q,16,FALSE))),"")</f>
        <v/>
      </c>
      <c r="M990" s="9" t="str">
        <f>IFERROR((IF(VLOOKUP(A990,'ECN-ECO_DATA'!B:V,18,FALSE)=0/1/1900,"",VLOOKUP(A990,'ECN-ECO_DATA'!B:V,18,FALSE))),"")</f>
        <v/>
      </c>
      <c r="N990" s="9" t="str">
        <f>IFERROR((IF(VLOOKUP(A990,'ECN-ECO_DATA'!B:V,19,FALSE)=0/1/1900,"",VLOOKUP(A990,'ECN-ECO_DATA'!B:V,19,FALSE))),"")</f>
        <v/>
      </c>
      <c r="O990" s="9" t="str">
        <f>IFERROR((IF(VLOOKUP(A990,'ECN-ECO_DATA'!B:V,20,FALSE)=0/1/1900,"",VLOOKUP(A990,'ECN-ECO_DATA'!B:V,20,FALSE))),"")</f>
        <v/>
      </c>
      <c r="P990" s="9" t="str">
        <f>IFERROR((IF(VLOOKUP(A990,'ECN-ECO_DATA'!B:V,21,FALSE)=0/1/1900,"",VLOOKUP(A990,'ECN-ECO_DATA'!B:V,21,FALSE))),"")</f>
        <v/>
      </c>
      <c r="Q990" s="10" t="str">
        <f t="shared" ca="1" si="75"/>
        <v/>
      </c>
      <c r="R990" s="4" t="str">
        <f t="shared" si="76"/>
        <v/>
      </c>
      <c r="S990" s="4" t="str">
        <f t="shared" si="77"/>
        <v/>
      </c>
      <c r="T990" s="4" t="str">
        <f t="shared" si="78"/>
        <v/>
      </c>
      <c r="U990" s="10" t="str">
        <f t="shared" si="79"/>
        <v/>
      </c>
      <c r="V990" s="4"/>
    </row>
    <row r="991" spans="2:22" x14ac:dyDescent="0.25">
      <c r="B991" s="4" t="str">
        <f>IFERROR(VLOOKUP(A991,'ECN-ECO_DATA'!B:G,4,FALSE),"")</f>
        <v/>
      </c>
      <c r="C991" s="9" t="str">
        <f>IFERROR(VLOOKUP(A991,'ECN-ECO_DATA'!B:G,5,FALSE),"")</f>
        <v/>
      </c>
      <c r="D991" s="9" t="str">
        <f ca="1">IFERROR((IF(VLOOKUP(A991,'ECN-ECO_DATA'!B:G,6,FALSE)=0/1/1900,TODAY(),VLOOKUP(A991,'ECN-ECO_DATA'!B:G,6,FALSE))),"")</f>
        <v/>
      </c>
      <c r="E991" s="9" t="str">
        <f>IFERROR((IF(VLOOKUP(A991,'ECN-ECO_DATA'!B:G,6,FALSE)=0/1/1900,"",VLOOKUP(A991,'ECN-ECO_DATA'!B:G,6,FALSE))),"")</f>
        <v/>
      </c>
      <c r="F991" s="9" t="str">
        <f>IFERROR((IF(VLOOKUP(A991,'ECN-ECO_DATA'!B:J,7,FALSE)=0/1/1900,"",VLOOKUP(A991,'ECN-ECO_DATA'!B:J,7,FALSE))),"")</f>
        <v/>
      </c>
      <c r="G991" s="9" t="str">
        <f>IFERROR((IF(VLOOKUP(A991,'ECN-ECO_DATA'!B:J,8,FALSE)=0/1/1900,"",VLOOKUP(A991,'ECN-ECO_DATA'!B:J,8,FALSE))),"")</f>
        <v/>
      </c>
      <c r="H991" s="9" t="str">
        <f>IFERROR((IF(VLOOKUP(A991,'ECN-ECO_DATA'!B:J,9,FALSE)=0/1/1900,"",VLOOKUP(A991,'ECN-ECO_DATA'!B:J,9,FALSE))),"")</f>
        <v/>
      </c>
      <c r="I991" s="10" t="str">
        <f>IFERROR((IF(VLOOKUP(A991,'ECN-ECO_DATA'!B:Q,13,FALSE)="","",VLOOKUP(A991,'ECN-ECO_DATA'!B:Q,13,FALSE))),"")</f>
        <v/>
      </c>
      <c r="J991" s="10" t="str">
        <f>IFERROR((IF(VLOOKUP(A991,'ECN-ECO_DATA'!B:Q,14,FALSE)="","",VLOOKUP(A991,'ECN-ECO_DATA'!B:Q,14,FALSE))),"")</f>
        <v/>
      </c>
      <c r="K991" s="10" t="str">
        <f>IFERROR((IF(VLOOKUP(A991,'ECN-ECO_DATA'!B:Q,15,FALSE)="","",VLOOKUP(A991,'ECN-ECO_DATA'!B:Q,15,FALSE))),"")</f>
        <v/>
      </c>
      <c r="L991" s="10" t="str">
        <f>IFERROR((IF(VLOOKUP(A991,'ECN-ECO_DATA'!B:Q,16,FALSE)="","",VLOOKUP(A991,'ECN-ECO_DATA'!B:Q,16,FALSE))),"")</f>
        <v/>
      </c>
      <c r="M991" s="9" t="str">
        <f>IFERROR((IF(VLOOKUP(A991,'ECN-ECO_DATA'!B:V,18,FALSE)=0/1/1900,"",VLOOKUP(A991,'ECN-ECO_DATA'!B:V,18,FALSE))),"")</f>
        <v/>
      </c>
      <c r="N991" s="9" t="str">
        <f>IFERROR((IF(VLOOKUP(A991,'ECN-ECO_DATA'!B:V,19,FALSE)=0/1/1900,"",VLOOKUP(A991,'ECN-ECO_DATA'!B:V,19,FALSE))),"")</f>
        <v/>
      </c>
      <c r="O991" s="9" t="str">
        <f>IFERROR((IF(VLOOKUP(A991,'ECN-ECO_DATA'!B:V,20,FALSE)=0/1/1900,"",VLOOKUP(A991,'ECN-ECO_DATA'!B:V,20,FALSE))),"")</f>
        <v/>
      </c>
      <c r="P991" s="9" t="str">
        <f>IFERROR((IF(VLOOKUP(A991,'ECN-ECO_DATA'!B:V,21,FALSE)=0/1/1900,"",VLOOKUP(A991,'ECN-ECO_DATA'!B:V,21,FALSE))),"")</f>
        <v/>
      </c>
      <c r="Q991" s="10" t="str">
        <f t="shared" ca="1" si="75"/>
        <v/>
      </c>
      <c r="R991" s="4" t="str">
        <f t="shared" si="76"/>
        <v/>
      </c>
      <c r="S991" s="4" t="str">
        <f t="shared" si="77"/>
        <v/>
      </c>
      <c r="T991" s="4" t="str">
        <f t="shared" si="78"/>
        <v/>
      </c>
      <c r="U991" s="10" t="str">
        <f t="shared" si="79"/>
        <v/>
      </c>
      <c r="V991" s="4"/>
    </row>
    <row r="992" spans="2:22" x14ac:dyDescent="0.25">
      <c r="B992" s="4" t="str">
        <f>IFERROR(VLOOKUP(A992,'ECN-ECO_DATA'!B:G,4,FALSE),"")</f>
        <v/>
      </c>
      <c r="C992" s="9" t="str">
        <f>IFERROR(VLOOKUP(A992,'ECN-ECO_DATA'!B:G,5,FALSE),"")</f>
        <v/>
      </c>
      <c r="D992" s="9" t="str">
        <f ca="1">IFERROR((IF(VLOOKUP(A992,'ECN-ECO_DATA'!B:G,6,FALSE)=0/1/1900,TODAY(),VLOOKUP(A992,'ECN-ECO_DATA'!B:G,6,FALSE))),"")</f>
        <v/>
      </c>
      <c r="E992" s="9" t="str">
        <f>IFERROR((IF(VLOOKUP(A992,'ECN-ECO_DATA'!B:G,6,FALSE)=0/1/1900,"",VLOOKUP(A992,'ECN-ECO_DATA'!B:G,6,FALSE))),"")</f>
        <v/>
      </c>
      <c r="F992" s="9" t="str">
        <f>IFERROR((IF(VLOOKUP(A992,'ECN-ECO_DATA'!B:J,7,FALSE)=0/1/1900,"",VLOOKUP(A992,'ECN-ECO_DATA'!B:J,7,FALSE))),"")</f>
        <v/>
      </c>
      <c r="G992" s="9" t="str">
        <f>IFERROR((IF(VLOOKUP(A992,'ECN-ECO_DATA'!B:J,8,FALSE)=0/1/1900,"",VLOOKUP(A992,'ECN-ECO_DATA'!B:J,8,FALSE))),"")</f>
        <v/>
      </c>
      <c r="H992" s="9" t="str">
        <f>IFERROR((IF(VLOOKUP(A992,'ECN-ECO_DATA'!B:J,9,FALSE)=0/1/1900,"",VLOOKUP(A992,'ECN-ECO_DATA'!B:J,9,FALSE))),"")</f>
        <v/>
      </c>
      <c r="I992" s="10" t="str">
        <f>IFERROR((IF(VLOOKUP(A992,'ECN-ECO_DATA'!B:Q,13,FALSE)="","",VLOOKUP(A992,'ECN-ECO_DATA'!B:Q,13,FALSE))),"")</f>
        <v/>
      </c>
      <c r="J992" s="10" t="str">
        <f>IFERROR((IF(VLOOKUP(A992,'ECN-ECO_DATA'!B:Q,14,FALSE)="","",VLOOKUP(A992,'ECN-ECO_DATA'!B:Q,14,FALSE))),"")</f>
        <v/>
      </c>
      <c r="K992" s="10" t="str">
        <f>IFERROR((IF(VLOOKUP(A992,'ECN-ECO_DATA'!B:Q,15,FALSE)="","",VLOOKUP(A992,'ECN-ECO_DATA'!B:Q,15,FALSE))),"")</f>
        <v/>
      </c>
      <c r="L992" s="10" t="str">
        <f>IFERROR((IF(VLOOKUP(A992,'ECN-ECO_DATA'!B:Q,16,FALSE)="","",VLOOKUP(A992,'ECN-ECO_DATA'!B:Q,16,FALSE))),"")</f>
        <v/>
      </c>
      <c r="M992" s="9" t="str">
        <f>IFERROR((IF(VLOOKUP(A992,'ECN-ECO_DATA'!B:V,18,FALSE)=0/1/1900,"",VLOOKUP(A992,'ECN-ECO_DATA'!B:V,18,FALSE))),"")</f>
        <v/>
      </c>
      <c r="N992" s="9" t="str">
        <f>IFERROR((IF(VLOOKUP(A992,'ECN-ECO_DATA'!B:V,19,FALSE)=0/1/1900,"",VLOOKUP(A992,'ECN-ECO_DATA'!B:V,19,FALSE))),"")</f>
        <v/>
      </c>
      <c r="O992" s="9" t="str">
        <f>IFERROR((IF(VLOOKUP(A992,'ECN-ECO_DATA'!B:V,20,FALSE)=0/1/1900,"",VLOOKUP(A992,'ECN-ECO_DATA'!B:V,20,FALSE))),"")</f>
        <v/>
      </c>
      <c r="P992" s="9" t="str">
        <f>IFERROR((IF(VLOOKUP(A992,'ECN-ECO_DATA'!B:V,21,FALSE)=0/1/1900,"",VLOOKUP(A992,'ECN-ECO_DATA'!B:V,21,FALSE))),"")</f>
        <v/>
      </c>
      <c r="Q992" s="10" t="str">
        <f t="shared" ca="1" si="75"/>
        <v/>
      </c>
      <c r="R992" s="4" t="str">
        <f t="shared" si="76"/>
        <v/>
      </c>
      <c r="S992" s="4" t="str">
        <f t="shared" si="77"/>
        <v/>
      </c>
      <c r="T992" s="4" t="str">
        <f t="shared" si="78"/>
        <v/>
      </c>
      <c r="U992" s="10" t="str">
        <f t="shared" si="79"/>
        <v/>
      </c>
      <c r="V992" s="4"/>
    </row>
    <row r="993" spans="2:22" x14ac:dyDescent="0.25">
      <c r="B993" s="4" t="str">
        <f>IFERROR(VLOOKUP(A993,'ECN-ECO_DATA'!B:G,4,FALSE),"")</f>
        <v/>
      </c>
      <c r="C993" s="9" t="str">
        <f>IFERROR(VLOOKUP(A993,'ECN-ECO_DATA'!B:G,5,FALSE),"")</f>
        <v/>
      </c>
      <c r="D993" s="9" t="str">
        <f ca="1">IFERROR((IF(VLOOKUP(A993,'ECN-ECO_DATA'!B:G,6,FALSE)=0/1/1900,TODAY(),VLOOKUP(A993,'ECN-ECO_DATA'!B:G,6,FALSE))),"")</f>
        <v/>
      </c>
      <c r="E993" s="9" t="str">
        <f>IFERROR((IF(VLOOKUP(A993,'ECN-ECO_DATA'!B:G,6,FALSE)=0/1/1900,"",VLOOKUP(A993,'ECN-ECO_DATA'!B:G,6,FALSE))),"")</f>
        <v/>
      </c>
      <c r="F993" s="9" t="str">
        <f>IFERROR((IF(VLOOKUP(A993,'ECN-ECO_DATA'!B:J,7,FALSE)=0/1/1900,"",VLOOKUP(A993,'ECN-ECO_DATA'!B:J,7,FALSE))),"")</f>
        <v/>
      </c>
      <c r="G993" s="9" t="str">
        <f>IFERROR((IF(VLOOKUP(A993,'ECN-ECO_DATA'!B:J,8,FALSE)=0/1/1900,"",VLOOKUP(A993,'ECN-ECO_DATA'!B:J,8,FALSE))),"")</f>
        <v/>
      </c>
      <c r="H993" s="9" t="str">
        <f>IFERROR((IF(VLOOKUP(A993,'ECN-ECO_DATA'!B:J,9,FALSE)=0/1/1900,"",VLOOKUP(A993,'ECN-ECO_DATA'!B:J,9,FALSE))),"")</f>
        <v/>
      </c>
      <c r="I993" s="10" t="str">
        <f>IFERROR((IF(VLOOKUP(A993,'ECN-ECO_DATA'!B:Q,13,FALSE)="","",VLOOKUP(A993,'ECN-ECO_DATA'!B:Q,13,FALSE))),"")</f>
        <v/>
      </c>
      <c r="J993" s="10" t="str">
        <f>IFERROR((IF(VLOOKUP(A993,'ECN-ECO_DATA'!B:Q,14,FALSE)="","",VLOOKUP(A993,'ECN-ECO_DATA'!B:Q,14,FALSE))),"")</f>
        <v/>
      </c>
      <c r="K993" s="10" t="str">
        <f>IFERROR((IF(VLOOKUP(A993,'ECN-ECO_DATA'!B:Q,15,FALSE)="","",VLOOKUP(A993,'ECN-ECO_DATA'!B:Q,15,FALSE))),"")</f>
        <v/>
      </c>
      <c r="L993" s="10" t="str">
        <f>IFERROR((IF(VLOOKUP(A993,'ECN-ECO_DATA'!B:Q,16,FALSE)="","",VLOOKUP(A993,'ECN-ECO_DATA'!B:Q,16,FALSE))),"")</f>
        <v/>
      </c>
      <c r="M993" s="9" t="str">
        <f>IFERROR((IF(VLOOKUP(A993,'ECN-ECO_DATA'!B:V,18,FALSE)=0/1/1900,"",VLOOKUP(A993,'ECN-ECO_DATA'!B:V,18,FALSE))),"")</f>
        <v/>
      </c>
      <c r="N993" s="9" t="str">
        <f>IFERROR((IF(VLOOKUP(A993,'ECN-ECO_DATA'!B:V,19,FALSE)=0/1/1900,"",VLOOKUP(A993,'ECN-ECO_DATA'!B:V,19,FALSE))),"")</f>
        <v/>
      </c>
      <c r="O993" s="9" t="str">
        <f>IFERROR((IF(VLOOKUP(A993,'ECN-ECO_DATA'!B:V,20,FALSE)=0/1/1900,"",VLOOKUP(A993,'ECN-ECO_DATA'!B:V,20,FALSE))),"")</f>
        <v/>
      </c>
      <c r="P993" s="9" t="str">
        <f>IFERROR((IF(VLOOKUP(A993,'ECN-ECO_DATA'!B:V,21,FALSE)=0/1/1900,"",VLOOKUP(A993,'ECN-ECO_DATA'!B:V,21,FALSE))),"")</f>
        <v/>
      </c>
      <c r="Q993" s="10" t="str">
        <f t="shared" ca="1" si="75"/>
        <v/>
      </c>
      <c r="R993" s="4" t="str">
        <f t="shared" si="76"/>
        <v/>
      </c>
      <c r="S993" s="4" t="str">
        <f t="shared" si="77"/>
        <v/>
      </c>
      <c r="T993" s="4" t="str">
        <f t="shared" si="78"/>
        <v/>
      </c>
      <c r="U993" s="10" t="str">
        <f t="shared" si="79"/>
        <v/>
      </c>
      <c r="V993" s="4"/>
    </row>
    <row r="994" spans="2:22" x14ac:dyDescent="0.25">
      <c r="B994" s="4" t="str">
        <f>IFERROR(VLOOKUP(A994,'ECN-ECO_DATA'!B:G,4,FALSE),"")</f>
        <v/>
      </c>
      <c r="C994" s="9" t="str">
        <f>IFERROR(VLOOKUP(A994,'ECN-ECO_DATA'!B:G,5,FALSE),"")</f>
        <v/>
      </c>
      <c r="D994" s="9" t="str">
        <f ca="1">IFERROR((IF(VLOOKUP(A994,'ECN-ECO_DATA'!B:G,6,FALSE)=0/1/1900,TODAY(),VLOOKUP(A994,'ECN-ECO_DATA'!B:G,6,FALSE))),"")</f>
        <v/>
      </c>
      <c r="E994" s="9" t="str">
        <f>IFERROR((IF(VLOOKUP(A994,'ECN-ECO_DATA'!B:G,6,FALSE)=0/1/1900,"",VLOOKUP(A994,'ECN-ECO_DATA'!B:G,6,FALSE))),"")</f>
        <v/>
      </c>
      <c r="F994" s="9" t="str">
        <f>IFERROR((IF(VLOOKUP(A994,'ECN-ECO_DATA'!B:J,7,FALSE)=0/1/1900,"",VLOOKUP(A994,'ECN-ECO_DATA'!B:J,7,FALSE))),"")</f>
        <v/>
      </c>
      <c r="G994" s="9" t="str">
        <f>IFERROR((IF(VLOOKUP(A994,'ECN-ECO_DATA'!B:J,8,FALSE)=0/1/1900,"",VLOOKUP(A994,'ECN-ECO_DATA'!B:J,8,FALSE))),"")</f>
        <v/>
      </c>
      <c r="H994" s="9" t="str">
        <f>IFERROR((IF(VLOOKUP(A994,'ECN-ECO_DATA'!B:J,9,FALSE)=0/1/1900,"",VLOOKUP(A994,'ECN-ECO_DATA'!B:J,9,FALSE))),"")</f>
        <v/>
      </c>
      <c r="I994" s="10" t="str">
        <f>IFERROR((IF(VLOOKUP(A994,'ECN-ECO_DATA'!B:Q,13,FALSE)="","",VLOOKUP(A994,'ECN-ECO_DATA'!B:Q,13,FALSE))),"")</f>
        <v/>
      </c>
      <c r="J994" s="10" t="str">
        <f>IFERROR((IF(VLOOKUP(A994,'ECN-ECO_DATA'!B:Q,14,FALSE)="","",VLOOKUP(A994,'ECN-ECO_DATA'!B:Q,14,FALSE))),"")</f>
        <v/>
      </c>
      <c r="K994" s="10" t="str">
        <f>IFERROR((IF(VLOOKUP(A994,'ECN-ECO_DATA'!B:Q,15,FALSE)="","",VLOOKUP(A994,'ECN-ECO_DATA'!B:Q,15,FALSE))),"")</f>
        <v/>
      </c>
      <c r="L994" s="10" t="str">
        <f>IFERROR((IF(VLOOKUP(A994,'ECN-ECO_DATA'!B:Q,16,FALSE)="","",VLOOKUP(A994,'ECN-ECO_DATA'!B:Q,16,FALSE))),"")</f>
        <v/>
      </c>
      <c r="M994" s="9" t="str">
        <f>IFERROR((IF(VLOOKUP(A994,'ECN-ECO_DATA'!B:V,18,FALSE)=0/1/1900,"",VLOOKUP(A994,'ECN-ECO_DATA'!B:V,18,FALSE))),"")</f>
        <v/>
      </c>
      <c r="N994" s="9" t="str">
        <f>IFERROR((IF(VLOOKUP(A994,'ECN-ECO_DATA'!B:V,19,FALSE)=0/1/1900,"",VLOOKUP(A994,'ECN-ECO_DATA'!B:V,19,FALSE))),"")</f>
        <v/>
      </c>
      <c r="O994" s="9" t="str">
        <f>IFERROR((IF(VLOOKUP(A994,'ECN-ECO_DATA'!B:V,20,FALSE)=0/1/1900,"",VLOOKUP(A994,'ECN-ECO_DATA'!B:V,20,FALSE))),"")</f>
        <v/>
      </c>
      <c r="P994" s="9" t="str">
        <f>IFERROR((IF(VLOOKUP(A994,'ECN-ECO_DATA'!B:V,21,FALSE)=0/1/1900,"",VLOOKUP(A994,'ECN-ECO_DATA'!B:V,21,FALSE))),"")</f>
        <v/>
      </c>
      <c r="Q994" s="10" t="str">
        <f t="shared" ca="1" si="75"/>
        <v/>
      </c>
      <c r="R994" s="4" t="str">
        <f t="shared" si="76"/>
        <v/>
      </c>
      <c r="S994" s="4" t="str">
        <f t="shared" si="77"/>
        <v/>
      </c>
      <c r="T994" s="4" t="str">
        <f t="shared" si="78"/>
        <v/>
      </c>
      <c r="U994" s="10" t="str">
        <f t="shared" si="79"/>
        <v/>
      </c>
      <c r="V994" s="4"/>
    </row>
    <row r="995" spans="2:22" x14ac:dyDescent="0.25">
      <c r="B995" s="4" t="str">
        <f>IFERROR(VLOOKUP(A995,'ECN-ECO_DATA'!B:G,4,FALSE),"")</f>
        <v/>
      </c>
      <c r="C995" s="9" t="str">
        <f>IFERROR(VLOOKUP(A995,'ECN-ECO_DATA'!B:G,5,FALSE),"")</f>
        <v/>
      </c>
      <c r="D995" s="9" t="str">
        <f ca="1">IFERROR((IF(VLOOKUP(A995,'ECN-ECO_DATA'!B:G,6,FALSE)=0/1/1900,TODAY(),VLOOKUP(A995,'ECN-ECO_DATA'!B:G,6,FALSE))),"")</f>
        <v/>
      </c>
      <c r="E995" s="9" t="str">
        <f>IFERROR((IF(VLOOKUP(A995,'ECN-ECO_DATA'!B:G,6,FALSE)=0/1/1900,"",VLOOKUP(A995,'ECN-ECO_DATA'!B:G,6,FALSE))),"")</f>
        <v/>
      </c>
      <c r="F995" s="9" t="str">
        <f>IFERROR((IF(VLOOKUP(A995,'ECN-ECO_DATA'!B:J,7,FALSE)=0/1/1900,"",VLOOKUP(A995,'ECN-ECO_DATA'!B:J,7,FALSE))),"")</f>
        <v/>
      </c>
      <c r="G995" s="9" t="str">
        <f>IFERROR((IF(VLOOKUP(A995,'ECN-ECO_DATA'!B:J,8,FALSE)=0/1/1900,"",VLOOKUP(A995,'ECN-ECO_DATA'!B:J,8,FALSE))),"")</f>
        <v/>
      </c>
      <c r="H995" s="9" t="str">
        <f>IFERROR((IF(VLOOKUP(A995,'ECN-ECO_DATA'!B:J,9,FALSE)=0/1/1900,"",VLOOKUP(A995,'ECN-ECO_DATA'!B:J,9,FALSE))),"")</f>
        <v/>
      </c>
      <c r="I995" s="10" t="str">
        <f>IFERROR((IF(VLOOKUP(A995,'ECN-ECO_DATA'!B:Q,13,FALSE)="","",VLOOKUP(A995,'ECN-ECO_DATA'!B:Q,13,FALSE))),"")</f>
        <v/>
      </c>
      <c r="J995" s="10" t="str">
        <f>IFERROR((IF(VLOOKUP(A995,'ECN-ECO_DATA'!B:Q,14,FALSE)="","",VLOOKUP(A995,'ECN-ECO_DATA'!B:Q,14,FALSE))),"")</f>
        <v/>
      </c>
      <c r="K995" s="10" t="str">
        <f>IFERROR((IF(VLOOKUP(A995,'ECN-ECO_DATA'!B:Q,15,FALSE)="","",VLOOKUP(A995,'ECN-ECO_DATA'!B:Q,15,FALSE))),"")</f>
        <v/>
      </c>
      <c r="L995" s="10" t="str">
        <f>IFERROR((IF(VLOOKUP(A995,'ECN-ECO_DATA'!B:Q,16,FALSE)="","",VLOOKUP(A995,'ECN-ECO_DATA'!B:Q,16,FALSE))),"")</f>
        <v/>
      </c>
      <c r="M995" s="9" t="str">
        <f>IFERROR((IF(VLOOKUP(A995,'ECN-ECO_DATA'!B:V,18,FALSE)=0/1/1900,"",VLOOKUP(A995,'ECN-ECO_DATA'!B:V,18,FALSE))),"")</f>
        <v/>
      </c>
      <c r="N995" s="9" t="str">
        <f>IFERROR((IF(VLOOKUP(A995,'ECN-ECO_DATA'!B:V,19,FALSE)=0/1/1900,"",VLOOKUP(A995,'ECN-ECO_DATA'!B:V,19,FALSE))),"")</f>
        <v/>
      </c>
      <c r="O995" s="9" t="str">
        <f>IFERROR((IF(VLOOKUP(A995,'ECN-ECO_DATA'!B:V,20,FALSE)=0/1/1900,"",VLOOKUP(A995,'ECN-ECO_DATA'!B:V,20,FALSE))),"")</f>
        <v/>
      </c>
      <c r="P995" s="9" t="str">
        <f>IFERROR((IF(VLOOKUP(A995,'ECN-ECO_DATA'!B:V,21,FALSE)=0/1/1900,"",VLOOKUP(A995,'ECN-ECO_DATA'!B:V,21,FALSE))),"")</f>
        <v/>
      </c>
      <c r="Q995" s="10" t="str">
        <f t="shared" ca="1" si="75"/>
        <v/>
      </c>
      <c r="R995" s="4" t="str">
        <f t="shared" si="76"/>
        <v/>
      </c>
      <c r="S995" s="4" t="str">
        <f t="shared" si="77"/>
        <v/>
      </c>
      <c r="T995" s="4" t="str">
        <f t="shared" si="78"/>
        <v/>
      </c>
      <c r="U995" s="10" t="str">
        <f t="shared" si="79"/>
        <v/>
      </c>
      <c r="V995" s="4"/>
    </row>
    <row r="996" spans="2:22" x14ac:dyDescent="0.25">
      <c r="B996" s="4" t="str">
        <f>IFERROR(VLOOKUP(A996,'ECN-ECO_DATA'!B:G,4,FALSE),"")</f>
        <v/>
      </c>
      <c r="C996" s="9" t="str">
        <f>IFERROR(VLOOKUP(A996,'ECN-ECO_DATA'!B:G,5,FALSE),"")</f>
        <v/>
      </c>
      <c r="D996" s="9" t="str">
        <f ca="1">IFERROR((IF(VLOOKUP(A996,'ECN-ECO_DATA'!B:G,6,FALSE)=0/1/1900,TODAY(),VLOOKUP(A996,'ECN-ECO_DATA'!B:G,6,FALSE))),"")</f>
        <v/>
      </c>
      <c r="E996" s="9" t="str">
        <f>IFERROR((IF(VLOOKUP(A996,'ECN-ECO_DATA'!B:G,6,FALSE)=0/1/1900,"",VLOOKUP(A996,'ECN-ECO_DATA'!B:G,6,FALSE))),"")</f>
        <v/>
      </c>
      <c r="F996" s="9" t="str">
        <f>IFERROR((IF(VLOOKUP(A996,'ECN-ECO_DATA'!B:J,7,FALSE)=0/1/1900,"",VLOOKUP(A996,'ECN-ECO_DATA'!B:J,7,FALSE))),"")</f>
        <v/>
      </c>
      <c r="G996" s="9" t="str">
        <f>IFERROR((IF(VLOOKUP(A996,'ECN-ECO_DATA'!B:J,8,FALSE)=0/1/1900,"",VLOOKUP(A996,'ECN-ECO_DATA'!B:J,8,FALSE))),"")</f>
        <v/>
      </c>
      <c r="H996" s="9" t="str">
        <f>IFERROR((IF(VLOOKUP(A996,'ECN-ECO_DATA'!B:J,9,FALSE)=0/1/1900,"",VLOOKUP(A996,'ECN-ECO_DATA'!B:J,9,FALSE))),"")</f>
        <v/>
      </c>
      <c r="I996" s="10" t="str">
        <f>IFERROR((IF(VLOOKUP(A996,'ECN-ECO_DATA'!B:Q,13,FALSE)="","",VLOOKUP(A996,'ECN-ECO_DATA'!B:Q,13,FALSE))),"")</f>
        <v/>
      </c>
      <c r="J996" s="10" t="str">
        <f>IFERROR((IF(VLOOKUP(A996,'ECN-ECO_DATA'!B:Q,14,FALSE)="","",VLOOKUP(A996,'ECN-ECO_DATA'!B:Q,14,FALSE))),"")</f>
        <v/>
      </c>
      <c r="K996" s="10" t="str">
        <f>IFERROR((IF(VLOOKUP(A996,'ECN-ECO_DATA'!B:Q,15,FALSE)="","",VLOOKUP(A996,'ECN-ECO_DATA'!B:Q,15,FALSE))),"")</f>
        <v/>
      </c>
      <c r="L996" s="10" t="str">
        <f>IFERROR((IF(VLOOKUP(A996,'ECN-ECO_DATA'!B:Q,16,FALSE)="","",VLOOKUP(A996,'ECN-ECO_DATA'!B:Q,16,FALSE))),"")</f>
        <v/>
      </c>
      <c r="M996" s="9" t="str">
        <f>IFERROR((IF(VLOOKUP(A996,'ECN-ECO_DATA'!B:V,18,FALSE)=0/1/1900,"",VLOOKUP(A996,'ECN-ECO_DATA'!B:V,18,FALSE))),"")</f>
        <v/>
      </c>
      <c r="N996" s="9" t="str">
        <f>IFERROR((IF(VLOOKUP(A996,'ECN-ECO_DATA'!B:V,19,FALSE)=0/1/1900,"",VLOOKUP(A996,'ECN-ECO_DATA'!B:V,19,FALSE))),"")</f>
        <v/>
      </c>
      <c r="O996" s="9" t="str">
        <f>IFERROR((IF(VLOOKUP(A996,'ECN-ECO_DATA'!B:V,20,FALSE)=0/1/1900,"",VLOOKUP(A996,'ECN-ECO_DATA'!B:V,20,FALSE))),"")</f>
        <v/>
      </c>
      <c r="P996" s="9" t="str">
        <f>IFERROR((IF(VLOOKUP(A996,'ECN-ECO_DATA'!B:V,21,FALSE)=0/1/1900,"",VLOOKUP(A996,'ECN-ECO_DATA'!B:V,21,FALSE))),"")</f>
        <v/>
      </c>
      <c r="Q996" s="10" t="str">
        <f t="shared" ca="1" si="75"/>
        <v/>
      </c>
      <c r="R996" s="4" t="str">
        <f t="shared" si="76"/>
        <v/>
      </c>
      <c r="S996" s="4" t="str">
        <f t="shared" si="77"/>
        <v/>
      </c>
      <c r="T996" s="4" t="str">
        <f t="shared" si="78"/>
        <v/>
      </c>
      <c r="U996" s="10" t="str">
        <f t="shared" si="79"/>
        <v/>
      </c>
      <c r="V996" s="4"/>
    </row>
    <row r="997" spans="2:22" x14ac:dyDescent="0.25">
      <c r="B997" s="4" t="str">
        <f>IFERROR(VLOOKUP(A997,'ECN-ECO_DATA'!B:G,4,FALSE),"")</f>
        <v/>
      </c>
      <c r="C997" s="9" t="str">
        <f>IFERROR(VLOOKUP(A997,'ECN-ECO_DATA'!B:G,5,FALSE),"")</f>
        <v/>
      </c>
      <c r="D997" s="9" t="str">
        <f ca="1">IFERROR((IF(VLOOKUP(A997,'ECN-ECO_DATA'!B:G,6,FALSE)=0/1/1900,TODAY(),VLOOKUP(A997,'ECN-ECO_DATA'!B:G,6,FALSE))),"")</f>
        <v/>
      </c>
      <c r="E997" s="9" t="str">
        <f>IFERROR((IF(VLOOKUP(A997,'ECN-ECO_DATA'!B:G,6,FALSE)=0/1/1900,"",VLOOKUP(A997,'ECN-ECO_DATA'!B:G,6,FALSE))),"")</f>
        <v/>
      </c>
      <c r="F997" s="9" t="str">
        <f>IFERROR((IF(VLOOKUP(A997,'ECN-ECO_DATA'!B:J,7,FALSE)=0/1/1900,"",VLOOKUP(A997,'ECN-ECO_DATA'!B:J,7,FALSE))),"")</f>
        <v/>
      </c>
      <c r="G997" s="9" t="str">
        <f>IFERROR((IF(VLOOKUP(A997,'ECN-ECO_DATA'!B:J,8,FALSE)=0/1/1900,"",VLOOKUP(A997,'ECN-ECO_DATA'!B:J,8,FALSE))),"")</f>
        <v/>
      </c>
      <c r="H997" s="9" t="str">
        <f>IFERROR((IF(VLOOKUP(A997,'ECN-ECO_DATA'!B:J,9,FALSE)=0/1/1900,"",VLOOKUP(A997,'ECN-ECO_DATA'!B:J,9,FALSE))),"")</f>
        <v/>
      </c>
      <c r="I997" s="10" t="str">
        <f>IFERROR((IF(VLOOKUP(A997,'ECN-ECO_DATA'!B:Q,13,FALSE)="","",VLOOKUP(A997,'ECN-ECO_DATA'!B:Q,13,FALSE))),"")</f>
        <v/>
      </c>
      <c r="J997" s="10" t="str">
        <f>IFERROR((IF(VLOOKUP(A997,'ECN-ECO_DATA'!B:Q,14,FALSE)="","",VLOOKUP(A997,'ECN-ECO_DATA'!B:Q,14,FALSE))),"")</f>
        <v/>
      </c>
      <c r="K997" s="10" t="str">
        <f>IFERROR((IF(VLOOKUP(A997,'ECN-ECO_DATA'!B:Q,15,FALSE)="","",VLOOKUP(A997,'ECN-ECO_DATA'!B:Q,15,FALSE))),"")</f>
        <v/>
      </c>
      <c r="L997" s="10" t="str">
        <f>IFERROR((IF(VLOOKUP(A997,'ECN-ECO_DATA'!B:Q,16,FALSE)="","",VLOOKUP(A997,'ECN-ECO_DATA'!B:Q,16,FALSE))),"")</f>
        <v/>
      </c>
      <c r="M997" s="9" t="str">
        <f>IFERROR((IF(VLOOKUP(A997,'ECN-ECO_DATA'!B:V,18,FALSE)=0/1/1900,"",VLOOKUP(A997,'ECN-ECO_DATA'!B:V,18,FALSE))),"")</f>
        <v/>
      </c>
      <c r="N997" s="9" t="str">
        <f>IFERROR((IF(VLOOKUP(A997,'ECN-ECO_DATA'!B:V,19,FALSE)=0/1/1900,"",VLOOKUP(A997,'ECN-ECO_DATA'!B:V,19,FALSE))),"")</f>
        <v/>
      </c>
      <c r="O997" s="9" t="str">
        <f>IFERROR((IF(VLOOKUP(A997,'ECN-ECO_DATA'!B:V,20,FALSE)=0/1/1900,"",VLOOKUP(A997,'ECN-ECO_DATA'!B:V,20,FALSE))),"")</f>
        <v/>
      </c>
      <c r="P997" s="9" t="str">
        <f>IFERROR((IF(VLOOKUP(A997,'ECN-ECO_DATA'!B:V,21,FALSE)=0/1/1900,"",VLOOKUP(A997,'ECN-ECO_DATA'!B:V,21,FALSE))),"")</f>
        <v/>
      </c>
      <c r="Q997" s="10" t="str">
        <f t="shared" ca="1" si="75"/>
        <v/>
      </c>
      <c r="R997" s="4" t="str">
        <f t="shared" si="76"/>
        <v/>
      </c>
      <c r="S997" s="4" t="str">
        <f t="shared" si="77"/>
        <v/>
      </c>
      <c r="T997" s="4" t="str">
        <f t="shared" si="78"/>
        <v/>
      </c>
      <c r="U997" s="10" t="str">
        <f t="shared" si="79"/>
        <v/>
      </c>
      <c r="V997" s="4"/>
    </row>
    <row r="998" spans="2:22" x14ac:dyDescent="0.25">
      <c r="B998" s="4" t="str">
        <f>IFERROR(VLOOKUP(A998,'ECN-ECO_DATA'!B:G,4,FALSE),"")</f>
        <v/>
      </c>
      <c r="C998" s="9" t="str">
        <f>IFERROR(VLOOKUP(A998,'ECN-ECO_DATA'!B:G,5,FALSE),"")</f>
        <v/>
      </c>
      <c r="D998" s="9" t="str">
        <f ca="1">IFERROR((IF(VLOOKUP(A998,'ECN-ECO_DATA'!B:G,6,FALSE)=0/1/1900,TODAY(),VLOOKUP(A998,'ECN-ECO_DATA'!B:G,6,FALSE))),"")</f>
        <v/>
      </c>
      <c r="E998" s="9" t="str">
        <f>IFERROR((IF(VLOOKUP(A998,'ECN-ECO_DATA'!B:G,6,FALSE)=0/1/1900,"",VLOOKUP(A998,'ECN-ECO_DATA'!B:G,6,FALSE))),"")</f>
        <v/>
      </c>
      <c r="F998" s="9" t="str">
        <f>IFERROR((IF(VLOOKUP(A998,'ECN-ECO_DATA'!B:J,7,FALSE)=0/1/1900,"",VLOOKUP(A998,'ECN-ECO_DATA'!B:J,7,FALSE))),"")</f>
        <v/>
      </c>
      <c r="G998" s="9" t="str">
        <f>IFERROR((IF(VLOOKUP(A998,'ECN-ECO_DATA'!B:J,8,FALSE)=0/1/1900,"",VLOOKUP(A998,'ECN-ECO_DATA'!B:J,8,FALSE))),"")</f>
        <v/>
      </c>
      <c r="H998" s="9" t="str">
        <f>IFERROR((IF(VLOOKUP(A998,'ECN-ECO_DATA'!B:J,9,FALSE)=0/1/1900,"",VLOOKUP(A998,'ECN-ECO_DATA'!B:J,9,FALSE))),"")</f>
        <v/>
      </c>
      <c r="I998" s="10" t="str">
        <f>IFERROR((IF(VLOOKUP(A998,'ECN-ECO_DATA'!B:Q,13,FALSE)="","",VLOOKUP(A998,'ECN-ECO_DATA'!B:Q,13,FALSE))),"")</f>
        <v/>
      </c>
      <c r="J998" s="10" t="str">
        <f>IFERROR((IF(VLOOKUP(A998,'ECN-ECO_DATA'!B:Q,14,FALSE)="","",VLOOKUP(A998,'ECN-ECO_DATA'!B:Q,14,FALSE))),"")</f>
        <v/>
      </c>
      <c r="K998" s="10" t="str">
        <f>IFERROR((IF(VLOOKUP(A998,'ECN-ECO_DATA'!B:Q,15,FALSE)="","",VLOOKUP(A998,'ECN-ECO_DATA'!B:Q,15,FALSE))),"")</f>
        <v/>
      </c>
      <c r="L998" s="10" t="str">
        <f>IFERROR((IF(VLOOKUP(A998,'ECN-ECO_DATA'!B:Q,16,FALSE)="","",VLOOKUP(A998,'ECN-ECO_DATA'!B:Q,16,FALSE))),"")</f>
        <v/>
      </c>
      <c r="M998" s="9" t="str">
        <f>IFERROR((IF(VLOOKUP(A998,'ECN-ECO_DATA'!B:V,18,FALSE)=0/1/1900,"",VLOOKUP(A998,'ECN-ECO_DATA'!B:V,18,FALSE))),"")</f>
        <v/>
      </c>
      <c r="N998" s="9" t="str">
        <f>IFERROR((IF(VLOOKUP(A998,'ECN-ECO_DATA'!B:V,19,FALSE)=0/1/1900,"",VLOOKUP(A998,'ECN-ECO_DATA'!B:V,19,FALSE))),"")</f>
        <v/>
      </c>
      <c r="O998" s="9" t="str">
        <f>IFERROR((IF(VLOOKUP(A998,'ECN-ECO_DATA'!B:V,20,FALSE)=0/1/1900,"",VLOOKUP(A998,'ECN-ECO_DATA'!B:V,20,FALSE))),"")</f>
        <v/>
      </c>
      <c r="P998" s="9" t="str">
        <f>IFERROR((IF(VLOOKUP(A998,'ECN-ECO_DATA'!B:V,21,FALSE)=0/1/1900,"",VLOOKUP(A998,'ECN-ECO_DATA'!B:V,21,FALSE))),"")</f>
        <v/>
      </c>
      <c r="Q998" s="10" t="str">
        <f t="shared" ca="1" si="75"/>
        <v/>
      </c>
      <c r="R998" s="4" t="str">
        <f t="shared" si="76"/>
        <v/>
      </c>
      <c r="S998" s="4" t="str">
        <f t="shared" si="77"/>
        <v/>
      </c>
      <c r="T998" s="4" t="str">
        <f t="shared" si="78"/>
        <v/>
      </c>
      <c r="U998" s="10" t="str">
        <f t="shared" si="79"/>
        <v/>
      </c>
      <c r="V998" s="4"/>
    </row>
    <row r="999" spans="2:22" x14ac:dyDescent="0.25">
      <c r="B999" s="4" t="str">
        <f>IFERROR(VLOOKUP(A999,'ECN-ECO_DATA'!B:G,4,FALSE),"")</f>
        <v/>
      </c>
      <c r="C999" s="9" t="str">
        <f>IFERROR(VLOOKUP(A999,'ECN-ECO_DATA'!B:G,5,FALSE),"")</f>
        <v/>
      </c>
      <c r="D999" s="9" t="str">
        <f ca="1">IFERROR((IF(VLOOKUP(A999,'ECN-ECO_DATA'!B:G,6,FALSE)=0/1/1900,TODAY(),VLOOKUP(A999,'ECN-ECO_DATA'!B:G,6,FALSE))),"")</f>
        <v/>
      </c>
      <c r="E999" s="9" t="str">
        <f>IFERROR((IF(VLOOKUP(A999,'ECN-ECO_DATA'!B:G,6,FALSE)=0/1/1900,"",VLOOKUP(A999,'ECN-ECO_DATA'!B:G,6,FALSE))),"")</f>
        <v/>
      </c>
      <c r="F999" s="9" t="str">
        <f>IFERROR((IF(VLOOKUP(A999,'ECN-ECO_DATA'!B:J,7,FALSE)=0/1/1900,"",VLOOKUP(A999,'ECN-ECO_DATA'!B:J,7,FALSE))),"")</f>
        <v/>
      </c>
      <c r="G999" s="9" t="str">
        <f>IFERROR((IF(VLOOKUP(A999,'ECN-ECO_DATA'!B:J,8,FALSE)=0/1/1900,"",VLOOKUP(A999,'ECN-ECO_DATA'!B:J,8,FALSE))),"")</f>
        <v/>
      </c>
      <c r="H999" s="9" t="str">
        <f>IFERROR((IF(VLOOKUP(A999,'ECN-ECO_DATA'!B:J,9,FALSE)=0/1/1900,"",VLOOKUP(A999,'ECN-ECO_DATA'!B:J,9,FALSE))),"")</f>
        <v/>
      </c>
      <c r="I999" s="10" t="str">
        <f>IFERROR((IF(VLOOKUP(A999,'ECN-ECO_DATA'!B:Q,13,FALSE)="","",VLOOKUP(A999,'ECN-ECO_DATA'!B:Q,13,FALSE))),"")</f>
        <v/>
      </c>
      <c r="J999" s="10" t="str">
        <f>IFERROR((IF(VLOOKUP(A999,'ECN-ECO_DATA'!B:Q,14,FALSE)="","",VLOOKUP(A999,'ECN-ECO_DATA'!B:Q,14,FALSE))),"")</f>
        <v/>
      </c>
      <c r="K999" s="10" t="str">
        <f>IFERROR((IF(VLOOKUP(A999,'ECN-ECO_DATA'!B:Q,15,FALSE)="","",VLOOKUP(A999,'ECN-ECO_DATA'!B:Q,15,FALSE))),"")</f>
        <v/>
      </c>
      <c r="L999" s="10" t="str">
        <f>IFERROR((IF(VLOOKUP(A999,'ECN-ECO_DATA'!B:Q,16,FALSE)="","",VLOOKUP(A999,'ECN-ECO_DATA'!B:Q,16,FALSE))),"")</f>
        <v/>
      </c>
      <c r="M999" s="9" t="str">
        <f>IFERROR((IF(VLOOKUP(A999,'ECN-ECO_DATA'!B:V,18,FALSE)=0/1/1900,"",VLOOKUP(A999,'ECN-ECO_DATA'!B:V,18,FALSE))),"")</f>
        <v/>
      </c>
      <c r="N999" s="9" t="str">
        <f>IFERROR((IF(VLOOKUP(A999,'ECN-ECO_DATA'!B:V,19,FALSE)=0/1/1900,"",VLOOKUP(A999,'ECN-ECO_DATA'!B:V,19,FALSE))),"")</f>
        <v/>
      </c>
      <c r="O999" s="9" t="str">
        <f>IFERROR((IF(VLOOKUP(A999,'ECN-ECO_DATA'!B:V,20,FALSE)=0/1/1900,"",VLOOKUP(A999,'ECN-ECO_DATA'!B:V,20,FALSE))),"")</f>
        <v/>
      </c>
      <c r="P999" s="9" t="str">
        <f>IFERROR((IF(VLOOKUP(A999,'ECN-ECO_DATA'!B:V,21,FALSE)=0/1/1900,"",VLOOKUP(A999,'ECN-ECO_DATA'!B:V,21,FALSE))),"")</f>
        <v/>
      </c>
      <c r="Q999" s="10" t="str">
        <f t="shared" ca="1" si="75"/>
        <v/>
      </c>
      <c r="R999" s="4" t="str">
        <f t="shared" si="76"/>
        <v/>
      </c>
      <c r="S999" s="4" t="str">
        <f t="shared" si="77"/>
        <v/>
      </c>
      <c r="T999" s="4" t="str">
        <f t="shared" si="78"/>
        <v/>
      </c>
      <c r="U999" s="10" t="str">
        <f t="shared" si="79"/>
        <v/>
      </c>
      <c r="V999" s="4"/>
    </row>
    <row r="1000" spans="2:22" x14ac:dyDescent="0.25">
      <c r="B1000" s="4" t="str">
        <f>IFERROR(VLOOKUP(A1000,'ECN-ECO_DATA'!B:G,4,FALSE),"")</f>
        <v/>
      </c>
      <c r="C1000" s="9" t="str">
        <f>IFERROR(VLOOKUP(A1000,'ECN-ECO_DATA'!B:G,5,FALSE),"")</f>
        <v/>
      </c>
      <c r="D1000" s="9" t="str">
        <f ca="1">IFERROR((IF(VLOOKUP(A1000,'ECN-ECO_DATA'!B:G,6,FALSE)=0/1/1900,TODAY(),VLOOKUP(A1000,'ECN-ECO_DATA'!B:G,6,FALSE))),"")</f>
        <v/>
      </c>
      <c r="E1000" s="9" t="str">
        <f>IFERROR((IF(VLOOKUP(A1000,'ECN-ECO_DATA'!B:G,6,FALSE)=0/1/1900,"",VLOOKUP(A1000,'ECN-ECO_DATA'!B:G,6,FALSE))),"")</f>
        <v/>
      </c>
      <c r="F1000" s="9" t="str">
        <f>IFERROR((IF(VLOOKUP(A1000,'ECN-ECO_DATA'!B:J,7,FALSE)=0/1/1900,"",VLOOKUP(A1000,'ECN-ECO_DATA'!B:J,7,FALSE))),"")</f>
        <v/>
      </c>
      <c r="G1000" s="9" t="str">
        <f>IFERROR((IF(VLOOKUP(A1000,'ECN-ECO_DATA'!B:J,8,FALSE)=0/1/1900,"",VLOOKUP(A1000,'ECN-ECO_DATA'!B:J,8,FALSE))),"")</f>
        <v/>
      </c>
      <c r="H1000" s="9" t="str">
        <f>IFERROR((IF(VLOOKUP(A1000,'ECN-ECO_DATA'!B:J,9,FALSE)=0/1/1900,"",VLOOKUP(A1000,'ECN-ECO_DATA'!B:J,9,FALSE))),"")</f>
        <v/>
      </c>
      <c r="I1000" s="10" t="str">
        <f>IFERROR((IF(VLOOKUP(A1000,'ECN-ECO_DATA'!B:Q,13,FALSE)="","",VLOOKUP(A1000,'ECN-ECO_DATA'!B:Q,13,FALSE))),"")</f>
        <v/>
      </c>
      <c r="J1000" s="10" t="str">
        <f>IFERROR((IF(VLOOKUP(A1000,'ECN-ECO_DATA'!B:Q,14,FALSE)="","",VLOOKUP(A1000,'ECN-ECO_DATA'!B:Q,14,FALSE))),"")</f>
        <v/>
      </c>
      <c r="K1000" s="10" t="str">
        <f>IFERROR((IF(VLOOKUP(A1000,'ECN-ECO_DATA'!B:Q,15,FALSE)="","",VLOOKUP(A1000,'ECN-ECO_DATA'!B:Q,15,FALSE))),"")</f>
        <v/>
      </c>
      <c r="L1000" s="10" t="str">
        <f>IFERROR((IF(VLOOKUP(A1000,'ECN-ECO_DATA'!B:Q,16,FALSE)="","",VLOOKUP(A1000,'ECN-ECO_DATA'!B:Q,16,FALSE))),"")</f>
        <v/>
      </c>
      <c r="M1000" s="9" t="str">
        <f>IFERROR((IF(VLOOKUP(A1000,'ECN-ECO_DATA'!B:V,18,FALSE)=0/1/1900,"",VLOOKUP(A1000,'ECN-ECO_DATA'!B:V,18,FALSE))),"")</f>
        <v/>
      </c>
      <c r="N1000" s="9" t="str">
        <f>IFERROR((IF(VLOOKUP(A1000,'ECN-ECO_DATA'!B:V,19,FALSE)=0/1/1900,"",VLOOKUP(A1000,'ECN-ECO_DATA'!B:V,19,FALSE))),"")</f>
        <v/>
      </c>
      <c r="O1000" s="9" t="str">
        <f>IFERROR((IF(VLOOKUP(A1000,'ECN-ECO_DATA'!B:V,20,FALSE)=0/1/1900,"",VLOOKUP(A1000,'ECN-ECO_DATA'!B:V,20,FALSE))),"")</f>
        <v/>
      </c>
      <c r="P1000" s="9" t="str">
        <f>IFERROR((IF(VLOOKUP(A1000,'ECN-ECO_DATA'!B:V,21,FALSE)=0/1/1900,"",VLOOKUP(A1000,'ECN-ECO_DATA'!B:V,21,FALSE))),"")</f>
        <v/>
      </c>
      <c r="Q1000" s="10" t="str">
        <f t="shared" ca="1" si="75"/>
        <v/>
      </c>
      <c r="R1000" s="4" t="str">
        <f t="shared" si="76"/>
        <v/>
      </c>
      <c r="S1000" s="4" t="str">
        <f t="shared" si="77"/>
        <v/>
      </c>
      <c r="T1000" s="4" t="str">
        <f t="shared" si="78"/>
        <v/>
      </c>
      <c r="U1000" s="10" t="str">
        <f t="shared" si="79"/>
        <v/>
      </c>
      <c r="V1000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MAIN</vt:lpstr>
      <vt:lpstr>MAIN_STAT</vt:lpstr>
      <vt:lpstr>ECN-ECO_DATA</vt:lpstr>
      <vt:lpstr>DATA</vt:lpstr>
      <vt:lpstr>STAT</vt:lpstr>
    </vt:vector>
  </TitlesOfParts>
  <Company>Manitowoc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TC</dc:creator>
  <cp:lastModifiedBy>Windows User</cp:lastModifiedBy>
  <dcterms:created xsi:type="dcterms:W3CDTF">2017-07-06T14:21:51Z</dcterms:created>
  <dcterms:modified xsi:type="dcterms:W3CDTF">2017-10-31T09:34:06Z</dcterms:modified>
</cp:coreProperties>
</file>